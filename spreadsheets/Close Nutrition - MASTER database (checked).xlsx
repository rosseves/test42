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Foods" sheetId="2" state="visible" r:id="rId4"/>
    <sheet name="Recipes" sheetId="3" state="visible" r:id="rId5"/>
    <sheet name="Recipe Ingredients" sheetId="4" state="visible" r:id="rId6"/>
    <sheet name="Recipe check" sheetId="5" state="visible" r:id="rId7"/>
    <sheet name="Food check" sheetId="6" state="visible" r:id="rId8"/>
  </sheets>
  <definedNames>
    <definedName function="false" hidden="true" localSheetId="4" name="_xlnm._FilterDatabase" vbProcedure="false">'Recipe check'!$A$1:$O$297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<sst xmlns="http://schemas.openxmlformats.org/spreadsheetml/2006/main" count="18422" uniqueCount="3780">
  <si>
    <t xml:space="preserve">Close Nutrition - Master recipe &amp; food database</t>
  </si>
  <si>
    <t xml:space="preserve">This one file holds everything the plan builder uses. It replaces the old</t>
  </si>
  <si>
    <t xml:space="preserve">recipe spreadsheet and the 74 recipes that were built into the app.</t>
  </si>
  <si>
    <t xml:space="preserve">All 193 recipes from the previous spreadsheet are already in here - nothing was lost.</t>
  </si>
  <si>
    <t xml:space="preserve">SHEETS</t>
  </si>
  <si>
    <t xml:space="preserve">1. Foods - every ingredient, per 100g (or per 100ml for liquids). 258 rows.</t>
  </si>
  <si>
    <t xml:space="preserve">2. Recipes - every recipe. 296 rows.</t>
  </si>
  <si>
    <t xml:space="preserve">3. Recipe Ingredients - links a recipe to its foods with amounts. 2,901 rows.</t>
  </si>
  <si>
    <t xml:space="preserve">4. Recipe check - the 296 recipes with the calories worked out from their own</t>
  </si>
  <si>
    <t xml:space="preserve">   ingredients, next to the calorie figure printed in the book. Sorted worst first.</t>
  </si>
  <si>
    <t xml:space="preserve">5. Food check - the handful of foods whose numbers need a second look.</t>
  </si>
  <si>
    <t xml:space="preserve">WHY THE CHECK SHEETS MATTER</t>
  </si>
  <si>
    <t xml:space="preserve">The app never uses the printed calorie figure. It adds up the ingredients itself,</t>
  </si>
  <si>
    <t xml:space="preserve">so it can scale each one to a player's targets. Where the two disagree, the</t>
  </si>
  <si>
    <t xml:space="preserve">ingredient list is what the player will actually be given. Anything marked</t>
  </si>
  <si>
    <t xml:space="preserve">"1 - check first" is worth Graeme's attention before the plan goes out.</t>
  </si>
  <si>
    <t xml:space="preserve">HOW TO ADD A NEW FOOD</t>
  </si>
  <si>
    <t xml:space="preserve">Add a row to Foods. ext_id must be unique (e.g. ING900).</t>
  </si>
  <si>
    <t xml:space="preserve">Enter protein/carbs/fat/kcal PER 100g (or per 100ml for liquids).</t>
  </si>
  <si>
    <t xml:space="preserve">default_unit: g for solids, ml for liquids.</t>
  </si>
  <si>
    <t xml:space="preserve">piece_grams: what one bar / egg / slice weighs, if it is countable.</t>
  </si>
  <si>
    <t xml:space="preserve">portioning: free = any amount, half = halves allowed, whole = never split.</t>
  </si>
  <si>
    <t xml:space="preserve">HOW TO ADD A NEW RECIPE</t>
  </si>
  <si>
    <t xml:space="preserve">Add a row to Recipes. ext_id must be unique (e.g. R900).</t>
  </si>
  <si>
    <t xml:space="preserve">slot must be one of: breakfast, smoothie, snack, lunchdinner.</t>
  </si>
  <si>
    <t xml:space="preserve">servings = how many portions the amounts below make.</t>
  </si>
  <si>
    <t xml:space="preserve">Do NOT type the macros - they are calculated from the ingredients.</t>
  </si>
  <si>
    <t xml:space="preserve">Then add one row per ingredient to Recipe Ingredients:</t>
  </si>
  <si>
    <t xml:space="preserve">  recipe_ext = the recipe ext_id, food_ext = the food ext_id,</t>
  </si>
  <si>
    <t xml:space="preserve">  qty = the amount, unit = g / ml / each / tbsp / tsp / handful / slice.</t>
  </si>
  <si>
    <t xml:space="preserve">For anyone outside the core team, use the CSV template instead - it is a single</t>
  </si>
  <si>
    <t xml:space="preserve">simple sheet and the app turns it into the rows above on import.</t>
  </si>
  <si>
    <t xml:space="preserve">RULES THAT MUST NOT BE BROKEN</t>
  </si>
  <si>
    <t xml:space="preserve">unit must be exactly one of the seven listed above.</t>
  </si>
  <si>
    <t xml:space="preserve">Every food_ext used must exist in the Foods sheet.</t>
  </si>
  <si>
    <t xml:space="preserve">Macros per 100g can never add up to more than 100g.</t>
  </si>
  <si>
    <t xml:space="preserve">Energy can never exceed 9 kcal per gram (that is pure fat).</t>
  </si>
  <si>
    <t xml:space="preserve">ext_id</t>
  </si>
  <si>
    <t xml:space="preserve">name</t>
  </si>
  <si>
    <t xml:space="preserve">protein_100g</t>
  </si>
  <si>
    <t xml:space="preserve">carbs_100g</t>
  </si>
  <si>
    <t xml:space="preserve">fat_100g</t>
  </si>
  <si>
    <t xml:space="preserve">kcal_100g</t>
  </si>
  <si>
    <t xml:space="preserve">default_unit</t>
  </si>
  <si>
    <t xml:space="preserve">piece_grams</t>
  </si>
  <si>
    <t xml:space="preserve">piece_name</t>
  </si>
  <si>
    <t xml:space="preserve">portioning</t>
  </si>
  <si>
    <t xml:space="preserve">scaling_increment</t>
  </si>
  <si>
    <t xml:space="preserve">allergens</t>
  </si>
  <si>
    <t xml:space="preserve">dislike_tags</t>
  </si>
  <si>
    <t xml:space="preserve">source_note</t>
  </si>
  <si>
    <t xml:space="preserve">is_custom</t>
  </si>
  <si>
    <t xml:space="preserve">ING001</t>
  </si>
  <si>
    <t xml:space="preserve">Banana (whole, medium)</t>
  </si>
  <si>
    <t xml:space="preserve">g</t>
  </si>
  <si>
    <t xml:space="preserve">whole item</t>
  </si>
  <si>
    <t xml:space="preserve">whole</t>
  </si>
  <si>
    <t xml:space="preserve">banana</t>
  </si>
  <si>
    <t xml:space="preserve">Standard reference value (average medium banana).</t>
  </si>
  <si>
    <t xml:space="preserve">ING002</t>
  </si>
  <si>
    <t xml:space="preserve">Blueberries</t>
  </si>
  <si>
    <t xml:space="preserve">free</t>
  </si>
  <si>
    <t xml:space="preserve">blueberries</t>
  </si>
  <si>
    <t xml:space="preserve">Standard reference value.</t>
  </si>
  <si>
    <t xml:space="preserve">ING003</t>
  </si>
  <si>
    <t xml:space="preserve">Raspberries</t>
  </si>
  <si>
    <t xml:space="preserve">raspberries</t>
  </si>
  <si>
    <t xml:space="preserve">ING004</t>
  </si>
  <si>
    <t xml:space="preserve">0% Fat Greek Yoghurt — Fage Total 0%</t>
  </si>
  <si>
    <t xml:space="preserve">Milk</t>
  </si>
  <si>
    <t xml:space="preserve">Real product value from FAGE's own UK product page (Total 0%), per 100g: 54kcal, 3.0g carbs (all naturally occurring milk sugar, no added sugar), 0g fat, 10.3g protein. Source: hom</t>
  </si>
  <si>
    <t xml:space="preserve">ING005</t>
  </si>
  <si>
    <t xml:space="preserve">Whey Protein Powder — Nutrition X Big Whey (30g scoop)</t>
  </si>
  <si>
    <t xml:space="preserve">Real product value from Nutrition X's own UK product page, per 1 level scoop (30g): 119kcal, 2.22g carbs (1.44g sugars), 1.74g fat (0.87g saturates), 23g protein. Nutrition X's own</t>
  </si>
  <si>
    <t xml:space="preserve">ING006</t>
  </si>
  <si>
    <t xml:space="preserve">Semi-Skimmed Milk</t>
  </si>
  <si>
    <t xml:space="preserve">ml</t>
  </si>
  <si>
    <t xml:space="preserve">ING007</t>
  </si>
  <si>
    <t xml:space="preserve">Nut Butter — Pip &amp; Nut Almond Butter</t>
  </si>
  <si>
    <t xml:space="preserve">Nuts</t>
  </si>
  <si>
    <t xml:space="preserve">Real product value for Pip &amp; Nut's smooth almond butter, per 100g: 610kcal, 6.8g carbs (4.8g sugars), 53g fat, 23g protein (100% almonds, no added palm oil or sugar). Pip &amp; Nut als</t>
  </si>
  <si>
    <t xml:space="preserve">ING008</t>
  </si>
  <si>
    <t xml:space="preserve">Rolled Oats (dry)</t>
  </si>
  <si>
    <t xml:space="preserve">Gluten</t>
  </si>
  <si>
    <t xml:space="preserve">Standard reference value. Tagged Gluten as standard oats carry cross-contact risk - retag if using certified gluten-free oats.</t>
  </si>
  <si>
    <t xml:space="preserve">ING009</t>
  </si>
  <si>
    <t xml:space="preserve">Peanut Butter — Pip &amp; Nut</t>
  </si>
  <si>
    <t xml:space="preserve">Peanuts</t>
  </si>
  <si>
    <t xml:space="preserve">Real product value for Pip &amp; Nut's peanut butter, per 100g: 605kcal, 11.9g carbs (5.7g sugars), 48.2g fat (5.9g saturates), 26.4g protein (99.6% Argentinian hi-oleic peanuts, sea s</t>
  </si>
  <si>
    <t xml:space="preserve">ING010</t>
  </si>
  <si>
    <t xml:space="preserve">Chia Seeds</t>
  </si>
  <si>
    <t xml:space="preserve">ING011</t>
  </si>
  <si>
    <t xml:space="preserve">Honey</t>
  </si>
  <si>
    <t xml:space="preserve">ING012</t>
  </si>
  <si>
    <t xml:space="preserve">Dark Chocolate Chips</t>
  </si>
  <si>
    <t xml:space="preserve">chocolate</t>
  </si>
  <si>
    <t xml:space="preserve">Standard reference value for dark chocolate; confirm the specific product is dairy-free if Milk needs to stay untagged.</t>
  </si>
  <si>
    <t xml:space="preserve">ING013</t>
  </si>
  <si>
    <t xml:space="preserve">Cocoa Powder (unsweetened)</t>
  </si>
  <si>
    <t xml:space="preserve">ING014</t>
  </si>
  <si>
    <t xml:space="preserve">Vanilla Extract / Flavour Drops</t>
  </si>
  <si>
    <t xml:space="preserve">Amounts used in these recipes are nutritionally negligible; treated as zero for practical purposes.</t>
  </si>
  <si>
    <t xml:space="preserve">ING015</t>
  </si>
  <si>
    <t xml:space="preserve">Chickpeas, canned (drained)</t>
  </si>
  <si>
    <t xml:space="preserve">chickpeas</t>
  </si>
  <si>
    <t xml:space="preserve">ING016</t>
  </si>
  <si>
    <t xml:space="preserve">Maple Syrup</t>
  </si>
  <si>
    <t xml:space="preserve">ING017</t>
  </si>
  <si>
    <t xml:space="preserve">Baking Powder / Bicarbonate of Soda</t>
  </si>
  <si>
    <t xml:space="preserve">Amounts used are nutritionally negligible; treated as zero.</t>
  </si>
  <si>
    <t xml:space="preserve">ING018</t>
  </si>
  <si>
    <t xml:space="preserve">Egg, whole (medium)</t>
  </si>
  <si>
    <t xml:space="preserve">Egg</t>
  </si>
  <si>
    <t xml:space="preserve">Standard reference value for one medium whole egg.</t>
  </si>
  <si>
    <t xml:space="preserve">ING019</t>
  </si>
  <si>
    <t xml:space="preserve">Egg White (medium)</t>
  </si>
  <si>
    <t xml:space="preserve">Standard reference value for one medium egg white.</t>
  </si>
  <si>
    <t xml:space="preserve">ING020</t>
  </si>
  <si>
    <t xml:space="preserve">Avocado (whole medium)</t>
  </si>
  <si>
    <t xml:space="preserve">avocado</t>
  </si>
  <si>
    <t xml:space="preserve">Standard reference value for one whole medium avocado's flesh.</t>
  </si>
  <si>
    <t xml:space="preserve">ING021</t>
  </si>
  <si>
    <t xml:space="preserve">Sourdough Bread (slice)</t>
  </si>
  <si>
    <t xml:space="preserve">slice</t>
  </si>
  <si>
    <t xml:space="preserve">Standard reference value for one 40g slice.</t>
  </si>
  <si>
    <t xml:space="preserve">ING022</t>
  </si>
  <si>
    <t xml:space="preserve">Smoked Salmon (slice)</t>
  </si>
  <si>
    <t xml:space="preserve">Fish</t>
  </si>
  <si>
    <t xml:space="preserve">Standard reference value for one 15g slice.</t>
  </si>
  <si>
    <t xml:space="preserve">ING023</t>
  </si>
  <si>
    <t xml:space="preserve">Olive Oil</t>
  </si>
  <si>
    <t xml:space="preserve">ING024</t>
  </si>
  <si>
    <t xml:space="preserve">Salt &amp; Black Pepper (to taste)</t>
  </si>
  <si>
    <t xml:space="preserve">Nutritionally negligible; treated as zero.</t>
  </si>
  <si>
    <t xml:space="preserve">ING025</t>
  </si>
  <si>
    <t xml:space="preserve">Chicken Sausage, lean (each) — brand not yet chosen</t>
  </si>
  <si>
    <t xml:space="preserve">No preferred supplier confirmed yet - Graeme wants only high-quality produce recommended generally. Kcal/Carbs/Fat/Protein below remain a generic estimate for a lean/fitness-style </t>
  </si>
  <si>
    <t xml:space="preserve">ING026</t>
  </si>
  <si>
    <t xml:space="preserve">Baked Beans (in tomato sauce)</t>
  </si>
  <si>
    <t xml:space="preserve">Standard reference value; confirm brand for allergen status.</t>
  </si>
  <si>
    <t xml:space="preserve">ING027</t>
  </si>
  <si>
    <t xml:space="preserve">Wholegrain Toast (slice, unbuttered)</t>
  </si>
  <si>
    <t xml:space="preserve">Standard reference value for one 35g slice of wholegrain bread, toasted, no butter/oil.</t>
  </si>
  <si>
    <t xml:space="preserve">ING028</t>
  </si>
  <si>
    <t xml:space="preserve">Water</t>
  </si>
  <si>
    <t xml:space="preserve">Zero-calorie filler; included so the ingredient list still reads as a complete recipe.</t>
  </si>
  <si>
    <t xml:space="preserve">ING029</t>
  </si>
  <si>
    <t xml:space="preserve">Ice (chunks/cubes)</t>
  </si>
  <si>
    <t xml:space="preserve">ING030</t>
  </si>
  <si>
    <t xml:space="preserve">0% / Low-Fat Greek Yoghurt (generic, non-Fage)</t>
  </si>
  <si>
    <t xml:space="preserve">Generic reference value used where a recipe just says 'Greek yoghurt' without specifying Fage Total 0% - if this is meant to be the same product as ING004, swap in ING004 instead.</t>
  </si>
  <si>
    <t xml:space="preserve">ING031</t>
  </si>
  <si>
    <t xml:space="preserve">Almond Butter (natural, generic)</t>
  </si>
  <si>
    <t xml:space="preserve">If this is meant to be Pip &amp; Nut Almond Butter, use ING007 instead - this generic entry is for a plain 'almond butter' mention not tied to a brand.</t>
  </si>
  <si>
    <t xml:space="preserve">ING032</t>
  </si>
  <si>
    <t xml:space="preserve">Almonds (flaked/whole/ground)</t>
  </si>
  <si>
    <t xml:space="preserve">Standard reference nutrition value for the generic food (not brand-specific).</t>
  </si>
  <si>
    <t xml:space="preserve">ING033</t>
  </si>
  <si>
    <t xml:space="preserve">Anchovy Fillet (each, in oil, drained)</t>
  </si>
  <si>
    <t xml:space="preserve">ING034</t>
  </si>
  <si>
    <t xml:space="preserve">Apple (incl. grated)</t>
  </si>
  <si>
    <t xml:space="preserve">ING035</t>
  </si>
  <si>
    <t xml:space="preserve">Asparagus</t>
  </si>
  <si>
    <t xml:space="preserve">ING036</t>
  </si>
  <si>
    <t xml:space="preserve">BBQ Sauce (incl. Reduced-Sugar)</t>
  </si>
  <si>
    <t xml:space="preserve">Generic placeholder value - this is a branded/processed product where exact macros depend on the specific product. Swap in the real label values for the product you use.</t>
  </si>
  <si>
    <t xml:space="preserve">ING037</t>
  </si>
  <si>
    <t xml:space="preserve">Baguette (slice, ~25g)</t>
  </si>
  <si>
    <t xml:space="preserve">ING038</t>
  </si>
  <si>
    <t xml:space="preserve">Baked Tortilla Chips</t>
  </si>
  <si>
    <t xml:space="preserve">ING039</t>
  </si>
  <si>
    <t xml:space="preserve">Balsamic Vinegar (incl. Balsamic Glaze)</t>
  </si>
  <si>
    <t xml:space="preserve">ING040</t>
  </si>
  <si>
    <t xml:space="preserve">Bamboo Shoots, tinned (drained)</t>
  </si>
  <si>
    <t xml:space="preserve">ING041</t>
  </si>
  <si>
    <t xml:space="preserve">Basil Pesto / Fresh Pesto</t>
  </si>
  <si>
    <t xml:space="preserve">Milk|Nuts</t>
  </si>
  <si>
    <t xml:space="preserve">ING042</t>
  </si>
  <si>
    <t xml:space="preserve">Basmati / Jasmine / Long Grain Rice (dry weight)</t>
  </si>
  <si>
    <t xml:space="preserve">ING043</t>
  </si>
  <si>
    <t xml:space="preserve">Bay Leaf / Curry Leaves / Kaffir Lime Leaf / Star Anise / Cinnamon Stick / Cardamom Pods / Cloves (whole spice, garnish)</t>
  </si>
  <si>
    <t xml:space="preserve">item</t>
  </si>
  <si>
    <t xml:space="preserve">Whole aromatic spices infused into a dish and usually removed/not eaten - negligible macro contribution.</t>
  </si>
  <si>
    <t xml:space="preserve">ING044</t>
  </si>
  <si>
    <t xml:space="preserve">Beansprouts</t>
  </si>
  <si>
    <t xml:space="preserve">ING045</t>
  </si>
  <si>
    <t xml:space="preserve">Beef Cheek (raw)</t>
  </si>
  <si>
    <t xml:space="preserve">ING046</t>
  </si>
  <si>
    <t xml:space="preserve">Beef Short Rib (raw, before braising/skimming)</t>
  </si>
  <si>
    <t xml:space="preserve">ING047</t>
  </si>
  <si>
    <t xml:space="preserve">Black Beans, tinned (drained)</t>
  </si>
  <si>
    <t xml:space="preserve">ING048</t>
  </si>
  <si>
    <t xml:space="preserve">Bread Roll / Wholemeal Roll / Pau Bun / Soft Bread Roll</t>
  </si>
  <si>
    <t xml:space="preserve">ING049</t>
  </si>
  <si>
    <t xml:space="preserve">Breadcrumbs (panko / wholemeal / fresh)</t>
  </si>
  <si>
    <t xml:space="preserve">ING050</t>
  </si>
  <si>
    <t xml:space="preserve">Broccoli / Tenderstem Broccoli</t>
  </si>
  <si>
    <t xml:space="preserve">ING051</t>
  </si>
  <si>
    <t xml:space="preserve">Brown Sugar (light/soft, incl. Palm Sugar)</t>
  </si>
  <si>
    <t xml:space="preserve">ING052</t>
  </si>
  <si>
    <t xml:space="preserve">Bulgur Wheat (dry weight)</t>
  </si>
  <si>
    <t xml:space="preserve">ING053</t>
  </si>
  <si>
    <t xml:space="preserve">Burger Bun (incl. brioche-style)</t>
  </si>
  <si>
    <t xml:space="preserve">Gluten|Egg</t>
  </si>
  <si>
    <t xml:space="preserve">ING054</t>
  </si>
  <si>
    <t xml:space="preserve">Butter</t>
  </si>
  <si>
    <t xml:space="preserve">ING055</t>
  </si>
  <si>
    <t xml:space="preserve">Cacao Nibs</t>
  </si>
  <si>
    <t xml:space="preserve">ING056</t>
  </si>
  <si>
    <t xml:space="preserve">Capers</t>
  </si>
  <si>
    <t xml:space="preserve">ING057</t>
  </si>
  <si>
    <t xml:space="preserve">Carrot</t>
  </si>
  <si>
    <t xml:space="preserve">ING058</t>
  </si>
  <si>
    <t xml:space="preserve">Cashew Nuts</t>
  </si>
  <si>
    <t xml:space="preserve">ING059</t>
  </si>
  <si>
    <t xml:space="preserve">Cauliflower</t>
  </si>
  <si>
    <t xml:space="preserve">ING060</t>
  </si>
  <si>
    <t xml:space="preserve">Celery (incl. celery stick)</t>
  </si>
  <si>
    <t xml:space="preserve">Celery</t>
  </si>
  <si>
    <t xml:space="preserve">ING061</t>
  </si>
  <si>
    <t xml:space="preserve">Cherry Tomatoes</t>
  </si>
  <si>
    <t xml:space="preserve">ING062</t>
  </si>
  <si>
    <t xml:space="preserve">Chicken Breast, skinless (raw)</t>
  </si>
  <si>
    <t xml:space="preserve">ING063</t>
  </si>
  <si>
    <t xml:space="preserve">Chicken Thigh, skinless &amp; boneless (raw)</t>
  </si>
  <si>
    <t xml:space="preserve">ING064</t>
  </si>
  <si>
    <t xml:space="preserve">Chinese Pancake (for duck/lamb wraps)</t>
  </si>
  <si>
    <t xml:space="preserve">ING065</t>
  </si>
  <si>
    <t xml:space="preserve">Chipotle Paste / Tamarind Paste</t>
  </si>
  <si>
    <t xml:space="preserve">ING066</t>
  </si>
  <si>
    <t xml:space="preserve">Chocolate Spread / Lotus Biscoff Spread</t>
  </si>
  <si>
    <t xml:space="preserve">Gluten|Milk|Nuts</t>
  </si>
  <si>
    <t xml:space="preserve">ING067</t>
  </si>
  <si>
    <t xml:space="preserve">Cider Vinegar / Red Wine Vinegar</t>
  </si>
  <si>
    <t xml:space="preserve">ING068</t>
  </si>
  <si>
    <t xml:space="preserve">Coconut Oil</t>
  </si>
  <si>
    <t xml:space="preserve">ING069</t>
  </si>
  <si>
    <t xml:space="preserve">Coconut Water</t>
  </si>
  <si>
    <t xml:space="preserve">ING070</t>
  </si>
  <si>
    <t xml:space="preserve">Coleslaw Mix (cabbage/carrot/onion, undressed)</t>
  </si>
  <si>
    <t xml:space="preserve">ING071</t>
  </si>
  <si>
    <t xml:space="preserve">Cooked Lobster Meat</t>
  </si>
  <si>
    <t xml:space="preserve">Crustaceans</t>
  </si>
  <si>
    <t xml:space="preserve">ING072</t>
  </si>
  <si>
    <t xml:space="preserve">Corn Tortilla (small)</t>
  </si>
  <si>
    <t xml:space="preserve">ING073</t>
  </si>
  <si>
    <t xml:space="preserve">Corn on the Cob</t>
  </si>
  <si>
    <t xml:space="preserve">ING074</t>
  </si>
  <si>
    <t xml:space="preserve">Cornflake Crumb Coating</t>
  </si>
  <si>
    <t xml:space="preserve">ING075</t>
  </si>
  <si>
    <t xml:space="preserve">Cornflour</t>
  </si>
  <si>
    <t xml:space="preserve">ING076</t>
  </si>
  <si>
    <t xml:space="preserve">Courgette</t>
  </si>
  <si>
    <t xml:space="preserve">ING077</t>
  </si>
  <si>
    <t xml:space="preserve">Couscous (dry weight)</t>
  </si>
  <si>
    <t xml:space="preserve">ING078</t>
  </si>
  <si>
    <t xml:space="preserve">Cranberry Juice</t>
  </si>
  <si>
    <t xml:space="preserve">ING079</t>
  </si>
  <si>
    <t xml:space="preserve">Croissant</t>
  </si>
  <si>
    <t xml:space="preserve">Gluten|Egg|Milk</t>
  </si>
  <si>
    <t xml:space="preserve">ING080</t>
  </si>
  <si>
    <t xml:space="preserve">Cucumber</t>
  </si>
  <si>
    <t xml:space="preserve">ING081</t>
  </si>
  <si>
    <t xml:space="preserve">Curry Powder (incl. Tandoori/Biryani/Massaman spice mix, Fajita/Cajun/Taco seasoning)</t>
  </si>
  <si>
    <t xml:space="preserve">ING082</t>
  </si>
  <si>
    <t xml:space="preserve">Dark Chocolate (bar, for chopping)</t>
  </si>
  <si>
    <t xml:space="preserve">ING083</t>
  </si>
  <si>
    <t xml:space="preserve">Digestive Biscuit</t>
  </si>
  <si>
    <t xml:space="preserve">ING084</t>
  </si>
  <si>
    <t xml:space="preserve">Dijon Mustard / Wholegrain Mustard</t>
  </si>
  <si>
    <t xml:space="preserve">Mustard</t>
  </si>
  <si>
    <t xml:space="preserve">ING085</t>
  </si>
  <si>
    <t xml:space="preserve">Dried Herbs &amp; Ground Spices (oregano, thyme, cumin, paprika, turmeric, cinnamon, allspice, garam masala, five spice, etc.)</t>
  </si>
  <si>
    <t xml:space="preserve">Standard reference nutrition value for the generic food (not brand-specific). Used in small (sub-5g) quantities per recipe so the macro contribution is minor either way; one shared</t>
  </si>
  <si>
    <t xml:space="preserve">ING086</t>
  </si>
  <si>
    <t xml:space="preserve">Dried Lasagne Sheets</t>
  </si>
  <si>
    <t xml:space="preserve">ING087</t>
  </si>
  <si>
    <t xml:space="preserve">Dried Red Lentils</t>
  </si>
  <si>
    <t xml:space="preserve">ING088</t>
  </si>
  <si>
    <t xml:space="preserve">Duck Breast, skin removed (raw)</t>
  </si>
  <si>
    <t xml:space="preserve">ING089</t>
  </si>
  <si>
    <t xml:space="preserve">Edamame Beans, shelled (cooked)</t>
  </si>
  <si>
    <t xml:space="preserve">Soybeans</t>
  </si>
  <si>
    <t xml:space="preserve">ING090</t>
  </si>
  <si>
    <t xml:space="preserve">Egg Yolk (medium)</t>
  </si>
  <si>
    <t xml:space="preserve">ING091</t>
  </si>
  <si>
    <t xml:space="preserve">Fat-Free Skyr / Skyr Yoghurt</t>
  </si>
  <si>
    <t xml:space="preserve">ING092</t>
  </si>
  <si>
    <t xml:space="preserve">Fennel Bulb</t>
  </si>
  <si>
    <t xml:space="preserve">ING093</t>
  </si>
  <si>
    <t xml:space="preserve">Feta</t>
  </si>
  <si>
    <t xml:space="preserve">ING094</t>
  </si>
  <si>
    <t xml:space="preserve">Firm Tofu</t>
  </si>
  <si>
    <t xml:space="preserve">ING095</t>
  </si>
  <si>
    <t xml:space="preserve">Fish Sauce</t>
  </si>
  <si>
    <t xml:space="preserve">ING096</t>
  </si>
  <si>
    <t xml:space="preserve">Flaxseed / Flaxseeds</t>
  </si>
  <si>
    <t xml:space="preserve">ING097</t>
  </si>
  <si>
    <t xml:space="preserve">Flour Tortilla (small)</t>
  </si>
  <si>
    <t xml:space="preserve">ING098</t>
  </si>
  <si>
    <t xml:space="preserve">Fresh Ginger (per cm piece, ~2g)</t>
  </si>
  <si>
    <t xml:space="preserve">ING099</t>
  </si>
  <si>
    <t xml:space="preserve">Fresh Herbs (basil, coriander, parsley, mint, dill, chives, rosemary, thyme sprigs, etc.)</t>
  </si>
  <si>
    <t xml:space="preserve">Standard reference nutrition value for the generic food (not brand-specific). Typically used as a garnish in small quantities (a handful/few sprigs) - macro contribution is minor.</t>
  </si>
  <si>
    <t xml:space="preserve">ING100</t>
  </si>
  <si>
    <t xml:space="preserve">Fresh Potato Gnocchi</t>
  </si>
  <si>
    <t xml:space="preserve">ING101</t>
  </si>
  <si>
    <t xml:space="preserve">Fresh Tomato Salsa</t>
  </si>
  <si>
    <t xml:space="preserve">ING102</t>
  </si>
  <si>
    <t xml:space="preserve">Frozen Peas</t>
  </si>
  <si>
    <t xml:space="preserve">ING103</t>
  </si>
  <si>
    <t xml:space="preserve">Full-Fat Coconut Milk</t>
  </si>
  <si>
    <t xml:space="preserve">ING104</t>
  </si>
  <si>
    <t xml:space="preserve">Garlic Clove</t>
  </si>
  <si>
    <t xml:space="preserve">ING105</t>
  </si>
  <si>
    <t xml:space="preserve">Gherkin / Pickles</t>
  </si>
  <si>
    <t xml:space="preserve">ING106</t>
  </si>
  <si>
    <t xml:space="preserve">Goat Meat, lean (raw)</t>
  </si>
  <si>
    <t xml:space="preserve">ING107</t>
  </si>
  <si>
    <t xml:space="preserve">Granola</t>
  </si>
  <si>
    <t xml:space="preserve">Gluten|Nuts</t>
  </si>
  <si>
    <t xml:space="preserve">ING108</t>
  </si>
  <si>
    <t xml:space="preserve">Greek Flatbread</t>
  </si>
  <si>
    <t xml:space="preserve">ING109</t>
  </si>
  <si>
    <t xml:space="preserve">Green Beans / Mangetout</t>
  </si>
  <si>
    <t xml:space="preserve">ING110</t>
  </si>
  <si>
    <t xml:space="preserve">Ground Almonds</t>
  </si>
  <si>
    <t xml:space="preserve">ING111</t>
  </si>
  <si>
    <t xml:space="preserve">Halloumi</t>
  </si>
  <si>
    <t xml:space="preserve">ING112</t>
  </si>
  <si>
    <t xml:space="preserve">Harissa / Korean Chilli Paste / Chilli Paste</t>
  </si>
  <si>
    <t xml:space="preserve">ING113</t>
  </si>
  <si>
    <t xml:space="preserve">Hoisin Sauce (incl. Reduced-Sugar)</t>
  </si>
  <si>
    <t xml:space="preserve">Gluten|Soybeans</t>
  </si>
  <si>
    <t xml:space="preserve">ING114</t>
  </si>
  <si>
    <t xml:space="preserve">Hummus</t>
  </si>
  <si>
    <t xml:space="preserve">Sesame</t>
  </si>
  <si>
    <t xml:space="preserve">ING115</t>
  </si>
  <si>
    <t xml:space="preserve">Jalapeño</t>
  </si>
  <si>
    <t xml:space="preserve">ING116</t>
  </si>
  <si>
    <t xml:space="preserve">Kidney Beans, tinned (drained)</t>
  </si>
  <si>
    <t xml:space="preserve">ING117</t>
  </si>
  <si>
    <t xml:space="preserve">King Prawns, raw (peeled)</t>
  </si>
  <si>
    <t xml:space="preserve">ING118</t>
  </si>
  <si>
    <t xml:space="preserve">Kiwi Fruit</t>
  </si>
  <si>
    <t xml:space="preserve">ING119</t>
  </si>
  <si>
    <t xml:space="preserve">Lamb Breast (raw, fatty cut)</t>
  </si>
  <si>
    <t xml:space="preserve">ING120</t>
  </si>
  <si>
    <t xml:space="preserve">Lamb Loin Chops (well-trimmed, raw, bone-in weight)</t>
  </si>
  <si>
    <t xml:space="preserve">ING121</t>
  </si>
  <si>
    <t xml:space="preserve">Large Wholemeal Tortilla Wrap</t>
  </si>
  <si>
    <t xml:space="preserve">ING122</t>
  </si>
  <si>
    <t xml:space="preserve">Lean Beef Brisket / Shin / Chuck (trimmed, raw)</t>
  </si>
  <si>
    <t xml:space="preserve">ING123</t>
  </si>
  <si>
    <t xml:space="preserve">Lean Beef Mince, 5% Fat (raw)</t>
  </si>
  <si>
    <t xml:space="preserve">ING124</t>
  </si>
  <si>
    <t xml:space="preserve">Lean Beef Steak (rump/sirloin, trimmed, raw)</t>
  </si>
  <si>
    <t xml:space="preserve">ING125</t>
  </si>
  <si>
    <t xml:space="preserve">Lean Chicken Breast Mince (raw)</t>
  </si>
  <si>
    <t xml:space="preserve">ING126</t>
  </si>
  <si>
    <t xml:space="preserve">Lean Lamb Leg / Shoulder (trimmed, raw)</t>
  </si>
  <si>
    <t xml:space="preserve">ING127</t>
  </si>
  <si>
    <t xml:space="preserve">Lean Lamb Mince, 10% Fat (raw)</t>
  </si>
  <si>
    <t xml:space="preserve">ING128</t>
  </si>
  <si>
    <t xml:space="preserve">Lean Turkey Mince, 5% Fat (raw)</t>
  </si>
  <si>
    <t xml:space="preserve">ING129</t>
  </si>
  <si>
    <t xml:space="preserve">Lemon (whole, for juice/zest)</t>
  </si>
  <si>
    <t xml:space="preserve">ING130</t>
  </si>
  <si>
    <t xml:space="preserve">Lemon or Lime Juice (squeeze, ~5ml)</t>
  </si>
  <si>
    <t xml:space="preserve">ING131</t>
  </si>
  <si>
    <t xml:space="preserve">Lemongrass Stalk</t>
  </si>
  <si>
    <t xml:space="preserve">ING132</t>
  </si>
  <si>
    <t xml:space="preserve">Light Coconut Milk</t>
  </si>
  <si>
    <t xml:space="preserve">ING133</t>
  </si>
  <si>
    <t xml:space="preserve">Light Mayonnaise</t>
  </si>
  <si>
    <t xml:space="preserve">ING134</t>
  </si>
  <si>
    <t xml:space="preserve">Lime (whole, for juice/zest)</t>
  </si>
  <si>
    <t xml:space="preserve">ING135</t>
  </si>
  <si>
    <t xml:space="preserve">Low-Calorie Cooking / Oil Spray</t>
  </si>
  <si>
    <t xml:space="preserve">Negligible per light spray used - not intended to be scaled as a meaningful macro contributor.</t>
  </si>
  <si>
    <t xml:space="preserve">ING136</t>
  </si>
  <si>
    <t xml:space="preserve">Low-Fat Crème Fraîche</t>
  </si>
  <si>
    <t xml:space="preserve">ING137</t>
  </si>
  <si>
    <t xml:space="preserve">Mango Chutney</t>
  </si>
  <si>
    <t xml:space="preserve">ING138</t>
  </si>
  <si>
    <t xml:space="preserve">Mango, fresh (diced/pureed)</t>
  </si>
  <si>
    <t xml:space="preserve">ING139</t>
  </si>
  <si>
    <t xml:space="preserve">Mature Cheddar</t>
  </si>
  <si>
    <t xml:space="preserve">ING140</t>
  </si>
  <si>
    <t xml:space="preserve">Medium Egg Noodles (dry weight)</t>
  </si>
  <si>
    <t xml:space="preserve">ING141</t>
  </si>
  <si>
    <t xml:space="preserve">Mirin</t>
  </si>
  <si>
    <t xml:space="preserve">ING142</t>
  </si>
  <si>
    <t xml:space="preserve">Mixed / Frozen Berries (blueberries, raspberries, strawberries mix)</t>
  </si>
  <si>
    <t xml:space="preserve">ING143</t>
  </si>
  <si>
    <t xml:space="preserve">Mixed Salad Leaves / Little Gem / Romaine / Lettuce</t>
  </si>
  <si>
    <t xml:space="preserve">ING144</t>
  </si>
  <si>
    <t xml:space="preserve">Mixed Seafood (prawns/squid/mussels mix, raw)</t>
  </si>
  <si>
    <t xml:space="preserve">Crustaceans|Molluscs</t>
  </si>
  <si>
    <t xml:space="preserve">ING145</t>
  </si>
  <si>
    <t xml:space="preserve">Mushrooms (incl. Chestnut/Portobello)</t>
  </si>
  <si>
    <t xml:space="preserve">ING146</t>
  </si>
  <si>
    <t xml:space="preserve">Mussels, cooked (meat only)</t>
  </si>
  <si>
    <t xml:space="preserve">Molluscs</t>
  </si>
  <si>
    <t xml:space="preserve">ING147</t>
  </si>
  <si>
    <t xml:space="preserve">Mustard Seeds</t>
  </si>
  <si>
    <t xml:space="preserve">ING148</t>
  </si>
  <si>
    <t xml:space="preserve">Nduja (spreadable spiced sausage)</t>
  </si>
  <si>
    <t xml:space="preserve">Sulphites</t>
  </si>
  <si>
    <t xml:space="preserve">ING149</t>
  </si>
  <si>
    <t xml:space="preserve">Onion / White Onion</t>
  </si>
  <si>
    <t xml:space="preserve">ING150</t>
  </si>
  <si>
    <t xml:space="preserve">Orange (whole, for juice/zest)</t>
  </si>
  <si>
    <t xml:space="preserve">ING151</t>
  </si>
  <si>
    <t xml:space="preserve">Orzo Pasta (dry weight)</t>
  </si>
  <si>
    <t xml:space="preserve">ING152</t>
  </si>
  <si>
    <t xml:space="preserve">Oyster Sauce</t>
  </si>
  <si>
    <t xml:space="preserve">Soybeans|Molluscs</t>
  </si>
  <si>
    <t xml:space="preserve">ING153</t>
  </si>
  <si>
    <t xml:space="preserve">Pak Choi</t>
  </si>
  <si>
    <t xml:space="preserve">ING154</t>
  </si>
  <si>
    <t xml:space="preserve">Parmesan</t>
  </si>
  <si>
    <t xml:space="preserve">ING155</t>
  </si>
  <si>
    <t xml:space="preserve">Passata / Chopped Tomatoes (tinned)</t>
  </si>
  <si>
    <t xml:space="preserve">ING156</t>
  </si>
  <si>
    <t xml:space="preserve">Pasta, dry weight (penne/fusilli/linguine/spaghetti/tagliatelle/macaroni/pappardelle)</t>
  </si>
  <si>
    <t xml:space="preserve">ING157</t>
  </si>
  <si>
    <t xml:space="preserve">Peach</t>
  </si>
  <si>
    <t xml:space="preserve">ING158</t>
  </si>
  <si>
    <t xml:space="preserve">Pecan Nuts</t>
  </si>
  <si>
    <t xml:space="preserve">ING159</t>
  </si>
  <si>
    <t xml:space="preserve">Peri-Peri / Jerk Marinade or Seasoning</t>
  </si>
  <si>
    <t xml:space="preserve">ING160</t>
  </si>
  <si>
    <t xml:space="preserve">Pine Nuts</t>
  </si>
  <si>
    <t xml:space="preserve">ING161</t>
  </si>
  <si>
    <t xml:space="preserve">Pineapple, fresh or tinned (in juice, drained)</t>
  </si>
  <si>
    <t xml:space="preserve">ING162</t>
  </si>
  <si>
    <t xml:space="preserve">Pitta Bread (white or wholemeal)</t>
  </si>
  <si>
    <t xml:space="preserve">ING163</t>
  </si>
  <si>
    <t xml:space="preserve">Pitted Dates</t>
  </si>
  <si>
    <t xml:space="preserve">ING164</t>
  </si>
  <si>
    <t xml:space="preserve">Plain Flour / Self-Raising Flour</t>
  </si>
  <si>
    <t xml:space="preserve">ING165</t>
  </si>
  <si>
    <t xml:space="preserve">Pomegranate Seeds</t>
  </si>
  <si>
    <t xml:space="preserve">ING166</t>
  </si>
  <si>
    <t xml:space="preserve">Pork Fillet / Tenderloin (raw)</t>
  </si>
  <si>
    <t xml:space="preserve">ING167</t>
  </si>
  <si>
    <t xml:space="preserve">Potato (white, incl. new/baby potatoes)</t>
  </si>
  <si>
    <t xml:space="preserve">ING168</t>
  </si>
  <si>
    <t xml:space="preserve">Pumpkin Seeds (toasted)</t>
  </si>
  <si>
    <t xml:space="preserve">ING169</t>
  </si>
  <si>
    <t xml:space="preserve">Raisins</t>
  </si>
  <si>
    <t xml:space="preserve">ING170</t>
  </si>
  <si>
    <t xml:space="preserve">Rapeseed Oil</t>
  </si>
  <si>
    <t xml:space="preserve">ING171</t>
  </si>
  <si>
    <t xml:space="preserve">Red / Green / Yellow Pepper</t>
  </si>
  <si>
    <t xml:space="preserve">ING172</t>
  </si>
  <si>
    <t xml:space="preserve">Red Chilli / Chilli Pepper</t>
  </si>
  <si>
    <t xml:space="preserve">ING173</t>
  </si>
  <si>
    <t xml:space="preserve">Red Onion</t>
  </si>
  <si>
    <t xml:space="preserve">ING174</t>
  </si>
  <si>
    <t xml:space="preserve">Red or White Wine (for cooking)</t>
  </si>
  <si>
    <t xml:space="preserve">ING175</t>
  </si>
  <si>
    <t xml:space="preserve">Reduced-Fat Cheddar</t>
  </si>
  <si>
    <t xml:space="preserve">ING176</t>
  </si>
  <si>
    <t xml:space="preserve">Reduced-Fat Mozzarella (incl. "Light Mozzarella")</t>
  </si>
  <si>
    <t xml:space="preserve">ING177</t>
  </si>
  <si>
    <t xml:space="preserve">Rice Vinegar / Rice Wine Vinegar / White Wine Vinegar / White Vinegar</t>
  </si>
  <si>
    <t xml:space="preserve">ING178</t>
  </si>
  <si>
    <t xml:space="preserve">Roasted Peanuts (crushed/ground)</t>
  </si>
  <si>
    <t xml:space="preserve">ING179</t>
  </si>
  <si>
    <t xml:space="preserve">Rocket Leaves</t>
  </si>
  <si>
    <t xml:space="preserve">ING180</t>
  </si>
  <si>
    <t xml:space="preserve">Saffron Strands (pinch)</t>
  </si>
  <si>
    <t xml:space="preserve">ING181</t>
  </si>
  <si>
    <t xml:space="preserve">Sake</t>
  </si>
  <si>
    <t xml:space="preserve">ING182</t>
  </si>
  <si>
    <t xml:space="preserve">Salmon Fillet (raw)</t>
  </si>
  <si>
    <t xml:space="preserve">ING183</t>
  </si>
  <si>
    <t xml:space="preserve">Salt Fish (dried salted cod, soaked/rehydrated)</t>
  </si>
  <si>
    <t xml:space="preserve">ING184</t>
  </si>
  <si>
    <t xml:space="preserve">Salt, Black Pepper &amp; General Seasoning (to taste)</t>
  </si>
  <si>
    <t xml:space="preserve">ING185</t>
  </si>
  <si>
    <t xml:space="preserve">Scotch Bonnet Chilli</t>
  </si>
  <si>
    <t xml:space="preserve">ING186</t>
  </si>
  <si>
    <t xml:space="preserve">Sea Bass Fillet (raw)</t>
  </si>
  <si>
    <t xml:space="preserve">ING187</t>
  </si>
  <si>
    <t xml:space="preserve">Sesame Oil</t>
  </si>
  <si>
    <t xml:space="preserve">ING188</t>
  </si>
  <si>
    <t xml:space="preserve">Sesame Seeds (incl. black sesame)</t>
  </si>
  <si>
    <t xml:space="preserve">ING189</t>
  </si>
  <si>
    <t xml:space="preserve">Shallot</t>
  </si>
  <si>
    <t xml:space="preserve">ING190</t>
  </si>
  <si>
    <t xml:space="preserve">Silken Tofu</t>
  </si>
  <si>
    <t xml:space="preserve">ING191</t>
  </si>
  <si>
    <t xml:space="preserve">Skimmed Milk</t>
  </si>
  <si>
    <t xml:space="preserve">ING192</t>
  </si>
  <si>
    <t xml:space="preserve">Soy Sauce (Light / Reduced-Salt)</t>
  </si>
  <si>
    <t xml:space="preserve">ING193</t>
  </si>
  <si>
    <t xml:space="preserve">Spinach, fresh or frozen (thawed weight)</t>
  </si>
  <si>
    <t xml:space="preserve">ING194</t>
  </si>
  <si>
    <t xml:space="preserve">Spring Onion (each)</t>
  </si>
  <si>
    <t xml:space="preserve">ING195</t>
  </si>
  <si>
    <t xml:space="preserve">Sriracha / Buffalo Hot Sauce</t>
  </si>
  <si>
    <t xml:space="preserve">ING196</t>
  </si>
  <si>
    <t xml:space="preserve">Steamed Bao Bun</t>
  </si>
  <si>
    <t xml:space="preserve">ING197</t>
  </si>
  <si>
    <t xml:space="preserve">Stock (Chicken / Beef / Fish / Vegetable, low salt)</t>
  </si>
  <si>
    <t xml:space="preserve">ING198</t>
  </si>
  <si>
    <t xml:space="preserve">Stock Cube (chicken/beef/vegetable)</t>
  </si>
  <si>
    <t xml:space="preserve">ING199</t>
  </si>
  <si>
    <t xml:space="preserve">Strawberries</t>
  </si>
  <si>
    <t xml:space="preserve">ING200</t>
  </si>
  <si>
    <t xml:space="preserve">Sweet Chilli Sauce (incl. Reduced-Sugar)</t>
  </si>
  <si>
    <t xml:space="preserve">ING201</t>
  </si>
  <si>
    <t xml:space="preserve">Sweet Potato</t>
  </si>
  <si>
    <t xml:space="preserve">ING202</t>
  </si>
  <si>
    <t xml:space="preserve">Sweetcorn Kernels</t>
  </si>
  <si>
    <t xml:space="preserve">ING203</t>
  </si>
  <si>
    <t xml:space="preserve">Tahini</t>
  </si>
  <si>
    <t xml:space="preserve">ING204</t>
  </si>
  <si>
    <t xml:space="preserve">Thai Curry Paste (Green/Red/Yellow/Massaman)</t>
  </si>
  <si>
    <t xml:space="preserve">Crustaceans|Fish</t>
  </si>
  <si>
    <t xml:space="preserve">Standard reference value for a typical Thai curry paste - some brands add shrimp paste (crustacean/fish traces), check the specific product's allergen label.</t>
  </si>
  <si>
    <t xml:space="preserve">ING205</t>
  </si>
  <si>
    <t xml:space="preserve">Tomato (standard / beef tomato)</t>
  </si>
  <si>
    <t xml:space="preserve">ING206</t>
  </si>
  <si>
    <t xml:space="preserve">Tomato Purée / Tomato Ketchup</t>
  </si>
  <si>
    <t xml:space="preserve">ING207</t>
  </si>
  <si>
    <t xml:space="preserve">Tomato Relish</t>
  </si>
  <si>
    <t xml:space="preserve">ING208</t>
  </si>
  <si>
    <t xml:space="preserve">Tuna Steak, fresh (raw)</t>
  </si>
  <si>
    <t xml:space="preserve">ING209</t>
  </si>
  <si>
    <t xml:space="preserve">Tuna, tinned in spring water (drained)</t>
  </si>
  <si>
    <t xml:space="preserve">ING210</t>
  </si>
  <si>
    <t xml:space="preserve">Udon Noodles (dry weight)</t>
  </si>
  <si>
    <t xml:space="preserve">ING211</t>
  </si>
  <si>
    <t xml:space="preserve">Unsweetened Almond Milk</t>
  </si>
  <si>
    <t xml:space="preserve">ING212</t>
  </si>
  <si>
    <t xml:space="preserve">Unsweetened Coconut Flakes / Shredded Coconut</t>
  </si>
  <si>
    <t xml:space="preserve">ING213</t>
  </si>
  <si>
    <t xml:space="preserve">Vegetable Oil</t>
  </si>
  <si>
    <t xml:space="preserve">ING214</t>
  </si>
  <si>
    <t xml:space="preserve">Vine Tomato / Portobello Mushroom / Asparagus (grilled side veg)</t>
  </si>
  <si>
    <t xml:space="preserve">ING215</t>
  </si>
  <si>
    <t xml:space="preserve">Walnuts</t>
  </si>
  <si>
    <t xml:space="preserve">ING216</t>
  </si>
  <si>
    <t xml:space="preserve">White / Red Cabbage</t>
  </si>
  <si>
    <t xml:space="preserve">ING217</t>
  </si>
  <si>
    <t xml:space="preserve">White Bread (slice)</t>
  </si>
  <si>
    <t xml:space="preserve">ING218</t>
  </si>
  <si>
    <t xml:space="preserve">White Crab Meat</t>
  </si>
  <si>
    <t xml:space="preserve">ING219</t>
  </si>
  <si>
    <t xml:space="preserve">White Fish Fillet (e.g. Cod, Hake, Monkfish, Sea Bass) (raw)</t>
  </si>
  <si>
    <t xml:space="preserve">ING220</t>
  </si>
  <si>
    <t xml:space="preserve">White Miso Paste</t>
  </si>
  <si>
    <t xml:space="preserve">ING221</t>
  </si>
  <si>
    <t xml:space="preserve">Wholemeal / Wholegrain Bread (slice)</t>
  </si>
  <si>
    <t xml:space="preserve">ING222</t>
  </si>
  <si>
    <t xml:space="preserve">Wholemeal Flatbread</t>
  </si>
  <si>
    <t xml:space="preserve">ING223</t>
  </si>
  <si>
    <t xml:space="preserve">Wonton Wrapper</t>
  </si>
  <si>
    <t xml:space="preserve">ING224</t>
  </si>
  <si>
    <t xml:space="preserve">Worcestershire Sauce</t>
  </si>
  <si>
    <t xml:space="preserve">ING225</t>
  </si>
  <si>
    <t xml:space="preserve">Yam</t>
  </si>
  <si>
    <t xml:space="preserve">ING226</t>
  </si>
  <si>
    <t xml:space="preserve">Quinoa (dry weight)</t>
  </si>
  <si>
    <t xml:space="preserve">Standard reference nutrition value (new ingredient, added 2026-09-11).</t>
  </si>
  <si>
    <t xml:space="preserve">ING227</t>
  </si>
  <si>
    <t xml:space="preserve">Butternut Squash</t>
  </si>
  <si>
    <t xml:space="preserve">ING228</t>
  </si>
  <si>
    <t xml:space="preserve">Dried Apricots</t>
  </si>
  <si>
    <t xml:space="preserve">ING229</t>
  </si>
  <si>
    <t xml:space="preserve">Mixed Nuts, chopped</t>
  </si>
  <si>
    <t xml:space="preserve">ING230</t>
  </si>
  <si>
    <t xml:space="preserve">Haddock Fillet (raw)</t>
  </si>
  <si>
    <t xml:space="preserve">ING231</t>
  </si>
  <si>
    <t xml:space="preserve">Mackerel Fillet (fresh or smoked)</t>
  </si>
  <si>
    <t xml:space="preserve">Standard reference value, mid-point between fresh and smoked mackerel - flag for Graeme if a specific product should be used instead.</t>
  </si>
  <si>
    <t xml:space="preserve">ING232</t>
  </si>
  <si>
    <t xml:space="preserve">Goji Berries (dried)</t>
  </si>
  <si>
    <t xml:space="preserve">ING233</t>
  </si>
  <si>
    <t xml:space="preserve">Weetabix Protein biscuit (each, ~19g)</t>
  </si>
  <si>
    <t xml:space="preserve">Generic placeholder - brand/product not yet confirmed. Standard reference value.</t>
  </si>
  <si>
    <t xml:space="preserve">ING234</t>
  </si>
  <si>
    <t xml:space="preserve">High Protein Pancake, M&amp;S (each, ~35g)</t>
  </si>
  <si>
    <t xml:space="preserve">Generic placeholder for M&amp;S High Protein Pancakes - exact label values not yet confirmed. Standard reference value.</t>
  </si>
  <si>
    <t xml:space="preserve">ING235</t>
  </si>
  <si>
    <t xml:space="preserve">Kimchi</t>
  </si>
  <si>
    <t xml:space="preserve">ING236</t>
  </si>
  <si>
    <t xml:space="preserve">Brown Rice (dry weight)</t>
  </si>
  <si>
    <t xml:space="preserve">ING237</t>
  </si>
  <si>
    <t xml:space="preserve">Cottage Cheese, reduced fat</t>
  </si>
  <si>
    <t xml:space="preserve">ING238</t>
  </si>
  <si>
    <t xml:space="preserve">Rhubarb</t>
  </si>
  <si>
    <t xml:space="preserve">ING239</t>
  </si>
  <si>
    <t xml:space="preserve">Pear</t>
  </si>
  <si>
    <t xml:space="preserve">ING240</t>
  </si>
  <si>
    <t xml:space="preserve">Light Cream (15% fat)</t>
  </si>
  <si>
    <t xml:space="preserve">ING241</t>
  </si>
  <si>
    <t xml:space="preserve">Rice Noodles (dry weight)</t>
  </si>
  <si>
    <t xml:space="preserve">ING242</t>
  </si>
  <si>
    <t xml:space="preserve">Rice Cake, lightly salted (each, ~9g)</t>
  </si>
  <si>
    <t xml:space="preserve">ING243</t>
  </si>
  <si>
    <t xml:space="preserve">Guacamole</t>
  </si>
  <si>
    <t xml:space="preserve">ING244</t>
  </si>
  <si>
    <t xml:space="preserve">Teriyaki Sauce</t>
  </si>
  <si>
    <t xml:space="preserve">ING245</t>
  </si>
  <si>
    <t xml:space="preserve">Beetroot, raw or roasted</t>
  </si>
  <si>
    <t xml:space="preserve">ING246</t>
  </si>
  <si>
    <t xml:space="preserve">Apple Juice</t>
  </si>
  <si>
    <t xml:space="preserve">ING247</t>
  </si>
  <si>
    <t xml:space="preserve">Prosciutto / Cured Ham (thin slices)</t>
  </si>
  <si>
    <t xml:space="preserve">Standard reference nutrition value (new ingredient, added 2026-09-11 second batch).</t>
  </si>
  <si>
    <t xml:space="preserve">ING248</t>
  </si>
  <si>
    <t xml:space="preserve">Bacon Rashers (cooked)</t>
  </si>
  <si>
    <t xml:space="preserve">ING249</t>
  </si>
  <si>
    <t xml:space="preserve">Ham (cooked slices)</t>
  </si>
  <si>
    <t xml:space="preserve">ING250</t>
  </si>
  <si>
    <t xml:space="preserve">Stevia / Granulated Sweetener (near-zero calorie)</t>
  </si>
  <si>
    <t xml:space="preserve">ING251</t>
  </si>
  <si>
    <t xml:space="preserve">Apple Sauce, unsweetened</t>
  </si>
  <si>
    <t xml:space="preserve">ING252</t>
  </si>
  <si>
    <t xml:space="preserve">Turkey Breast, skinless (raw, sliced)</t>
  </si>
  <si>
    <t xml:space="preserve">ING253</t>
  </si>
  <si>
    <t xml:space="preserve">'Cherry Active' Montmorency Cherry Concentrate (each sachet, ~30ml)</t>
  </si>
  <si>
    <t xml:space="preserve">Generic placeholder for 'Cherry Active' branded sachet - exact label values not yet confirmed. Standard reference value.</t>
  </si>
  <si>
    <t xml:space="preserve">ING254</t>
  </si>
  <si>
    <t xml:space="preserve">Broad Beans</t>
  </si>
  <si>
    <t xml:space="preserve">ING255</t>
  </si>
  <si>
    <t xml:space="preserve">Seeded Bread (slice)</t>
  </si>
  <si>
    <t xml:space="preserve">Gluten|Sesame</t>
  </si>
  <si>
    <t xml:space="preserve">ING256</t>
  </si>
  <si>
    <t xml:space="preserve">Patak's Korma Curry Paste</t>
  </si>
  <si>
    <t xml:space="preserve">Standard reference value for a jarred korma paste - close to Patak's own published figures but not label-confirmed.</t>
  </si>
  <si>
    <t xml:space="preserve">ING257</t>
  </si>
  <si>
    <t xml:space="preserve">Orange Juice</t>
  </si>
  <si>
    <t xml:space="preserve">ING258</t>
  </si>
  <si>
    <t xml:space="preserve">Full-Fat Milk (whole milk)</t>
  </si>
  <si>
    <t xml:space="preserve">slot</t>
  </si>
  <si>
    <t xml:space="preserve">servings</t>
  </si>
  <si>
    <t xml:space="preserve">method</t>
  </si>
  <si>
    <t xml:space="preserve">notes</t>
  </si>
  <si>
    <t xml:space="preserve">published_kcal</t>
  </si>
  <si>
    <t xml:space="preserve">qa_flag</t>
  </si>
  <si>
    <t xml:space="preserve">R001</t>
  </si>
  <si>
    <t xml:space="preserve">Red Berry &amp; Yoghurt Smoothie</t>
  </si>
  <si>
    <t xml:space="preserve">smoothie</t>
  </si>
  <si>
    <t xml:space="preserve">1. Add all ingredients into a blender &amp; blitz</t>
  </si>
  <si>
    <t xml:space="preserve">R002</t>
  </si>
  <si>
    <t xml:space="preserve">Green Boost Smoothie</t>
  </si>
  <si>
    <t xml:space="preserve">R003</t>
  </si>
  <si>
    <t xml:space="preserve">Kiwi &amp; Strawberry Smoothie</t>
  </si>
  <si>
    <t xml:space="preserve">R004</t>
  </si>
  <si>
    <t xml:space="preserve">Banana &amp; Chocolate Energy Smoothie</t>
  </si>
  <si>
    <t xml:space="preserve">1. Roughly chop banana
2. Add all ingredients into a blender &amp; blitz</t>
  </si>
  <si>
    <t xml:space="preserve">R005</t>
  </si>
  <si>
    <t xml:space="preserve">Fuelling Strawberry &amp; Banana Oat Smoothie</t>
  </si>
  <si>
    <t xml:space="preserve">R006</t>
  </si>
  <si>
    <t xml:space="preserve">Banana &amp; Nut Butter Smoothie</t>
  </si>
  <si>
    <t xml:space="preserve">R007</t>
  </si>
  <si>
    <t xml:space="preserve">Casein Bowl</t>
  </si>
  <si>
    <t xml:space="preserve">snack</t>
  </si>
  <si>
    <t xml:space="preserve">1. Add the protein, milk and frozen berries into a blender and blend on low for 10-15 seconds.
2. Stop and scrape the mixture stuck to the sides of the blender before whizzing on high for 5-10 seconds or until the mixture reaches a soft consistency
3. Scoop into a bowl and top with the fresh berries to serve!</t>
  </si>
  <si>
    <t xml:space="preserve">R008</t>
  </si>
  <si>
    <t xml:space="preserve">Chocolate Whey Protein Recovery Bowl</t>
  </si>
  <si>
    <t xml:space="preserve">Prepare the Base
1. Add almond milk, Greek yoghurt and ice cubes to a blender.
2. Add the chocolate whey protein powder, cocoa powder, almond butter &amp; vanilla extract.
3. Blend until smooth and creamy.
4. If too thick, add a splash more almond milk; if too thin, add a few more ice cubes or extra Greek yoghurt.
5. Pour into a bowl. The consistency should be thicker than a smoothie but thin enough to eat with a spoon. Add the Toppings
1. Arrange sliced banana along one side of the bowl.
2. Sprinkle coconut flakes and cacao nibs over the bowl.
3. Sprinkle chia seeds &amp; ½ Crushed Digestive over the top</t>
  </si>
  <si>
    <t xml:space="preserve">R009</t>
  </si>
  <si>
    <t xml:space="preserve">Mixed Berry Whey Protein Recovery Bowl</t>
  </si>
  <si>
    <t xml:space="preserve">Prepare the Base
1. Add almond milk, Greek yoghurt and ice cubes to a blender.
2. Add the whey protein powder, cocoa powder, almond butter &amp; vanilla extract.
3. Blend until smooth and creamy.
4.If too thick, add a splash more almond milk; if too thin, add a few more ice cubes or extra Greek yoghurt.
5. Pour into a bowl. The consistency should be thicker than a smoothie but thin enough to eat with a spoon. Add the Toppings
1. Arrange berries along one side of the bowl.
2. Sprinkle coconut flakes and cacao nibs over the bowl.
3. Sprinkle chia seeds &amp; ½ Crushed Digestive</t>
  </si>
  <si>
    <t xml:space="preserve">R010</t>
  </si>
  <si>
    <t xml:space="preserve">High Protein Energy Balls</t>
  </si>
  <si>
    <t xml:space="preserve">1. In a Large mixing bowl, combine the oats, protein powder, chia seeds, and cocoa powder. Mix well.
2. Add peanut butter, honey, yoghurt, vanilla extract. Mix thoroughly. If mixture is too dry, add more yoghurt. Fold in chocolate chips to finish mixture.
3. Form protein balls (Around tablespoon size)
4. Place balls on a lined baking tray and refrigerate for 30-60 mins.
5. Can be stored for up to 7-days in an air tight container</t>
  </si>
  <si>
    <t xml:space="preserve">Values are PER PROTEIN BALL (recipe makes 20), not the whole batch</t>
  </si>
  <si>
    <t xml:space="preserve">R011</t>
  </si>
  <si>
    <t xml:space="preserve">Chocolate Chip Protein Blondies</t>
  </si>
  <si>
    <t xml:space="preserve">1. Preheat oven to 180 degrees
2.Add your Ingredients into a Large Mixing Bowl and fold together
3. Stir in your chocolate chips and add the mixture to a lined baking tin (or bun cases) and bake for 20-30mins, cut into 10 squares.</t>
  </si>
  <si>
    <t xml:space="preserve">Values are PER BLONDIE (recipe makes 10), not the whole batch</t>
  </si>
  <si>
    <t xml:space="preserve">R012</t>
  </si>
  <si>
    <t xml:space="preserve">Satay Chicken Skewers</t>
  </si>
  <si>
    <t xml:space="preserve">1. Prepare dressing in a separate mixing bowl by combining nut butter &amp; greek yoghurt.
2. Cube large chicken breast and grill/fry until cooked
3. Add cooked chicken to skewers and add dressing
4. Top with finely sliced spring onions and seasoning</t>
  </si>
  <si>
    <t xml:space="preserve">R013</t>
  </si>
  <si>
    <t xml:space="preserve">Almond Butter bars</t>
  </si>
  <si>
    <t xml:space="preserve">1. Pour boiling water over dates and soak for 10 mins
2. Add dates to blender with 6 Tbsps of the water they were soaking in and the almond butter.
3. Blend until a caramel sauce is formed.
4. Add the oats to the mixture and blend until combined.
5. Spread mixture into a lined baking tray.
6. Melt the chocolate and drizzle over.
7. Chill in fridge for 30mins then chop into 16 bars.</t>
  </si>
  <si>
    <t xml:space="preserve">Values are PER SLICE (recipe makes 16), not the whole batch</t>
  </si>
  <si>
    <t xml:space="preserve">R014</t>
  </si>
  <si>
    <t xml:space="preserve">Summer Fruits Greek Yoghurt Bowl</t>
  </si>
  <si>
    <t xml:space="preserve">1. Wash and slice the fruit.
2. Spoon the Greek yoghurt into a serving bowl. Stir in honey if you prefer a sweeter taste.
3. Arrange the fruit on top of the yoghurt.
4. Sprinkle the chopped walnuts, seeds, and shredded coconut on top.</t>
  </si>
  <si>
    <t xml:space="preserve">R015</t>
  </si>
  <si>
    <t xml:space="preserve">Tropical Fruit Greek Yoghurt Bowl</t>
  </si>
  <si>
    <t xml:space="preserve">1. Dice the mango and pineapple into small, bite-sized pieces.
2. Slice the kiwi into thin rounds or half-moons.
3. In a serving bowl, add the Greek yoghurt as the base. If you like it sweeter, stir in the honey.
4.Arrange the diced mango, pineapple, and kiwi on top of the yoghurt.
5. Sprinkle the shredded coconut, chia seeds, and sliced almonds on top.</t>
  </si>
  <si>
    <t xml:space="preserve">R016</t>
  </si>
  <si>
    <t xml:space="preserve">Strawberry, Kiwi &amp; Pecan Greek Yoghurt Bowl</t>
  </si>
  <si>
    <t xml:space="preserve">1. Dice the kiwi and half the strawberries
2. Slightly Chop the pecan nuts
3. In a serving bowl, add the Greek yoghurt as the base. If you like it sweeter, stir in the honey.
4. Arrange the fruits on top of the yoghurt.
5. Sprinkle the pecans and chia seeds over the fruit.</t>
  </si>
  <si>
    <t xml:space="preserve">R017</t>
  </si>
  <si>
    <t xml:space="preserve">Peach &amp; Blueberry Greek Yoghurt Bowl</t>
  </si>
  <si>
    <t xml:space="preserve">1. Prepare the Peach and Blueberries
2. In a serving bowl, add the Greek yoghurt as the base. If you like it sweeter, stir in the honey.
3. Arrange the fruits on top of the yoghurt.
4. Sprinkle the cacao bibs, granola and chia seeds over the fruit.
5. If you want a little something extra, melt over some almond butter.</t>
  </si>
  <si>
    <t xml:space="preserve">R018</t>
  </si>
  <si>
    <t xml:space="preserve">Fuelling Cinnamon &amp; Oat Banana Bread</t>
  </si>
  <si>
    <t xml:space="preserve">1. Place oats into a large mixing bowl
2.Blend the remaining ingredients and pour over the oats and mix thoroughly
3.Pour mixture into a lined bread tin and place in oven at 180* for 30-35 mins.
4. Remove from oven, let cool and slice into 10 slices.</t>
  </si>
  <si>
    <t xml:space="preserve">Values are PER 2 SLICES (recipe makes 5), not the whole batch</t>
  </si>
  <si>
    <t xml:space="preserve">R019</t>
  </si>
  <si>
    <t xml:space="preserve">Banana, Blueberry &amp; Oat Muffins</t>
  </si>
  <si>
    <t xml:space="preserve">1. Preheat oven to 180°
2.In a blender, mix the eggs, coconut oil, banana &amp; Honey until smooth.
3. Add the mixture to a large bowl and mix to form a wet dough. Add in the blueberries (coated with a dusting of flour to stop them falling the the bottom)
4. Transfer the mix and evenly distribute to muffin cases
5. Bake in the oven for 25-30 mins</t>
  </si>
  <si>
    <t xml:space="preserve">Values are PER MUFFIN (recipe makes 4), not the whole batch</t>
  </si>
  <si>
    <t xml:space="preserve">R020</t>
  </si>
  <si>
    <t xml:space="preserve">Greek Yoghurt &amp; Granola Fuel Bowl</t>
  </si>
  <si>
    <t xml:space="preserve">1. Place the Greek yoghurt in a serving bowl.
2. Drizzle half of the honey (7-8g) over the yoghurt and fold in.
3.Sprinkle half of the chia seeds into the yoghurt mixture and stir. Add the Toppings
1. Scatter the granola around the edge of the bowl.
2. Arrange the sliced strawberries.
3. Sprinkle the chopped walnuts and cacao nibs evenly over the surface.
4. Drizzle the remaining honey over the entire bowl.
5. Finish by sprinkling the remaining chia seeds on top with a pinch of cinnamon if desired.</t>
  </si>
  <si>
    <t xml:space="preserve">R021</t>
  </si>
  <si>
    <t xml:space="preserve">Smoked Salmon, Scrambled Eggs &amp; Smashed Avocado on Sourdough</t>
  </si>
  <si>
    <t xml:space="preserve">1. Crack the eggs into a bowl along with the milk and whisk with a fork. Add olive oil to a pan over medium heat.
2. Whilst you wait for the pan to heat, pop the sourdough bread into the toaster
3. Pour the egg mixture into the pan and stir using a spatula, ensuring the egg doesn’t stick.
4. The eggs will be ready when they seem nearly cooked throughout
5.Cut your avocado in half, removing the stone and spoon out the avocado flesh and cut into slices
6. Assemble the avocado, egg and salmon on top of the toasted sourdough bread</t>
  </si>
  <si>
    <t xml:space="preserve">R022</t>
  </si>
  <si>
    <t xml:space="preserve">Mixed Berry &amp; Banana Porridge</t>
  </si>
  <si>
    <t xml:space="preserve">1. Add the oats and milk to a saucepan on low heat and continuously stir.
2. Once thickened to your liking, remove from the saucepan and add to a bowl.
3. Top with your berries, banana, yogurt and peanut butter.
If you are using frozen berries: Add the frozen mixed berries, chopped banana and 150ml water to a saucepan over high heat and stir. After 2-3mins, add in the oats along with 50ml semi skimmed milk. Cook on low heat for a further 5-6mins until thickened to your liking. Transfer to a bowl and top with banana, yogurt and peanut butter.</t>
  </si>
  <si>
    <t xml:space="preserve">R023</t>
  </si>
  <si>
    <t xml:space="preserve">Egg, Avocado &amp; Tomato Breakfast Pitta</t>
  </si>
  <si>
    <t xml:space="preserve">1. Add the oil to a pan and begin to heat. Whilst the oil is warming, whisk the eggs in a small bowl and season.
2. Scramble the eggs over a medium heat for 2-3 minutes.
3. Once cooked remove from the heat. Whilst scrambling the eggs, place the pitta in the toaster until warm .
4. Cut the warm pitta in half creating two pockets. Fill them with the scrambled egg, avocado and tomatoes, top with sriracha sauce and enjoy!</t>
  </si>
  <si>
    <t xml:space="preserve">R024</t>
  </si>
  <si>
    <t xml:space="preserve">Lotus Biscoff &amp; Banana Porridge</t>
  </si>
  <si>
    <t xml:space="preserve">1. Add the oats and milk to a saucepan on low heat and continuously stir.
2. Once thickened to your liking, remove from the saucepan and add to a bowl.
3. Top with banana, yoghurt and Biscoff spread and enjoy!</t>
  </si>
  <si>
    <t xml:space="preserve">R025</t>
  </si>
  <si>
    <t xml:space="preserve">Fuelling Banana &amp; Blueberry Overnight Oats</t>
  </si>
  <si>
    <t xml:space="preserve">1. Place the milk, yoghurt, honey and half the banana into a blender and blitz until smooth
2. Place the oats in a bowl, pour over the smoothie before combining
3. Add the blueberries and the other half of the banana (Chopped) and place in the fridge overnight.
4. Enjoy the next day!</t>
  </si>
  <si>
    <t xml:space="preserve">R026</t>
  </si>
  <si>
    <t xml:space="preserve">Blueberry &amp; Honey Granola Pot</t>
  </si>
  <si>
    <t xml:space="preserve">1. Roughly Mix all the ingredients together and enjoy!
2. Add Layers of extra yoghurt/fruit if required</t>
  </si>
  <si>
    <t xml:space="preserve">R027</t>
  </si>
  <si>
    <t xml:space="preserve">Vanilla &amp; Red Berry Recovery Pancakes</t>
  </si>
  <si>
    <t xml:space="preserve">1. Blend the eggs, banana &amp; whey until the mixture is smooth.
2. Heat the coconut oil in a frying pan over a medium heat.
3. Pour the mixture into the pan to form several small pancakes
4. Cook each batch for 60-90 seconds
5. Plate and serve with your berries and drizzle with honey</t>
  </si>
  <si>
    <t xml:space="preserve">DUPLICATE INGREDIENT: '1 Large Banana' + '1 Small Banana' listed as two separate lines - normalize to a single combined line (e.g. '2 medium bananas') per Graeme's convention. Also flagged below for macro mismatch (ingredient sum ~43% higher than Published Kcal) - worth checking whether this duplica</t>
  </si>
  <si>
    <t xml:space="preserve">R028</t>
  </si>
  <si>
    <t xml:space="preserve">Athlete’s French Toast</t>
  </si>
  <si>
    <t xml:space="preserve">1. Add the milk, egg, cinnamon, one teaspoon of honey and protein powder to a bowl and whisk together using a fork.
2.Heat the oil in a pan over a medium to high heat. Once hot, dip your bread in the whisked mixture, coating well, before transferring to the hot pan.
3. Pan fry for 2-3 minutes each side, or until the fried bread looks golden on both sides.
4. Remove from the pan and plate up. Top with greek yoghurt, fresh berries and the remaining honey and enjoy!</t>
  </si>
  <si>
    <t xml:space="preserve">R029</t>
  </si>
  <si>
    <t xml:space="preserve">Smoky Chicken Salad</t>
  </si>
  <si>
    <t xml:space="preserve">lunchdinner</t>
  </si>
  <si>
    <t xml:space="preserve">1. Heat a pan to high heat with minimal oil and add the chicken (thinly sliced).
2. While cooking, prepare the dressing by combining yoghurt, mustard, oil, lime &amp; paprika in a separate bowl
3. Add Mixed Green Leaves &amp; Rocket in a large bowl.
4. Add in cherry tomato and finely slice peppers and onions.
5. Mix all ingredients together. Once chicken is cooked, lay through the salad bowl and crumple feta cubes.
6. Pour over dressing and enjoy!</t>
  </si>
  <si>
    <t xml:space="preserve">R030</t>
  </si>
  <si>
    <t xml:space="preserve">Chicken &amp; Berry Recovery Bowl</t>
  </si>
  <si>
    <t xml:space="preserve">1. Add the chicken, sweet potato, spinach, berries and nuts to a large mixing bowl.
2. To make the dressing, add the cranberry juice, oil, balsamic, orange zest, dijon and salt and pepper to a small jar before adding the lid and shaking thoroughly. If you don't have a jar then just add to a cup and mix well with a fork.
3. Pour the dressing over the salad and mix everything together thoroughly in the large bowl before plating up to eat!</t>
  </si>
  <si>
    <t xml:space="preserve">R031</t>
  </si>
  <si>
    <t xml:space="preserve">Creamy Mustard Pork &amp; Roasted Potatoes</t>
  </si>
  <si>
    <t xml:space="preserve">1. Roughly chop the potatoes and place in a pre-heated oven.
2. Place a large non-stick frying pan on a high heat. Slice the pork into 6 medallions, bashing to flatten slightly, and roughly slice the mushrooms.
3. Place these in the pan with 1 tablespoon of olive oil and cook for 2 minutes on each side, or until the mushrooms are golden and the pork is cooked through, then remove just the mushrooms to a plate.
4.Add to the pan the mustard and crème fraîche and cook for 1 minute, loosening with a splash of water, if needed, taste and season with salt and black pepper.
5. Once the potatoes are cooked assemble the meal with the remaining sauce from the pan and rocket served on top</t>
  </si>
  <si>
    <t xml:space="preserve">MACRO MISMATCH: ingredient list computes 56% LOWER than Published Kcal (once divided by servings) - ingredients and/or published figure worth a second look against the source card.</t>
  </si>
  <si>
    <t xml:space="preserve">R032</t>
  </si>
  <si>
    <t xml:space="preserve">Thai Rainbow Prawn Salad</t>
  </si>
  <si>
    <t xml:space="preserve">1. Cook the noodles according to packet instructions, drain, and set aside too cool.
2. In a pan, heat the sesame oil, peanut butter, chilli, boiling water, honey and soy sauce, mixing thoroughly to form a thin sauce before adding in the prawns and cooking for 7-8 minutes or until the prawns are cooked. Now turn off the heat and mix through the beansprouts before leaving to cool.
3. In a large bowl, add the noodles, carrots, spring onions, chopped coriander, chopped mint, spinach, cabbage and red pepper and toss loosely to combine.
4. Add the cooked prawns, beansprouts and sauce to the salad mix and squeeze over the fresh lime. Mix throughly to combine.
5. Season to taste and serve up!</t>
  </si>
  <si>
    <t xml:space="preserve">R033</t>
  </si>
  <si>
    <t xml:space="preserve">Chicken &amp; Cashew Nut Stir Fry with Basmati Rice</t>
  </si>
  <si>
    <t xml:space="preserve">1. Combine soy sauce, ginger, garlic, chilli flakes and honey into a marinade; coat chicken with marinade and refrigerate for 15 minutes.
2. Bring rice and water to a boil in a saucepan.
3. Heat 1 tsp coconut oil in a pan. Cook and stir bell pepper, broccoli, and onion until just tender. Remove vegetables from pan.
4. Remove chicken from marinade, reserving liquid. Heat remaining coconut oil in the pan over a medium-high heat. Cook and stir chicken until almost cooked.
5. Return vegetables and left-over marinade to pan. Bring to a boil; cook and stir until chicken is cooked and vegetables are tender.
6. Serve and enjoy!</t>
  </si>
  <si>
    <t xml:space="preserve">R034</t>
  </si>
  <si>
    <t xml:space="preserve">Jamaican Jerk Chicken &amp; Rice</t>
  </si>
  <si>
    <t xml:space="preserve">1. Blend all marinade ingredients until smooth.
2. Poke holes in chicken breast.
3. Put chicken into a large bowl. Pour marinade onto chicken and cover completely.
4. Marinade chicken in the fridge for at least 2 hours.
5. Place marinated chicken in preheated oven @ 200 C for 25-minutes and ensure cooked through.
6. When the chicken is near cooked, prepare your rice with a serving size as per your requirements
7. Add cubed Pineapple to finish</t>
  </si>
  <si>
    <t xml:space="preserve">MACRO MISMATCH: ingredient list computes 94% HIGHER than Published Kcal (once divided by servings) - ingredients and/or published figure worth a second look against the source card.</t>
  </si>
  <si>
    <t xml:space="preserve">R035</t>
  </si>
  <si>
    <t xml:space="preserve">Lemon Salmon &amp; Sweet Potato Cubes</t>
  </si>
  <si>
    <t xml:space="preserve">1. Wash and prep the vegetables accordingly. Cut the ends off the asparagus, carrot and courgette into chunks and cut the cherry tomatoes into halves.
2. Bake Sweet Potato Chunks for 35-45 mins
3. Steam the vegetables on a low to medium heat for 10 minutes.
4. Mix olive oil, chilli flakes, lemon juice and black pepper in a bowl.
5. Pour the mixture over the salmon
6. Place the salmon fillet skin side down on a cold non- stick pan and bring the pan to medium heat and cook for 5- 7 mins. Flip the salmon to the other side for a remaining 5- 7mins until cooked throughout.
7. Serve with the sweet potatoes and vegetables.</t>
  </si>
  <si>
    <t xml:space="preserve">R036</t>
  </si>
  <si>
    <t xml:space="preserve">Sirloin Steak, Roasted Potatoes &amp; Tenderstem Broccoli</t>
  </si>
  <si>
    <t xml:space="preserve">1. Prepare the potatoes and place in a pre-heated oven at 180°C for 30-35 mins (Adjust for taste).
2. Bring a Saucepan to the boil and add tenderstem broccoli
3. When Potatoes are nearing completion, prepare steak and cook on a high-heat (adjust for personal taste).
4. Season Potatoes with Fresh Rosemary
5. Season Broccoli with Chilli Flakes and Salt
6. Serve together and add any optional extras as required</t>
  </si>
  <si>
    <t xml:space="preserve">MACRO MISMATCH: ingredient list computes 54% HIGHER than Published Kcal (once divided by servings) - ingredients and/or published figure worth a second look against the source card.</t>
  </si>
  <si>
    <t xml:space="preserve">R037</t>
  </si>
  <si>
    <t xml:space="preserve">Tunisian Prawn Spaghetti</t>
  </si>
  <si>
    <t xml:space="preserve">1. Boil spaghetti according to packet instructions.
2.Toss prawns with the harissa and leave to marinate for 5- 10 minutes.
3. Place prawns in a large frying pan on medium heat with 1 tbsp olive oil and fry until golden, stir regularly then remove from the pan.
4. Chop and reserve the top of the leafy half of the parsley, then finely slice the stalks and add them to the pan with salt &amp; black pepper.
5. Fry for 1 min, add prawns back in and cook for 1 min.
6. Add pasta into pan, squeeze 1/2 lemon juice over the mixture, add parsley leaves &amp; toss together.
7. To serve, cut the remaining lemon half into wedges and squeeze over.</t>
  </si>
  <si>
    <t xml:space="preserve">R038</t>
  </si>
  <si>
    <t xml:space="preserve">Thai Red Chicken Curry</t>
  </si>
  <si>
    <t xml:space="preserve">1. Slice chicken breast into strips &amp; pat dry
2. Season lightly with salt and pepper
3. Heat a large wok or deep skillet over medium-high heat
4. Add 10ml of coconut milk
5. Fry Thai red curry paste for 2-3 minutes
6.Gradually add remaining coconut milk, stirring constantly
7. Add chicken to the wok
8. Cook for 5-6 minutes, stirring occasionally
9. Add bell peppers, green beans, and bamboo shoots
10. Simmer for additional 3-4 minutes
11. Stir in brown sugar and ginger
12. Add fresh lime juice
13. Garnish with Thai basil, green onions, and top with sliced red chilli
14. Prepare rice per packet instructions and serve together!</t>
  </si>
  <si>
    <t xml:space="preserve">R039</t>
  </si>
  <si>
    <t xml:space="preserve">Chicken Quesadillas with Tomato &amp; Avocado Salsa</t>
  </si>
  <si>
    <t xml:space="preserve">1. Heat olive oil &amp; add 1/4 of the chopped onion and cook
2.Grate lime peel &amp; squeeze the juice into a bowl (save a bit of the lime juice for the salsa!), add salt and pepper – put the chopped chicken into this mixture stirring to coat it evenly
3. Add chicken and lime mixture to the onions in the pan
4. Evenly divide the chicken and cheese (grated) to the 2 tortillas – folding to make them into semi circles
5. Cook the quesadillas in two batches until both sides are browned and heated through
6. To make the Avocado salsa chop the avocado flesh and combine half of this with the left over of onion, halved cherry tomatoes, one garlic clove – blitz until smooth then add the remaining avocado roughly chopped.
7. Serve the quesadilla with the salsa on the side!</t>
  </si>
  <si>
    <t xml:space="preserve">R040</t>
  </si>
  <si>
    <t xml:space="preserve">Lamb Kofta Curry &amp; Basmati Rice</t>
  </si>
  <si>
    <t xml:space="preserve">1.Finely chop the red onion and mince the garlic and set aside.
2. Season the lamb mince with black pepper and chilli flakes. Using your hands, roll into evenly shaped balls and set aside.
3. Cook the rice to packet instructions.
4. Using a large non-stick pan on a low/ medium heat, add the olive oil, add the onion and garlic and fry for 2-3 mins.
5. Add the lamb balls and fry on medium heat for another 10mins, turning occasionally to seal the balls. Season with cumin, paprika, fresh coriander and parsley.
6. Pour in the tinned tomatoes and cook for another 15-20 mins until the sauce has reduced.
7. Serve with the cooked rice and finely sliced red chilli to garnish.</t>
  </si>
  <si>
    <t xml:space="preserve">R041</t>
  </si>
  <si>
    <t xml:space="preserve">Salmon &amp; Mediterranean Tabbouleh with Yoghurt Dressing</t>
  </si>
  <si>
    <t xml:space="preserve">Tabbouleh &amp; Salmon
1. Pour boiling water over bulgur wheat, cover and stand for 20 mins.
2. Fluff with fork &amp; cool to room temperature
3. Preheat oven to 200°C. Brush salmon with olive oil, season with oregano, lemon zest, salt &amp; pepper
4. Bake for 20-25 mins until cooked through
5. Mix cooled bulgur wheat with chopped parsley, mint &amp; add cucumber, tomatoes, and red onion - gently tossing to combine
Greek Yoghurt Dressing
1. Mix Greek yoghurt with lemon juice, olive oil, dill, garlic &amp; season with salt and pepper
To Serve
1. Spread Tabbouleh on plate
2. Place baked salmon on top
3.Drizzle with Greek yogurt dressing and sprinkle pomegranate seeds over the top</t>
  </si>
  <si>
    <t xml:space="preserve">R042</t>
  </si>
  <si>
    <t xml:space="preserve">Honey &amp; Oat Chicken Goujons with Sweet Potato Fries</t>
  </si>
  <si>
    <t xml:space="preserve">1. Preheat the oven to 180°C.
2.Crack the egg into a shallow bowl and mix in the milk. Quickly blend the oats and spices together and place in a separate shallow bowl.
3.Dip the chicken in the egg and milk mix before transferring to the oat and spice mix, rolling the chicken and coating.
4. Place the goujons on a lined baked tray and lightly drizzle with olive oil and honey.
5. Slice the sweet potato into fries, lightly sprinkling with your spice before placing alongside the goujons on the tray.
6. Oven cook the goujons and sweet potato for approximately 25-30 minutes or until they are done. Check the chicken is cooked throughout.
7. While the chicken is cooking slice up some cherry tomatoes and toss through the lettuce before drizzling over with balsamic vinegar.
8.Serve the goujons and sweet potato on a bed of the balsamic salad.</t>
  </si>
  <si>
    <t xml:space="preserve">R043</t>
  </si>
  <si>
    <t xml:space="preserve">Salmon with Blueberry Cous Cous</t>
  </si>
  <si>
    <t xml:space="preserve">1. 1. Cover the cous cous with cold water &amp; leave to the side for 10-15 mins or until the cous cous has absorbed all the water &amp; is soft to touch &amp; crumbles between your fingers. You can use boiling water if you're in a rush and the cous cous should be ready in 3-4 minutes.
2. Season the salmon with salt and pepper before squeezing the lime over it &amp; rubbing it in.
3. Drizzle the salmon with the oil.
4. Place this on a tray and oven bake at 180C for approximately 8-10 minutes or until cooked (it can be pan fried also if this is easier for you!).
5. Toss the rocket, berries and mint through the prepared cous cous &amp; plate up.
6. Serve the cooked salmon on top of the bed of cous cous &amp; drizzle with balsamic glaze before serving!</t>
  </si>
  <si>
    <t xml:space="preserve">R044</t>
  </si>
  <si>
    <t xml:space="preserve">Zesty Chicken Kebabs &amp; Baked Sweet Potato Wedges</t>
  </si>
  <si>
    <t xml:space="preserve">1. Roughly Chop the Sweet Potato and Bake for 30 min @ ~200°C
2. Chop the chicken breasts into even pieces and place into a large bowl. Add the spices, herbs and lime juice and zest to the bowl and mix well. Cover the bowl and leave to marinade in the fridge for 1 hour. While this is happening now is a good time to cook your potatoes according to packet instructions.
3. After marinading, remove the chicken from the fridge and place pieces of chicken onto a kebab stick. Heat a griddle pan over a high heat and place the kebabs onto the pan.
4. Cook the kebabs until golden all over, then finish off by by placing into an oven at 180 C/Gas mark 4 for 5 to 6 minutes to cook through.
5. Once the chicken is cooked through, serve hot alongside the potatoes and side salad (mixed leaves, cucumber and tomatoes).</t>
  </si>
  <si>
    <t xml:space="preserve">R045</t>
  </si>
  <si>
    <t xml:space="preserve">Simple Sticky Korean Beef Stir Fry &amp; Basmati Rice</t>
  </si>
  <si>
    <t xml:space="preserve">1. In a bowl, mix soy sauce, sesame oil, rice vinegar, garlic, ginger, honey, chilli paste, and cornflour.
2. Add the beef strips to the marinade, ensuring each piece is coated. Cover and refrigerate for at least 30 minutes Cook the Beef &amp; Rice:
1. Heat a large non-stick skillet or wok over medium-high heat. Add the marinated beef strips in a single layer, cooking for about 2-3 minutes on each side until browned and slightly sticky. Remove the beef and set aside.
2. Cook the rice to the packet instructions Stir-Fry the Vegetables:
1. In the same skillet, add the olive oil. Once hot, add the onion, red bell pepper and broccoli. Stir-fry for 4-5 minutes until the vegetables are tender but crisp. Combine and Serve:
1.Return the beef to the skillet with the vegetables. Stir everything together for 1-2 minutes to allow the flavours to combine.
2. Serve over the cooked rice. Garnish with sesame seeds, spring onions, and sliced chilies.</t>
  </si>
  <si>
    <t xml:space="preserve">R046</t>
  </si>
  <si>
    <t xml:space="preserve">Chicken &amp; Chickpea Curry</t>
  </si>
  <si>
    <t xml:space="preserve">1. Dice the chicken and sweet potato. Chop the onion and garlic, and grate the ginger.
2. Cook the onion for 5 minutes until soft, then add the garlic, ginger, curry powder and cinnamon.
3. Add the chicken and cook for 5–6 minutes until lightly browned.
4. Add the sweet potato, chickpeas, coconut milk and 200ml chicken stock.
5. Simmer for 20–25 minutes until the chicken is cooked and the sweet potato is soft.
6. Stir in the ground almonds and green beans, then cook for a further 3–5 minutes.
7. Meanwhile, cook the basmati rice according to the packet instructions.
8. Serve the curry with the rice and enjoy!</t>
  </si>
  <si>
    <t xml:space="preserve">R047</t>
  </si>
  <si>
    <t xml:space="preserve">Chicken &amp; Tomato Tagliatelle</t>
  </si>
  <si>
    <t xml:space="preserve">1. Cook the tagliatelle according to the packet instructions. Reserve a small amount of the pasta water before draining.
2.Season the chicken with mixed herbs and pepper. Heat a little of the olive oil in a pan and cook the chicken until browned and cooked through. Remove and set aside.
3.Add the remaining olive oil to the pan with the chopped onion and garlic. Cook for 3–4 minutes until softened.
4. Add the chopped tomatoes, tomato purée and white wine vinegar. Cook for another 3–4 minutes, adding a splash of pasta water to loosen the sauce.
5. Add the cooked tagliatelle and toss through the tomato sauce.
6. Season and serve with the cooked chicken.</t>
  </si>
  <si>
    <t xml:space="preserve">R048</t>
  </si>
  <si>
    <t xml:space="preserve">Sriracha Chicken &amp; Rice Bowl</t>
  </si>
  <si>
    <t xml:space="preserve">1. Dice the chicken into small cubes. Mix the sriracha and lime juice in a bowl. Coat the chicken in the mixture.
2.Grill the chicken chunks for 10-15 minutes until cooked throughout, turning halfway through.
3. In the meantime, cook the rice according to package instructions. Drain and rinse the black beans, combine with the cooked rice and mix well together.
4. Cook the corn on the cob and steam the broccoli.
5. Serve everything into a bowl and enjoy!
6. If wanting to eat later, set in Tupperware, and let it cool. Once cooled, seal and place in the fridge.</t>
  </si>
  <si>
    <t xml:space="preserve">R049</t>
  </si>
  <si>
    <t xml:space="preserve">Mango Chicken Pasta</t>
  </si>
  <si>
    <t xml:space="preserve">1. Cook the tagliatelle according to the packet instructions, then drain and set aside.
2. Heat the olive oil in a non-stick pan. Add the onion, garlic and chicken and cook for 4–5 minutes.
3. Add the mushrooms, pepper, chilli powder, oregano and basil. Cook for another 4–5 minutes, until the chicken is cooked through.
4. Stir in the mango chutney, tomato purée and sliced sun- dried tomatoes.
5. Add the cooked tagliatelle and toss everything together for 2–3 minutes.
6. Season with salt and pepper and serve.</t>
  </si>
  <si>
    <t xml:space="preserve">R050</t>
  </si>
  <si>
    <t xml:space="preserve">Salmon Coconut Curry &amp; Jasmine Rice</t>
  </si>
  <si>
    <t xml:space="preserve">1.Preheat the oven to 200°C. Place the salmon on a lined baking tray and cook for 10–15 minutes, or until cooked through.
2. Heat the olive oil in a large pan over a medium heat.
3. Add the garlic, onion, chilli, ginger and curry leaves. Cook for 2–3 minutes until softened.
4. Add the lemongrass, sliced yellow peppers and curry powder. Cook for another 3–4 minutes.
5. Stir in the lime zest and juice, then add the coconut milk and cherry tomatoes.
6. Bring to a gentle simmer and cook for 8–10 minutes, until the sauce has slightly thickened and the peppers are tender.
7. Meanwhile, cook the jasmine rice according to the packet instructions.
8. Remove the lemongrass from the curry sauce.
9. Serve the salmon with the jasmine rice and spoon the coconut curry sauce over the top.</t>
  </si>
  <si>
    <t xml:space="preserve">R051</t>
  </si>
  <si>
    <t xml:space="preserve">Chicken Shawarma Pasta Salad</t>
  </si>
  <si>
    <t xml:space="preserve">1. Mix the chicken with the garlic, chilli, lemon zest and juice, cumin, paprika, turmeric and cinnamon. Leave to marinate if you have time.
2. Preheat the oven to 200°C. Place the chicken on a tray, drizzle with the olive oil and cook for 15–20 minutes, or until cooked through.
3. Meanwhile, cook the penne according to the packet instructions, then drain and allow to cool slightly.
4.Combine the pasta with the spring onions, cucumber, onion, tomatoes and parsley.
5. Add the cooked chicken, season with salt and pepper and toss everything together.</t>
  </si>
  <si>
    <t xml:space="preserve">R052</t>
  </si>
  <si>
    <t xml:space="preserve">Turkey Spaghetti Bolognese</t>
  </si>
  <si>
    <t xml:space="preserve">1. Heat the olive oil in a large non-stick pan. Add the onion and cook for 3–4 minutes until softened.
2. Add the turkey mince and cook for 4–5 minutes, breaking it up as it cooks.
3. Add the celery, garlic and carrots and cook for another 3–5 minutes.
4. Stir in the chopped tomatoes, tomato purée, oregano and Worcestershire sauce. Season with salt and pepper.
5. Simmer gently for 20–30 minutes, until the sauce has thickened and the turkey is cooked through.
6. Meanwhile, cook the spaghetti according to the packet instructions.
7. Divide the spaghetti between four bowls, top with the turkey bolognese and sprinkle over the Parmesan.</t>
  </si>
  <si>
    <t xml:space="preserve">R053</t>
  </si>
  <si>
    <t xml:space="preserve">Spicy Vegetable Thai Green Curry</t>
  </si>
  <si>
    <t xml:space="preserve">1.Heat the olive oil in a large pan. Add the tofu and cook for 5– 6 minutes until lightly browned.
2. Add the garlic, ginger, chilli, red pepper and courgette and cook for another 3–4 minutes.
3. Stir in the Thai green curry paste, cayenne pepper, peanut butter and soy sauce.
4. Add the coconut milk and chickpeas. Bring to a gentle simmer and cook for 15 minutes.
5. Stir through the lime juice.
6. Meanwhile, cook the basmati rice according to the packet instructions.
7. Divide the rice between four bowls and serve with the curry.</t>
  </si>
  <si>
    <t xml:space="preserve">R054</t>
  </si>
  <si>
    <t xml:space="preserve">Prawn &amp; Pineapple Power Bowl</t>
  </si>
  <si>
    <t xml:space="preserve">1. Heat the coconut oil in a large frying pan over a medium heat.
2. Add the onion, pepper, garlic and ginger and cook for 5–7 minutes until softened.
3. Meanwhile, cook the basmati rice according to the packet instructions.
4. Add the cooked prawns, pineapple and soy sauce to the pan and cook for 3–4 minutes, until the prawns are piping hot.
5. Stir through the cooked rice and coriander, then divide between two bowls and serve.</t>
  </si>
  <si>
    <t xml:space="preserve">R055</t>
  </si>
  <si>
    <t xml:space="preserve">Lamb Souvlaki &amp; Basmati Rice</t>
  </si>
  <si>
    <t xml:space="preserve">1. Mix the olive oil, lemon juice, red wine vinegar, oregano, garlic, salt and pepper in a bowl.
2. Add the lamb and mix well to coat. Cover and marinate in the fridge for at least 30 minutes, or for a few hours if possible.
3. Thread the lamb onto skewers and discard any leftover marinade.
4. Cook under a medium-high grill for around 8–10 minutes, turning regularly, until the lamb is cooked through to your preference.
5. Meanwhile, cook the basmati rice according to the packet instructions.
6. Toss the cucumber, cherry tomatoes and lettuce together to make the side salad.
7. Divide the rice between four plates and serve with the lamb skewers and salad.</t>
  </si>
  <si>
    <t xml:space="preserve">R056</t>
  </si>
  <si>
    <t xml:space="preserve">Fillet Steak with Chimihurri &amp; Baked Sweet Potato Fries</t>
  </si>
  <si>
    <t xml:space="preserve">1. Preheat the oven to 200°C. Cut the sweet potato into fries, toss with around ¾ tsp vegetable oil and a little salt, then bake for 25–30 minutes in the oven.
2. Mix the chilli, coriander, parsley, garlic, olive oil, red wine vinegar, oregano and water to make the chimichurri.
3. Season the steak. Heat the remaining vegetable oil in a frying pan and cook the steak to your preference. Remove and rest.
4. Add the mushrooms and butter to the pan and cook until browned. Stir through the soy sauce.
5. Slice the steak and serve with the sweet potato fries, mushrooms and chimichurri.</t>
  </si>
  <si>
    <t xml:space="preserve">R057</t>
  </si>
  <si>
    <t xml:space="preserve">Crispy Sea Bass with Asian Greens</t>
  </si>
  <si>
    <t xml:space="preserve">1. Cook the rice according to the packet instructions.
2. Mix the cornflour, Chinese five-spice, salt and pepper, then coat the sea bass in the mixture.
3. Heat the sesame oil in a non-stick frying pan. Add the broccoli, pak choi, garlic, ginger and chilli and stir-fry for 3–4 minutes.
4. Add the soy sauce, rice wine vinegar, lime juice and honey. Cook for another 1–2 minutes, then remove the vegetables from the pan and keep warm.
5. Place the sea bass in the hot pan, skin-side down, and cook for 3–4 minutes until crisp. Turn and cook for another 2–3 minutes, or until cooked through.
6. Serve the sea bass with the rice and Asian greens, topped with the sliced spring onions.</t>
  </si>
  <si>
    <t xml:space="preserve">R058</t>
  </si>
  <si>
    <t xml:space="preserve">Lean Beef Salad with Fresh Egg Noodles</t>
  </si>
  <si>
    <t xml:space="preserve">1. Heat a non-stick frying pan over a medium heat. Add the beef mince and cook for 7–10 minutes, breaking it up as it cooks, until browned and cooked through. Season with salt and pepper.
2. Cook the fresh egg noodles according to the packet instructions, then drain.
3. Chop the avocado, tomatoes, cucumber, red pepper, red onion and lettuce.
4. Mix the olive oil and lemon juice together and season with salt and pepper.
5. Add the lettuce and vegetables to a bowl and toss through the dressing.
6. Add the cooked noodles and beef mince.
7. Top with the avocado and serve with the lime on the side.</t>
  </si>
  <si>
    <t xml:space="preserve">MACRO MISMATCH: ingredient list computes 45% HIGHER than Published Kcal (once divided by servings) - ingredients and/or published figure worth a second look against the source card.</t>
  </si>
  <si>
    <t xml:space="preserve">R059</t>
  </si>
  <si>
    <t xml:space="preserve">Salmon Pasta with Green Beans &amp; Lemon-Thyme Vinaigrette</t>
  </si>
  <si>
    <t xml:space="preserve">1. Cook the penne according to the packet instructions. Add the green beans for the final 3–4 minutes. Reserve a small amount of pasta water, then drain.
2. Season the salmon with salt and pepper and brush with 1 tsp olive oil.
3.Heat a non-stick frying pan and cook the salmon for around 3–4 minutes on each side, or until cooked through. Remove and set aside.
4. Return the pasta and beans to the pan. Add the remaining 1 tsp olive oil, lemon zest and juice, thyme and garlic salt.
5. Add a splash of the reserved pasta water and toss everything together.
6. Flake the salmon into large pieces and serve with the pasta and beans. Garnish with lemon wedges and fresh thyme.</t>
  </si>
  <si>
    <t xml:space="preserve">R060</t>
  </si>
  <si>
    <t xml:space="preserve">Chicken &amp; Green Pesto Gnocchi</t>
  </si>
  <si>
    <t xml:space="preserve">1. Cut the chicken into even pieces and season with Italian herbs, salt and pepper.
2. Heat 1 tsp olive oil in a non-stick frying pan and cook the chicken for 6–8 minutes, or until cooked through. Remove and keep warm.
3. To make the pesto, blend the basil, pine nuts, Parmesan, garlic and 15ml olive oil until combined. Season to taste.
4. Cook the gnocchi according to the packet instructions, then drain.
5. Add the gnocchi and cherry tomatoes to the frying pan and cook for 2–3 minutes until lightly golden and the tomatoes begin to soften.
6. Stir through the pesto.
7. Add the cooked chicken and toss everything together.
8. Garnish with fresh basil and serve.</t>
  </si>
  <si>
    <t xml:space="preserve">R061</t>
  </si>
  <si>
    <t xml:space="preserve">Beef Teriyaki Noodles</t>
  </si>
  <si>
    <t xml:space="preserve">1. Slice the beef into thin strips. Coat with the cornflour and season with salt and pepper.
2. Cook the noodles according to the packet instructions, drain and set aside.
3. Mix the soy sauce, rice vinegar, brown sugar, ginger and garlic together.
4. Heat half the sesame oil in a large wok or frying pan over a high heat.
5. Add the beef and stir-fry for 2–3 minutes until browned. Remove and set aside.
6. Add the remaining sesame oil, broccoli, carrot, beansprouts and pepper. Stir-fry for 3–4 minutes.
7. Return the beef to the pan and add the teriyaki sauce.
8. Add the cooked noodles and toss everything together for another 2–3 minutes, until piping hot.
9. Serve topped with the sliced red chilli and sesame seeds.</t>
  </si>
  <si>
    <t xml:space="preserve">R062</t>
  </si>
  <si>
    <t xml:space="preserve">Miso Cod Power Bowl</t>
  </si>
  <si>
    <t xml:space="preserve">1. Mix the miso paste, mirin, sake and honey together.
2.Coat the cod with the miso mixture and marinate in the fridge for 30 minutes to 1 hour, if time allows.
3. Preheat the oven to 200°C. Place the cod on a lined baking tray and cook for 12–15 minutes, or until cooked through.
4. Meanwhile, cook the basmati rice according to the packet instructions.
5. Steam the Tenderstem broccoli and edamame for 3–5 minutes until tender.
6. Toss the cooked vegetables with the sesame oil and a little salt.
7. Add the rice, broccoli and edamame to a bowl and place the miso cod on top.
8. Sprinkle with the black sesame seeds and chilli flakes and serve.</t>
  </si>
  <si>
    <t xml:space="preserve">R063</t>
  </si>
  <si>
    <t xml:space="preserve">Thai Coconut &amp; Prawn Curry with Basmati Rice</t>
  </si>
  <si>
    <t xml:space="preserve">1. Pat the prawns dry, lightly coat with the cornflour and set aside.
2. Cook the basmati rice according to the packet instructions.
3. Meanwhile, heat a large non-stick pan over a medium heat. Add the ginger, garlic and red onion and cook for 2–3 minutes.
4.Stir in the curry paste, then add the coconut milk, fish sauce and brown sugar. Simmer gently for 5 minutes.
5. Add the red pepper and cook for a further 2–3 minutes.
6.Add the prawns and cook for 3–4 minutes, until pink and cooked through.
7. Stir through the lime juice and spring onions.
8. Serve with the basmati rice and garnish with the coriander and sliced red chilli.</t>
  </si>
  <si>
    <t xml:space="preserve">R064</t>
  </si>
  <si>
    <t xml:space="preserve">Chicken Katsu Curry &amp; Jasmine Rice</t>
  </si>
  <si>
    <t xml:space="preserve">1. Place the chicken between two sheets of cling film and gently flatten to an even thickness. Season with salt and pepper.
2. Place the flour, beaten egg and panko breadcrumbs into three separate bowls. Coat the chicken in the flour, then egg, followed by the breadcrumbs.
3.Heat olive oil in a non-stick frying pan and cook the chicken for around 4–5 minutes on each side, or until golden and cooked through. Remove, rest and slice.
4. For the curry sauce, heat the remaining olive oil in a small saucepan. Add the onion and carrot and cook for 3–4 minutes.
5. Add the garlic and ginger and cook for another minute. Stir in the curry powder and garam masala.
6. Add the tomato purée, chicken stock, soy sauce and honey. Simmer gently for 8–10 minutes.
7. Stir in the cornflour mixture and cook for another 1–2 minutes, until the sauce thickens.
8. Meanwhile, cook the jasmine rice according to the packet instructions.
9. Serve the sliced katsu chicken with the rice and curry sauce.</t>
  </si>
  <si>
    <t xml:space="preserve">R065</t>
  </si>
  <si>
    <t xml:space="preserve">High Protein Hoisin Beef Noodles</t>
  </si>
  <si>
    <t xml:space="preserve">1. Toss the beef strips with 1 tsp cornflour and season with salt and black pepper.
2. In a small bowl, mix together the hoisin sauce, soy sauce, rice vinegar, honey, ginger, garlic and chilli paste.
3. Cook the egg noodles according to the packet instructions. Add the broccoli for the final 2–3 minutes, then drain.
4. Heat the sesame oil in a wok or large frying pan over a high heat.
5. Add the beef and stir-fry for 2–3 minutes until browned. Remove and set aside.
6. Add the green pepper and carrot and stir-fry for another 2–3 minutes.
7. Return the beef to the pan and add the noodles, broccoli and hoisin sauce mixture.
8. Stir in the cornflour and water mixture and cook for another 1–2 minutes, until the sauce has thickened and everything is piping hot.
9. Stir through most of the spring onions.
10.Serve topped with the remaining spring onions and sesame seeds.</t>
  </si>
  <si>
    <t xml:space="preserve">R066</t>
  </si>
  <si>
    <t xml:space="preserve">Grilled Salmon with Mango &amp; Avocado Salsa &amp; Coconut Rice</t>
  </si>
  <si>
    <t xml:space="preserve">1. Mix the lime juice, cumin, chilli powder, paprika, garlic, salt and pepper. Coat the salmon and leave to marinate for around 15 minutes.
2. Add the rice, light coconut milk and water to a saucepan. Bring to the boil, cover and simmer according to the rice packet instructions until cooked.
3. Stir the lime zest and half the coriander through the cooked rice.
4. Mix the mango, avocado, red onion, red pepper, jalapeño and remaining coriander together to make the salsa.
5. Heat a grill pan or frying pan over a medium-high heat. Cook the salmon for around 4–5 minutes on the first side, then turn and cook for another 3–4 minutes, or until cooked through.
6. Serve the salmon with the coconut rice and mango and avocado salsa.</t>
  </si>
  <si>
    <t xml:space="preserve">R067</t>
  </si>
  <si>
    <t xml:space="preserve">Beef &amp; Broccoli Noodles</t>
  </si>
  <si>
    <t xml:space="preserve">1. Toss the beef strips with the cornflour and season with salt and pepper.
2. Mix the soy sauce, oyster sauce, rice vinegar, brown sugar, ginger and garlic in a small bowl.
3. Cook the noodles according to the packet instructions, drain and set aside.
4. Heat the sesame oil in a large wok or frying pan over a high heat.
5. Add the beef and stir-fry for 2–3 minutes until browned. Remove and set aside.
6. Add the broccoli and green pepper and stir-fry for 3–4 minutes until just tender.
7. Return the beef to the pan and pour over the sauce.
8. Add the noodles and toss everything together for another 2–3 minutes, until piping hot.
9. Stir through the spring onions and serve topped with the sesame seeds and coriander.</t>
  </si>
  <si>
    <t xml:space="preserve">R068</t>
  </si>
  <si>
    <t xml:space="preserve">Sticky Balsamic &amp; Sweet Chilli Chicken and Rice</t>
  </si>
  <si>
    <t xml:space="preserve">1. Mix the chicken with the garlic, ginger, chilli, red onion, soy sauce and sweet chilli sauce. Leave to marinate for 15–30 minutes if time allows.
2. Cook the basmati rice according to the packet instructions.
3. Heat the olive oil in a non-stick frying pan over a medium- high heat.
4. Add the chicken and marinade and cook for 5–6 minutes, stirring regularly.
5. Add the balsamic vinegar and pak choi and cook for another 3–4 minutes, until the chicken is cooked through and the sauce becomes sticky.
6. Stir through the fresh basil.
7. Serve the sticky chicken and vegetables over the basmati rice.</t>
  </si>
  <si>
    <t xml:space="preserve">R069</t>
  </si>
  <si>
    <t xml:space="preserve">Sticky Honey &amp; Ginger Power Chicken</t>
  </si>
  <si>
    <t xml:space="preserve">1. Mix half the ginger and garlic with a little of the soy sauce. Add the chicken, season with salt and pepper and toss to coat.
2. In a separate bowl, mix the honey, remaining ginger and garlic, remaining soy sauce, lime juice, tomato purée, cumin, chilli powder and paprika.
3. Cook the basmati rice according to the packet instructions.
4.Steam or boil the broccoli for 3–4 minutes until just tender.
5. Heat the olive oil in a large non-stick frying pan. Add the chicken and cook for 4–5 minutes until browned.
6. Add the green pepper and cook for another 2–3 minutes.
7. Pour over the honey and ginger sauce and simmer for 2–3 minutes.
8. Stir in the cornflour mixture and cook for another 1–2 minutes, until the sauce becomes sticky and the chicken is cooked through.
9. Serve with the rice and broccoli, then sprinkle over the coriander and sesame seeds.</t>
  </si>
  <si>
    <t xml:space="preserve">R070</t>
  </si>
  <si>
    <t xml:space="preserve">Peri-Peri Chicken Thighs with Spicy Rice &amp; Peas</t>
  </si>
  <si>
    <t xml:space="preserve">1.Mix the sliced red pepper, chilli, 2 garlic cloves, smoked paprika, oregano, cumin, lemon juice, honey and olive oil to make the peri-peri marinade.
2.Coat the chicken thighs in the marinade and leave for 15–30 minutes if time allows.
3.Preheat the oven to 200°C. Place the chicken on a lined baking tray and cook for around 20–25 minutes, or until cooked through.
4.Meanwhile, add the onion, diced red pepper and remaining garlic to a non-stick saucepan and cook for 2–3 minutes, adding a splash of stock if needed.
5.Stir in the tomato purée, cumin and smoked paprika.
6.Add the rice and chicken stock. Cover and simmer according to the rice packet instructions, until the rice is cooked and the liquid has been absorbed.
7.Cook the peas for 3–4 minutes, then stir through or serve alongside the spicy rice.
8.Serve the peri-peri chicken with the spicy rice and peas.</t>
  </si>
  <si>
    <t xml:space="preserve">R071</t>
  </si>
  <si>
    <t xml:space="preserve">Lemon Pepper Chicken Gnocchi</t>
  </si>
  <si>
    <t xml:space="preserve">1.Mix the chicken with 1 tsp olive oil, 2 tsp lemon juice, lemon zest, garlic powder, oregano, salt and pepper.
2.Cook the gnocchi according to the packet instructions, then drain and set aside.
3.Heat a non-stick frying pan over a medium-high heat and cook the chicken for 5–6 minutes, until golden and cooked through. Remove and set aside.
4.Add the remaining 1 tsp olive oil to the pan. Add the garlic and green pepper and cook for 2–3 minutes.
5.Add the cherry tomatoes and cook for another 2 minutes, then stir through the spinach until wilted.
6.Add the lemon juice and chicken stock and simmer briefly.
7.Reduce the heat and stir through the Greek yoghurt, Parmesan and lemon zest.
8.Add the gnocchi and chicken back to the pan and gently combine until everything is heated through.
9.Stir through the parsley and basil, season to taste and garnish with lemon slices.</t>
  </si>
  <si>
    <t xml:space="preserve">POSSIBLE DUPLICATE: '~2g lemon zest (1 tsp)' appears twice, verbatim, in the ingredient list - looks like an accidental double entry rather than two intentional uses (no distinguishing label like 'for the sauce'). Worth checking against the source card and removing one if it's a duplicate.</t>
  </si>
  <si>
    <t xml:space="preserve">R072</t>
  </si>
  <si>
    <t xml:space="preserve">Vietnamese Lemongrass Chicken &amp; Rice Bowl</t>
  </si>
  <si>
    <t xml:space="preserve">1.Cook the jasmine rice according to the packet instructions, then set aside.
2.Mix the lemongrass, garlic, ginger, soy sauce, brown sugar and lime juice. Add the chicken, season with pepper and leave to marinate for 15–30 minutes if time allows.
3.Prepare the carrot, cucumber and lettuce and roughly chop the fresh herbs.
4.Mix all the dressing ingredients together until the sugar has dissolved.
5.Heat the vegetable oil in a non-stick frying pan over a medium-high heat. Add the chicken and marinade and cook for 6–8 minutes, until browned and cooked through.
6.Add the rice to a bowl and arrange the chicken, carrot, cucumber and lettuce on top.
7.Drizzle over the dressing (soy sauce, lime juice, sugar, water, garlic, Thai chilli) and finish with the fresh mint and coriander.</t>
  </si>
  <si>
    <t xml:space="preserve">POSSIBLE DUPLICATE: '~11g reduced-salt soy sauce (2 tsp)' and '~4g brown sugar (1 tsp)' each appear twice, verbatim. Could be a genuine two-part recipe (chicken marinade + a separate dipping sauce, both using soy/sugar/lime) or an accidental duplicate - worth confirming against the source card eithe</t>
  </si>
  <si>
    <t xml:space="preserve">R073</t>
  </si>
  <si>
    <t xml:space="preserve">Smashed Avocado &amp; Grilled Chicken Burger &amp; Sweet Potato Fries</t>
  </si>
  <si>
    <t xml:space="preserve">1.Preheat the oven to 200°C. Cut the sweet potato into fries, toss with 1 tsp olive oil, paprika, salt and pepper, and bake for 25–30 minutes, turning halfway.
2.Season the chicken with salt and pepper.
3.Heat the remaining 1 tsp olive oil in a non-stick or griddle pan and cook the chicken for around 4–5 minutes on each side, or until cooked through. Set aside to rest.
4.Mix the Greek yoghurt, light mayonnaise, Dijon mustard, honey and garlic powder to make the sauce.
5.Lightly toast the brioche bun in the pan.
6.Spread the sauce over the bun and layer with the mixed leaves, tomato, red onion, chicken, smashed avocado and pickles.
7.Serve with the baked sweet potato fries.</t>
  </si>
  <si>
    <t xml:space="preserve">MINOR: 'Salt &amp; black pepper' listed twice, verbatim - cosmetic duplicate only (negligible calorie impact), tidy up if convenient.</t>
  </si>
  <si>
    <t xml:space="preserve">R074</t>
  </si>
  <si>
    <t xml:space="preserve">Fuelling Chicken Pasta Primavera</t>
  </si>
  <si>
    <t xml:space="preserve">1. Cook the fusilli according to the packet instructions. Reserve 1 tbsp pasta water, then drain.
2. Season the chicken with salt, pepper and mixed herbs.
3. Heat 1 tsp olive oil in a non-stick frying pan and cook the chicken for 5–6 minutes, until cooked through. Remove and set aside.
4. Add the remaining ½ tsp olive oil, red onion and garlic to the pan and cook for 1–2 minutes.
5. Add the broccoli and red pepper and cook for 3–4 minutes. Add the tomatoes and spinach and cook until the spinach has wilted.
6. Mix the Greek yoghurt, Parmesan, lemon juice, chopped herbs and reserved pasta water together.
7. Return the chicken and pasta to the pan, then stir through the yoghurt sauce.
8. Heat gently for 1–2 minutes, season to taste and serve.</t>
  </si>
  <si>
    <t xml:space="preserve">R075</t>
  </si>
  <si>
    <t xml:space="preserve">Garlic &amp; Herb Sauce</t>
  </si>
  <si>
    <t xml:space="preserve">1. Place all ingredients into a blender and blend until you reach your desired consistency</t>
  </si>
  <si>
    <t xml:space="preserve">No nutrition values provided in source document</t>
  </si>
  <si>
    <t xml:space="preserve">R076</t>
  </si>
  <si>
    <t xml:space="preserve">Honey, Lime &amp; Mustard Sauce</t>
  </si>
  <si>
    <t xml:space="preserve">R077</t>
  </si>
  <si>
    <t xml:space="preserve">4 Chicken Sausages, Baked Beans, ½ Avocado, Toast, 3 Eggs Scrambled</t>
  </si>
  <si>
    <t xml:space="preserve">breakfast</t>
  </si>
  <si>
    <t xml:space="preserve">1. Grill the chicken sausages until cooked through.
2. Warm the baked beans in a small pan.
3. Scramble the whole eggs and egg whites together in a non-stick pan with no added fat.
4. Toast the bread, unbuttered.
5. Slice the avocado.
6. Plate the sausages, beans, scrambled egg, toast and avocado together.</t>
  </si>
  <si>
    <t xml:space="preserve">How it's kept light: 3 lean chicken sausages grilled (not fried), 2 whole eggs + 2 whites scrambled dry, ⅓ avocado, 1 slice wholegrain toast unbuttered, no added oil
DRAFT RECIPE: written from the Menus 2.docx placeholder as a demo of the new structure. Ingredient quantities (particularly the baked beans) and the generic sausage/egg macro values have NOT been reconciled to the published 460 / 46 / 16 / 33 target yet - check the Variance columns to the right and adjust quantities (or the Ingredi</t>
  </si>
  <si>
    <t xml:space="preserve">R078</t>
  </si>
  <si>
    <t xml:space="preserve">Porridge, Berries, Banana, Honey</t>
  </si>
  <si>
    <t xml:space="preserve">1. Add the oats and milk to a small saucepan and place over medium heat.
2. Bring to a gentle simmer, stirring frequently, for 5-6 minutes until the oats are soft and creamy, adding a splash of water if it thickens too much.
3. Remove from the heat and stir in the protein powder until fully dissolved and smooth (mixing it off the heat prevents clumping and protects the protein).
4. Spoon the porridge into a bowl and top with the sliced banana and mixed berries.
5. Finish with a light drizzle of honey and serve immediately.</t>
  </si>
  <si>
    <t xml:space="preserve">How it's kept light: Oats cooked in semi-skimmed or protein-fortified milk, berries, banana, light drizzle of honey, no added cream or butter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t>
  </si>
  <si>
    <t xml:space="preserve">R079</t>
  </si>
  <si>
    <t xml:space="preserve">Bircher Muesli, Mango Yoghurt</t>
  </si>
  <si>
    <t xml:space="preserve">1. In a bowl or jar, combine the oats, milk, 150g of the Greek yoghurt, grated apple, cinnamon and a squeeze of lemon juice.
2. Stir well, cover and refrigerate overnight (minimum 6 hours) to let the oats soften.
3. The next morning, stir the mixture again, loosening with a splash of milk if it has thickened too much.
4. Lightly swirl the mango through the remaining 50g of yoghurt to create a rippled effect rather than mixing it in fully.
5. Spoon the mango yoghurt over the bircher muesli and scatter with the flaked almonds to serve.</t>
  </si>
  <si>
    <t xml:space="preserve">How it's kept light: Oats soaked overnight in low-fat milk and 0% Greek yoghurt, grated apple, mango-swirled 0% yoghurt topping,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t>
  </si>
  <si>
    <t xml:space="preserve">R080</t>
  </si>
  <si>
    <t xml:space="preserve">Roasted Tomato &amp; Red Pepper Soup, Cheese Toastie</t>
  </si>
  <si>
    <t xml:space="preserve">1. Preheat oven to 200°C. Halve and deseed the red peppers, toss with the olive oil and roast for 25 minutes until soft and lightly charred.
2. Meanwhile, soften the chopped red onion and garlic in a splash of the vegetable stock in a saucepan for 5 minutes.
3. Add the tinned tomatoes, red lentils and remaining vegetable stock. Simmer for 15 minutes until the lentils are tender.
4. Add the roasted peppers and basil, then blend until smooth. Season with salt and black pepper.
5. For the toastie, sandwich the reduced-fat cheddar between the two slices of wholegrain bread and cook in a dry non-stick pan over medium heat for 2-3 minutes each side until golden and the cheese has melted.
6. Slice the toastie and serve alongside the soup.</t>
  </si>
  <si>
    <t xml:space="preserve">How it's kept light: Reduced-fat cheese toastie on wholegrain, soup blended with vegetable stock, no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t>
  </si>
  <si>
    <t xml:space="preserve">MACRO MISMATCH: ingredient list computes 67% HIGHER than Published Kcal (once divided by servings) - ingredients and/or published figure worth a second look against the source card.</t>
  </si>
  <si>
    <t xml:space="preserve">R081</t>
  </si>
  <si>
    <t xml:space="preserve">Chicken &amp; Sweetcorn Noodle Soup</t>
  </si>
  <si>
    <t xml:space="preserve">1. Poach the chicken breast in the chicken stock with the garlic and ginger for 12-15 minutes until cooked through. Remove and shred with two forks.
2. Return the stock to a simmer and add the sweetcorn and egg noodles. Cook for 3-4 minutes until the noodles are tender.
3. Beat the egg in a small bowl. Stir the soup in a slow circular motion and drizzle in the egg to create thin ribbons.
4. Return the shredded chicken to the pan and stir through the soy sauce and white pepper.
5. Ladle into a bowl and scatter over the sliced spring onions to serve.</t>
  </si>
  <si>
    <t xml:space="preserve">How it's kept light: Shredded chicken breast, egg-drop style, noodle portion controlled, no added oil in stock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t>
  </si>
  <si>
    <t xml:space="preserve">MACRO MISMATCH: ingredient list computes 55% HIGHER than Published Kcal (once divided by servings) - ingredients and/or published figure worth a second look against the source card.</t>
  </si>
  <si>
    <t xml:space="preserve">R082</t>
  </si>
  <si>
    <t xml:space="preserve">Pea &amp; Mint Soup</t>
  </si>
  <si>
    <t xml:space="preserve">1. Soften the finely chopped shallot and garlic in the olive oil over low heat for 5 minutes.
2. Add the vegetable stock and bring to a simmer, then add the frozen peas and cook for 3-4 minutes until just tender.
3. Meanwhile, lower the egg into a small pan of simmering water and soft-boil for 6 minutes. Cool briefly under cold water, then peel and halve.
4. Add the mint to the soup and blend until smooth. Season with salt and black pepper.
5. Pour into a bowl, swirl through the Greek yoghurt and serve with the soft-boiled egg alongside.</t>
  </si>
  <si>
    <t xml:space="preserve">How it's kept light: Peas blended with stock and mint, swirl of 0% Greek yoghurt, soft-boiled egg on the side for protein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t>
  </si>
  <si>
    <t xml:space="preserve">R083</t>
  </si>
  <si>
    <t xml:space="preserve">Roasted Cauliflower &amp; Miso Soup</t>
  </si>
  <si>
    <t xml:space="preserve">1. Preheat oven to 200°C. Toss the cauliflower florets with the olive oil and roast for 25 minutes, turning once, until golden.
2. Simmer the garlic and ginger in the vegetable stock for 5 minutes.
3. Add most of the roasted cauliflower (reserving a few florets for garnish) along with the silken tofu and miso paste.
4. Blend until smooth and creamy, loosening with a little extra stock if needed.
5. Ladle into a bowl, top with the reserved cauliflower and sliced spring onion.</t>
  </si>
  <si>
    <t xml:space="preserve">How it's kept light: Miso stock, roasted cauliflower, silken tofu blended in for protein and creaminess without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</si>
  <si>
    <t xml:space="preserve">R084</t>
  </si>
  <si>
    <t xml:space="preserve">Roasted Carrot &amp; Halloumi Soup</t>
  </si>
  <si>
    <t xml:space="preserve">1. Preheat oven to 200°C. Peel and chop the carrots, toss with the olive oil and cumin, and roast for 30 minutes until soft and caramelised.
2. Soften the chopped onion and garlic in a splash of the vegetable stock for 5 minutes.
3. Add the roasted carrots and remaining stock, simmer for 5 minutes, then blend until smooth. Season with salt and black pepper.
4. Slice the halloumi and grill or griddle for 1-2 minutes each side until golden.
5. Ladle the soup into a bowl and top with the grilled halloumi.</t>
  </si>
  <si>
    <t xml:space="preserve">How it's kept light: Carrot blended with stock, small amount of halloumi grilled (not fried) on top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t>
  </si>
  <si>
    <t xml:space="preserve">R085</t>
  </si>
  <si>
    <t xml:space="preserve">Prawn Wonton Soup</t>
  </si>
  <si>
    <t xml:space="preserve">1. Finely chop half the prawns with the garlic, half the ginger and one spring onion. Season and spoon a small amount onto each wonton wrapper, wet the edges and fold into parcels.
2. Bring the stock to a simmer with the remaining ginger and the soy sauce.
3. Add the wontons and remaining whole prawns, simmer for 4-5 minutes until the prawns are pink and the wontons float.
4. Add the pak choi and cook for a further 1-2 minutes until just wilted.
5. Stir through the sesame oil, ladle into a bowl and scatter with the remaining sliced spring onion.</t>
  </si>
  <si>
    <t xml:space="preserve">How it's kept light: King prawn wontons, clear broth, pak choi,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</si>
  <si>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R086</t>
  </si>
  <si>
    <t xml:space="preserve">Crispy Sesame Beef Noodle Broth</t>
  </si>
  <si>
    <t xml:space="preserve">1. Preheat oven to 220°C. Toss the beef strips in the cornflour and spread on a lined baking tray. Roast for 8-10 minutes, turning once, until crisp at the edges.
2. Meanwhile, simmer the beef stock with the garlic, ginger and soy sauce for 5 minutes.
3. Cook the egg noodles in the broth for 3-4 minutes, then add the beansprouts and pak choi for a final minute.
4. Ladle the noodles and broth into a bowl and top with the crispy beef.
5. Drizzle with the sesame oil and scatter over the sesame seeds, sliced chilli and spring onion.</t>
  </si>
  <si>
    <t xml:space="preserve">How it's kept light: Lean beef strips oven-crisped (not deep-fried), light sesame drizzle, noodle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t>
  </si>
  <si>
    <t xml:space="preserve">MACRO MISMATCH: ingredient list computes 47% HIGHER than Published Kcal (once divided by servings) - ingredients and/or published figure worth a second look against the source card.</t>
  </si>
  <si>
    <t xml:space="preserve">R087</t>
  </si>
  <si>
    <t xml:space="preserve">Tomato Soup, Meatballs</t>
  </si>
  <si>
    <t xml:space="preserve">1. Preheat oven to 200°C. Mix half the finely diced onion and one clove of crushed garlic with the turkey mince, breadcrumbs, salt and pepper. Shape into 6-8 small meatballs and bake for 15 minutes until cooked through.
2. Meanwhile, soften the remaining onion and garlic in a splash of the vegetable stock for 5 minutes.
3. Add the tinned tomatoes and remaining stock, simmer for 10 minutes, then blend until smooth.
4. Return the soup to the pan, add the orzo and simmer for 8-10 minutes until tender.
5. Stir in the basil and add the baked meatballs to warm through for the final 2 minutes.
6. Season and serve.</t>
  </si>
  <si>
    <t xml:space="preserve">How it's kept light: Lean beef/turkey meatballs baked not fried, tomato and basil soup base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</si>
  <si>
    <t xml:space="preserve">MACRO MISMATCH: ingredient list computes 57% HIGHER than Published Kcal (once divided by servings) - ingredients and/or published figure worth a second look against the source card.</t>
  </si>
  <si>
    <t xml:space="preserve">R088</t>
  </si>
  <si>
    <t xml:space="preserve">Bouillabaisse</t>
  </si>
  <si>
    <t xml:space="preserve">1. Soften the finely sliced onion, garlic and fennel in a splash of the fish stock over low heat for 6-8 minutes until softened.
2. Add the chopped tomatoes, remaining fish stock, saffron and orange zest. Simmer for 10 minutes.
3. Add the white fish and mussels, cover and cook for 4 minutes.
4. Add the king prawns and cook for a further 2-3 minutes until the prawns are pink, the fish is cooked through and the mussels have opened (discard any that remain closed).
5. Season with salt and black pepper.
6. Toast the slice of baguette and serve alongside the bouillabaisse.</t>
  </si>
  <si>
    <t xml:space="preserve">How it's kept light: Mixed fish and shellfish in a tomato-saffron stock, thin toast on the side,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
  </si>
  <si>
    <t xml:space="preserve">MACRO MISMATCH: ingredient list computes 69% HIGHER than Published Kcal (once divided by servings) - ingredients and/or published figure worth a second look against the source card.</t>
  </si>
  <si>
    <t xml:space="preserve">R089</t>
  </si>
  <si>
    <t xml:space="preserve">Panko Chicken Caesar</t>
  </si>
  <si>
    <t xml:space="preserve">1. Preheat oven to 200°C (fan 180°C). Season chicken, dust in flour, dip in egg white, then press into panko breadcrumbs to coat evenly.
2. Place on a wire rack over a baking tray, mist lightly with cooking spray and bake for 18-20 minutes, turning once, until golden and cooked through (75°C core).
3. Meanwhile mix the yoghurt, mustard, lemon juice, garlic and parmesan to make the Caesar dressing; season to taste.
4. Slice the cooked chicken into strips.
5. Warm the wrap for 10 seconds, spread with half the dressing, top with shredded lettuce and chicken strips, and drizzle over the remaining dressing.
6. Roll tightly, slice in half and serve.</t>
  </si>
  <si>
    <t xml:space="preserve">How it's kept light: Oven-baked panko chicken breast, light yoghurt-based Caesar dressing, wholemeal wrap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t>
  </si>
  <si>
    <t xml:space="preserve">R090</t>
  </si>
  <si>
    <t xml:space="preserve">Pulled BBQ Chicken &amp; Slaw</t>
  </si>
  <si>
    <t xml:space="preserve">1. Poach or bake the chicken breast (200°C, covered, 20-25 minutes) until cooked through, then shred with two forks while warm.
2. Mix the shredded chicken with the BBQ sauce in a small pan and warm through gently for 2-3 minutes.
3. For the slaw, combine cabbage, carrot and red onion with the yoghurt and cider vinegar; season to taste.
4. Split and lightly toast the roll.
5. Pile the pulled BBQ chicken into the roll, top with a generous spoon of slaw and serve the rest of the slaw on the side.</t>
  </si>
  <si>
    <t xml:space="preserve">How it's kept light: Lean pulled chicken breast in reduced-sugar BBQ sauce, slaw dressed with yoghurt not mayo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t>
  </si>
  <si>
    <t xml:space="preserve">R091</t>
  </si>
  <si>
    <t xml:space="preserve">Mexican Chicken Burrito</t>
  </si>
  <si>
    <t xml:space="preserve">1. Toss the chicken breast in the cumin, paprika and coriander, then grill or griddle for 5-6 minutes per side until cooked through and lightly charred. Slice.
2. Cook the rice according to packet instructions and warm the black beans.
3. Mix the diced tomato, red onion, fresh coriander and lime juice for a quick salsa.
4. Warm the tortilla wrap, then layer rice, beans, chicken, salsa, yoghurt, cheese and lettuce down the centre.
5. Fold in the sides and roll tightly into a burrito, then slice in half to serve.</t>
  </si>
  <si>
    <t xml:space="preserve">How it's kept light: Grilled chicken breast, beans, rice portion controlled, 0% yoghurt in place of soured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t>
  </si>
  <si>
    <t xml:space="preserve">R092</t>
  </si>
  <si>
    <t xml:space="preserve">Tandoori Chicken, Mango Chutney, Riata</t>
  </si>
  <si>
    <t xml:space="preserve">1. Mix 2 tbsp yoghurt with the tandoori spice and lemon juice, coat the chicken and marinate for at least 20 minutes (longer if time allows).
2. Grill or griddle the chicken for 5-6 minutes per side until charred and cooked through, then slice.
3. For the raita, mix the remaining yoghurt with cucumber and mint; season lightly.
4. Warm the pitta and split open to form a pocket.
5. Fill with lettuce, sliced tandoori chicken, a spoon of mango chutney and a spoon of raita.</t>
  </si>
  <si>
    <t xml:space="preserve">How it's kept light: Tandoori-spiced grilled chicken breast, low-sugar mango chutney, low-fat riata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t>
  </si>
  <si>
    <t xml:space="preserve">R093</t>
  </si>
  <si>
    <t xml:space="preserve">Philly Cheese Steak</t>
  </si>
  <si>
    <t xml:space="preserve">1. Heat a non-stick pan with the olive oil and dry-fry the peppers and onions over medium heat for 5-6 minutes until softened and lightly browned. Set aside.
2. Season the steak strips and fry in the same pan for 1-2 minutes over high heat, stirring, until just cooked (do not overcook, as the strips are thin).
3. Return the peppers and onions to the pan with the steak and toss together for 30 seconds.
4. Split the baguette and warm through, then scatter the grated cheese inside so it starts to melt from the heat.
5. Pile in the steak, pepper and onion mixture and serve immediately.</t>
  </si>
  <si>
    <t xml:space="preserve">How it's kept light: Lean sirloin strips, peppers and onions dry-fried, reduced-fat cheese, thin baguette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t>
  </si>
  <si>
    <t xml:space="preserve">R094</t>
  </si>
  <si>
    <t xml:space="preserve">Meatball Croissant Sub</t>
  </si>
  <si>
    <t xml:space="preserve">1. Preheat oven to 200°C (fan 180°C). Mix the mince with breadcrumbs, crushed garlic and oregano, season, and roll into 5-6 small meatballs.
2. Place on a lined tray, mist with cooking spray and bake for 15-18 minutes until cooked through and browned.
3. Meanwhile simmer the chopped tomatoes with garlic and basil for 8-10 minutes to make a light sauce; season to taste.
4. Add the baked meatballs to the sauce and warm through for 2 minutes.
5. Split the croissant and roll half open lengthways and join them end to end to form one sub-length base.
6. Spoon in the meatballs and sauce, scatter over the mozzarella and grill for 1-2 minutes until melted.</t>
  </si>
  <si>
    <t xml:space="preserve">How it's kept light: Lean beef/turkey meatballs baked, light tomato sauce, half croissant/half light roll to cut butter content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t>
  </si>
  <si>
    <t xml:space="preserve">R095</t>
  </si>
  <si>
    <t xml:space="preserve">Tuna Melt</t>
  </si>
  <si>
    <t xml:space="preserve">1. Flake the tuna into a bowl and mix with the yoghurt, mustard, spring onion and sweetcorn; season to taste.
2. Toast the wholegrain bread lightly on one side under the grill.
3. Turn the slices over and pile the tuna mixture onto the untoasted sides.
4. Scatter the grated cheese over the top and return to the grill for 3-4 minutes until the cheese is melted and bubbling.
5. Serve open-faced, or close into a sandwich once slightly cooled.</t>
  </si>
  <si>
    <t xml:space="preserve">How it's kept light: Tuna in spring water mixed with low-fat yoghurt (not mayo), light cheese, wholegrain bread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
  </si>
  <si>
    <t xml:space="preserve">R096</t>
  </si>
  <si>
    <t xml:space="preserve">Fish Finger Sandwich</t>
  </si>
  <si>
    <t xml:space="preserve">1. Preheat oven to 200°C (fan 180°C). Season the fish strips, dust in flour, dip in egg white, then coat in panko breadcrumbs.
2. Place on a lined tray, mist with cooking spray and bake for 12-14 minutes, turning once, until golden and cooked through.
3. Meanwhile mix the yoghurt, gherkin, capers and lemon juice for the light tartare sauce.
4. Split and lightly toast the roll.
5. Spread the tartare sauce on both sides of the roll, add the lettuce and fish fingers, and serve immediately.</t>
  </si>
  <si>
    <t xml:space="preserve">How it's kept light: Oven-baked (not fried) breaded white fish, light tartare sauce, soft roll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t>
  </si>
  <si>
    <t xml:space="preserve">R097</t>
  </si>
  <si>
    <t xml:space="preserve">Greek Chicken &amp; Hummus</t>
  </si>
  <si>
    <t xml:space="preserve">1. Toss the chicken with oregano, lemon juice and garlic and marinate for 10-15 minutes.
2. Grill or griddle for 5-6 minutes per side until cooked through, then slice.
3. Warm the pitta and split open to form a pocket.
4. Spread the hummus inside, then fill with cucumber, tomato, red onion and the sliced chicken.
5. Finish with a scattering of feta and serve.</t>
  </si>
  <si>
    <t xml:space="preserve">How it's kept light: Grilled chicken breast, hummus, cucumber and tomato, pitta, no added oil dressing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t>
  </si>
  <si>
    <t xml:space="preserve">R098</t>
  </si>
  <si>
    <t xml:space="preserve">Chicken Teriyaki, Cucumber</t>
  </si>
  <si>
    <t xml:space="preserve">1. Mix the soy sauce, rice vinegar, honey, garlic and ginger to make the teriyaki glaze.
2. Griddle or grill the chicken for 5-6 minutes per side until nearly cooked, then brush generously with the glaze and cook for a further 1-2 minutes until sticky and cooked through.
3. Slice the chicken and toss in any remaining glaze from the pan.
4. Warm the wrap, drizzle with the sesame oil, then top with cucumber ribbons, spring onion and the teriyaki chicken.
5. Scatter over the sesame seeds, roll tightly and slice to serve.</t>
  </si>
  <si>
    <t xml:space="preserve">How it's kept light: Grilled chicken breast in reduced-sugar teriyaki glaze, cucumber,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t>
  </si>
  <si>
    <t xml:space="preserve">R099</t>
  </si>
  <si>
    <t xml:space="preserve">Chicken Shawarma</t>
  </si>
  <si>
    <t xml:space="preserve">1. Mix the cumin, paprika, turmeric, garlic and lemon juice, coat the chicken and marinate for 15-20 minutes.
2. Grill or griddle the chicken for 5-6 minutes per side until charred and cooked through, then slice thinly.
3. Mix the yoghurt with the extra garlic clove and a squeeze of lemon for the garlic sauce.
4. Warm the flatbread, then layer with lettuce, tomato, red cabbage and the shawarma chicken.
5. Drizzle over the garlic yoghurt sauce, fold or roll and serve.</t>
  </si>
  <si>
    <t xml:space="preserve">How it's kept light: Shawarma-spiced grilled chicken breast, light garlic yoghurt sauce, flatbread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t>
  </si>
  <si>
    <t xml:space="preserve">R100</t>
  </si>
  <si>
    <t xml:space="preserve">Nando's-Style Chicken, Halloumi, Rocket</t>
  </si>
  <si>
    <t xml:space="preserve">1. Coat the chicken breast in the peri-peri marinade and leave for at least 20 minutes.
2. Griddle or grill the chicken for 5-6 minutes per side until charred and cooked through.
3. Griddle the halloumi slices for 1-2 minutes per side until golden (no added oil needed).
4. Split and lightly toast the roll.
5. Slice the chicken and layer into the roll with the halloumi, roasted red pepper and rocket.</t>
  </si>
  <si>
    <t xml:space="preserve">How it's kept light: Grilled peri-peri chicken breast, small portion of grilled halloumi, rocket,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t>
  </si>
  <si>
    <t xml:space="preserve">R101</t>
  </si>
  <si>
    <t xml:space="preserve">Chicken Sando</t>
  </si>
  <si>
    <t xml:space="preserve">1. Preheat oven to 200°C (fan 180°C). Season the chicken, dust in flour, dip in egg white, then coat evenly in panko breadcrumbs.
2. Place on a wire rack over a tray, mist with cooking spray and bake for 16-18 minutes, turning once, until golden and cooked through.
3. Mix the cabbage with the yoghurt and cider vinegar to make a light slaw; season to taste.
4. Split and lightly toast the bun.
5. Build the sando with a base of slaw, the baked chicken breast, gherkin slices and a final layer of slaw.</t>
  </si>
  <si>
    <t xml:space="preserve">How it's kept light: Oven-baked breaded chicken breast, light slaw, soft milk bun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t>
  </si>
  <si>
    <t xml:space="preserve">R102</t>
  </si>
  <si>
    <t xml:space="preserve">Tuna Tostados</t>
  </si>
  <si>
    <t xml:space="preserve">1. Preheat oven to 190°C (fan 170°C). Mist the corn tortillas lightly with cooking spray and bake for 6-8 minutes, turning once, until crisp to form tostada bases.
2. Meanwhile mix the tomato, red onion, lime juice and coriander to make a fresh salsa.
3. Rub the tuna steak with the olive oil, season, and sear in a hot pan for 60-90 seconds per side, keeping the centre pink. Slice thinly.
4. Top each tostada base with shredded cabbage, seared tuna slices, salsa and a few slices of avocado.
5. Serve immediately while the bases are still crisp.</t>
  </si>
  <si>
    <t xml:space="preserve">How it's kept light: Seared tuna, baked (not fried) corn tostada base, salsa, avocado in moderation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t>
  </si>
  <si>
    <t xml:space="preserve">R103</t>
  </si>
  <si>
    <t xml:space="preserve">Smashed Prawn Tacos</t>
  </si>
  <si>
    <t xml:space="preserve">1. Toss the prawns with the olive oil, smoked paprika and garlic.
2. Heat a non-stick pan over high heat and pan-sear the prawns for 2-3 minutes until pink and just cooked, then roughly smash/chop with a spatula.
3. Mix the shredded cabbage with the yoghurt and half the lime juice to make a quick slaw.
4. Warm the corn tacos in a dry pan for 20-30 seconds per side.
5. Fill each taco with slaw and smashed prawns, scatter over coriander and finish with the remaining lime juice.</t>
  </si>
  <si>
    <t xml:space="preserve">How it's kept light: Prawns pan-seared in minimal oil, soft corn tacos, slaw, lime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t>
  </si>
  <si>
    <t xml:space="preserve">R104</t>
  </si>
  <si>
    <t xml:space="preserve">Chicken Caesar</t>
  </si>
  <si>
    <t xml:space="preserve">1. Preheat oven to 200°C. Toss the bread cubes with a light spray of oil and a pinch of salt, then bake for 8-10 mins until golden and crisp; set aside.
2. Season the chicken breast with black pepper and griddle over medium-high heat for 5-6 mins per side until cooked through. Rest for 3 mins, then slice.
3. Whisk the yoghurt, lemon juice, mustard, chopped anchovy, garlic and grated parmesan together with 1 tbsp water until smooth.
4. Tear the romaine lettuce into a bowl and toss through the dressing to coat lightly.
5. Top with the sliced chicken, scatter over the croutons and shaved parmesan.
6. Finish with a crack of black pepper and serve immediately.</t>
  </si>
  <si>
    <t xml:space="preserve">How it's kept light: Grilled chicken breast, light yoghurt-based Caesar dressing, small crouton portion, parmesan shaved not chunked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t>
  </si>
  <si>
    <t xml:space="preserve">R105</t>
  </si>
  <si>
    <t xml:space="preserve">Chicken Caesar Pasta</t>
  </si>
  <si>
    <t xml:space="preserve">1. Cook the pasta in boiling salted water according to pack instructions until al dente; drain and cool slightly under cold water.
2. Season the chicken breast with black pepper and griddle over medium-high heat for 5-6 mins per side until cooked through. Rest, then slice or dice.
3. Whisk the yoghurt, lemon juice, mustard, chopped anchovy and garlic with 1 tbsp water until smooth to make the dressing.
4. Toss the pasta with the dressing, shredded romaine and cherry tomatoes.
5. Top with the sliced chicken and shaved parmesan, finish with black pepper and serve.</t>
  </si>
  <si>
    <t xml:space="preserve">How it's kept light: Grilled chicken breast, pasta portion controlled, light yoghurt-based Caesar dressing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t>
  </si>
  <si>
    <t xml:space="preserve">R106</t>
  </si>
  <si>
    <t xml:space="preserve">Chicken Fajita, Tortilla Chips</t>
  </si>
  <si>
    <t xml:space="preserve">1. Toss the sliced chicken breast in the fajita spice mix and a pinch of salt.
2. Dry-fry the chicken in a non-stick pan over medium-high heat for 6-7 mins, turning, until cooked through and lightly charred; remove and rest.
3. In the same pan, dry-fry the peppers and onion for 4-5 mins until softened and charred at the edges.
4. Return the chicken to the pan with the peppers and onion, and squeeze over half the lime juice.
5. Arrange the mixed leaves on a plate, top with the chicken and pepper mix, chopped tomatoes and coriander.
6. Serve with the baked tortilla chips and remaining lime wedge on the side.</t>
  </si>
  <si>
    <t xml:space="preserve">How it's kept light: Grilled fajita chicken breast, peppers and onions dry-fried, small baked tortilla chip portion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t>
  </si>
  <si>
    <t xml:space="preserve">R107</t>
  </si>
  <si>
    <t xml:space="preserve">Crab &amp; Prawn</t>
  </si>
  <si>
    <t xml:space="preserve">1. Boil the new potatoes for 10-12 mins until tender; drain, cool slightly and dice.
2. Arrange the mixed leaves, cucumber and cherry tomatoes on a plate with the diced potatoes.
3. Flake the white crab meat over the salad and scatter the king prawns on top.
4. Whisk the olive oil and lime juice together and drizzle over the salad.
5. Top with the sliced avocado and chopped chives, season with black pepper and serve.</t>
  </si>
  <si>
    <t xml:space="preserve">How it's kept light: White crab meat and prawns, light citrus dressing, avocado in moderation, mixed leaves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t>
  </si>
  <si>
    <t xml:space="preserve">R108</t>
  </si>
  <si>
    <t xml:space="preserve">Ribeye Steak, Chimichurri, Croutons</t>
  </si>
  <si>
    <t xml:space="preserve">1. Preheat oven to 200°C. Bake the bread cubes for 8-10 mins until golden and crisp for the croutons.
2. Mix the parsley, garlic, red wine vinegar, lime juice, chilli flakes and oregano together to make the chimichurri; season and set aside to let the flavours develop.
3. Season the ribeye with salt and black pepper, then sear in a hot, dry non-stick pan for 3-4 mins per side for medium. Rest for 5 mins.
4. Slice the steak thinly against the grain.
5. Arrange the salad leaves, cherry tomatoes and red onion on a plate.
6. Top with the sliced steak and croutons, spoon over the chimichurri and serve.</t>
  </si>
  <si>
    <t xml:space="preserve">How it's kept light: Lean-trimmed ribeye grilled, oil-free herb chimichurri (citrus/vinegar base), small crouton portion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t>
  </si>
  <si>
    <t xml:space="preserve">R109</t>
  </si>
  <si>
    <t xml:space="preserve">Beef Cheek Ragu, Gnocchi</t>
  </si>
  <si>
    <t xml:space="preserve">1. Season the beef cheek and sear in the olive oil in a hot pan until browned all over, then set aside.
2. In the same pan, soften the onion, carrot, celery and garlic over a medium heat for 5 minutes.
3. Return the beef to the pan, add the red wine and simmer for 2 minutes to cook off the alcohol.
4. Add the chopped tomatoes, stock and bay leaf, cover and braise on a low heat (or in a 150°C oven) for 3 hours until the beef shreds easily.
5. Remove the beef, shred with two forks, skim any fat from the surface of the sauce, then return the meat to the ragu.
6. Cook the gnocchi in boiling water for 1-2 minutes until it floats, then drain and stir through the ragu.
7. Serve topped with grated parmesan.</t>
  </si>
  <si>
    <t xml:space="preserve">How it's kept light: Slow-braised lean beef cheek, tomato ragu, gnocchi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t>
  </si>
  <si>
    <t xml:space="preserve">R110</t>
  </si>
  <si>
    <t xml:space="preserve">Meatballs</t>
  </si>
  <si>
    <t xml:space="preserve">1. Preheat the oven to 200°C. Mix the mince, breadcrumbs, milk, garlic and chopped basil, season well, and shape into 5-6 meatballs.
2. Place on a lined baking tray and bake for 15-18 minutes until browned and cooked through, turning once.
3. Meanwhile, soften the onion and garlic in a pan with a splash of water over a medium heat for 4-5 minutes.
4. Add the passata, season, and simmer for 10 minutes.
5. Cook the spaghetti in boiling water according to pack instructions, then drain.
6. Add the baked meatballs to the tomato sauce and simmer for 2-3 minutes to combine.
7. Serve the meatballs and sauce over the spaghetti, scattered with torn basil.</t>
  </si>
  <si>
    <t xml:space="preserve">How it's kept light: Baked lean beef/turkey meatballs, tomato basil sauce,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t>
  </si>
  <si>
    <t xml:space="preserve">WORTH A GLANCE: garlic appears twice ('1/2 Garlic Clove, crushed' and '1 Garlic Clove, crushed') with no purpose label distinguishing them - plausible if used in both the meatball mix and the tomato sauce, but worth confirming it isn't a duplicate entry.</t>
  </si>
  <si>
    <t xml:space="preserve">R111</t>
  </si>
  <si>
    <t xml:space="preserve">Mussel &amp; Prawn in White Wine</t>
  </si>
  <si>
    <t xml:space="preserve">1. Cook the linguine in boiling water according to pack instructions, then drain, reserving a little pasta water.
2. Heat the olive oil in a large pan and soften the onion and garlic for 3-4 minutes.
3. Add the white wine and simmer for 1-2 minutes to reduce slightly.
4. Add the chopped tomatoes and simmer for 5 minutes.
5. Add the mussels, cover with a lid and cook for 3-4 minutes until they open, discarding any that remain closed.
6. Add the prawns for the final 2 minutes until pink and cooked through.
7. Toss through the drained linguine, loosening with a little pasta water if needed, and finish with chopped parsley.</t>
  </si>
  <si>
    <t xml:space="preserve">How it's kept light: Mussels and prawns in a white wine and tomato broth, minimal oil, linguine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t>
  </si>
  <si>
    <t xml:space="preserve">MACRO MISMATCH: ingredient list computes 75% HIGHER than Published Kcal (once divided by servings) - ingredients and/or published figure worth a second look against the source card.</t>
  </si>
  <si>
    <t xml:space="preserve">R112</t>
  </si>
  <si>
    <t xml:space="preserve">Jerk Chicken, Rasta Pasta</t>
  </si>
  <si>
    <t xml:space="preserve">1. Coat the chicken breast in jerk seasoning and leave to marinate for at least 15 minutes.
2. Griddle or grill the chicken for 6-7 minutes each side until cooked through and charred, then rest and slice.
3. Cook the pasta in boiling water according to pack instructions, then drain.
4. Meanwhile, sauté the onion, garlic and peppers in a non-stick pan with a splash of stock for 4-5 minutes until softened.
5. Add the coconut milk and remaining stock and simmer for 3-4 minutes until slightly thickened.
6. Toss the drained pasta through the sauce, then top with the sliced jerk chicken and spring onion.</t>
  </si>
  <si>
    <t xml:space="preserve">How it's kept light: Grilled jerk chicken breast, reduced-fat coconut milk sauce, peppers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t>
  </si>
  <si>
    <t xml:space="preserve">R113</t>
  </si>
  <si>
    <t xml:space="preserve">Chicken Milanese, Tomato</t>
  </si>
  <si>
    <t xml:space="preserve">1. Preheat the oven to 200°C. Mix the panko with the grated parmesan and seasoning.
2. Dip the chicken breast in egg white, then coat evenly in the panko mixture.
3. Place on a wire rack over a baking tray and bake for 15-18 minutes until golden and cooked through.
4. Meanwhile, soften the onion and garlic in a pan with a splash of water for 4 minutes, add the passata and simmer for 10 minutes with torn basil.
5. Cook the spaghetti in boiling water according to pack instructions, then drain and toss through the tomato sauce.
6. Slice the chicken Milanese and serve on top of the tomato spaghetti.</t>
  </si>
  <si>
    <t xml:space="preserve">How it's kept light: Oven-baked panko chicken breast, tomato sauce, pasta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</si>
  <si>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R114</t>
  </si>
  <si>
    <t xml:space="preserve">Nduja Seafood</t>
  </si>
  <si>
    <t xml:space="preserve">1. Cook the linguine in boiling water according to pack instructions, then drain.
2. Meanwhile, gently melt the nduja in a non-stick pan over a low-medium heat for 1-2 minutes.
3. Add the onion and garlic and cook for 3-4 minutes until softened.
4. Add the white wine and simmer for 1 minute, then add the chopped tomatoes and simmer for 8-10 minutes.
5. Add the mixed seafood and prawns and cook for 3-4 minutes until the prawns are pink and the seafood is cooked through.
6. Toss through the drained pasta and finish with chopped parsley.</t>
  </si>
  <si>
    <t xml:space="preserve">How it's kept light: Small amount of nduja for flavour intensity keeps added fat low, mixed seafood, tomato base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t>
  </si>
  <si>
    <t xml:space="preserve">R115</t>
  </si>
  <si>
    <t xml:space="preserve">Lamb Neck Ragu</t>
  </si>
  <si>
    <t xml:space="preserve">1. Season the lamb neck and sear in the olive oil in a hot pan until browned, then set aside.
2. Soften the onion, carrot, celery and garlic in the same pan for 5 minutes.
3. Return the lamb to the pan, add the red wine and simmer for 2 minutes.
4. Add the chopped tomatoes, stock and rosemary, cover and braise on a low heat (or in a 150°C oven) for 2.5-3 hours until the lamb is meltingly tender.
5. Remove the lamb, shred, and skim any excess fat from the surface of the sauce before returning the meat.
6. Cook the pappardelle in boiling water according to pack instructions, then drain and toss through the ragu.
7. Serve topped with grated parmesan.</t>
  </si>
  <si>
    <t xml:space="preserve">How it's kept light: Slow-braised lean-trimmed lamb neck, tomato ragu, fat skimmed off before serving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t>
  </si>
  <si>
    <t xml:space="preserve">MACRO MISMATCH: ingredient list computes 41% HIGHER than Published Kcal (once divided by servings) - ingredients and/or published figure worth a second look against the source card.</t>
  </si>
  <si>
    <t xml:space="preserve">R116</t>
  </si>
  <si>
    <t xml:space="preserve">Prawn &amp; Red Wine</t>
  </si>
  <si>
    <t xml:space="preserve">1. Cook the linguine in boiling water according to pack instructions, then drain.
2. Heat the olive oil in a pan and soften the onion and garlic for 3-4 minutes.
3. Add the red wine and simmer for 2 minutes to reduce and cook off the alcohol.
4. Add the chopped tomatoes and chilli flakes and simmer for 10 minutes.
5. Add the prawns and cook for 2-3 minutes until pink and cooked through.
6. Toss through the drained pasta and finish with chopped parsley.</t>
  </si>
  <si>
    <t xml:space="preserve">How it's kept light: King prawns, red wine and tomato sauce,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t>
  </si>
  <si>
    <t xml:space="preserve">R117</t>
  </si>
  <si>
    <t xml:space="preserve">Lasagne</t>
  </si>
  <si>
    <t xml:space="preserve">1. Brown the beef mince in a non-stick pan with no added oil, breaking it up, then set aside.
2. In the same pan, soften the onion, carrot, courgette and garlic for 5 minutes with a splash of stock.
3. Return the mince to the pan, add the chopped tomatoes and remaining stock, and simmer for 20 minutes.
4. For the béchamel, melt the butter in a saucepan, stir in the flour and cook for 1 minute, then gradually whisk in the skimmed milk over a low heat until thickened.
5. Preheat the oven to 180°C. Layer the ragu, lasagne sheets and béchamel in a small ovenproof dish, finishing with a béchamel layer topped with grated cheddar.
6. Bake for 30-35 minutes until golden, bubbling and the pasta is tender.</t>
  </si>
  <si>
    <t xml:space="preserve">How it's kept light: Lean beef ragu, béchamel made with skimmed milk and minimal butter, extra vegetable layers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
  </si>
  <si>
    <t xml:space="preserve">R118</t>
  </si>
  <si>
    <t xml:space="preserve">Peri Peri Chicken</t>
  </si>
  <si>
    <t xml:space="preserve">1. Coat the chicken breast in peri peri marinade and leave to marinate for at least 20 minutes.
2. Griddle or grill the chicken for 6-7 minutes each side until cooked through, then rest and slice.
3. Cook the penne in boiling water according to pack instructions, then drain.
4. Meanwhile, soften the onion, garlic and red pepper in a pan with a splash of water for 4-5 minutes.
5. Add the passata and chilli flakes and simmer for 8-10 minutes to make the peri sauce.
6. Toss the drained pasta through the sauce, top with the sliced peri peri chicken and scatter with coriander.</t>
  </si>
  <si>
    <t xml:space="preserve">How it's kept light: Grilled peri-peri chicken breast, tomato-based peri sauce,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</si>
  <si>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R119</t>
  </si>
  <si>
    <t xml:space="preserve">Salmon &amp; Pesto</t>
  </si>
  <si>
    <t xml:space="preserve">1. Season the salmon and oven-bake at 200°C for 12-15 minutes until cooked through and flaking easily.
2. Cook the pasta in boiling water according to pack instructions, adding the cherry tomatoes for the final 2 minutes, then drain, reserving a little pasta water.
3. Stir the pesto through the drained pasta with the skimmed milk and a splash of pasta water to loosen into a light sauce.
4. Flake the salmon and toss gently through the pasta.
5. Finish with a squeeze of lemon juice and black pepper.</t>
  </si>
  <si>
    <t xml:space="preserve">How it's kept light: Salmon's natural omega-3 fat counted toward the total; pesto used sparingly rather than oil-heavy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t>
  </si>
  <si>
    <t xml:space="preserve">R120</t>
  </si>
  <si>
    <t xml:space="preserve">Lobster &amp; Prawn Mac and Cheese</t>
  </si>
  <si>
    <t xml:space="preserve">1. Cook the macaroni in boiling water according to pack instructions, then drain.
2. Meanwhile, melt the butter in a saucepan, stir in the flour and cook for 1 minute, then gradually whisk in the skimmed milk over a low heat until smooth and thickened.
3. Remove from the heat and stir in the cheddar, parmesan and mustard until melted.
4. Pan-fry the prawns in a non-stick pan for 2-3 minutes until pink and just cooked through.
5. Stir the prawns and lobster meat through the cheese sauce for 1-2 minutes to warm through.
6. Fold in the drained macaroni and serve immediately.</t>
  </si>
  <si>
    <t xml:space="preserve">How it's kept light: Light cheese sauce made with skimmed milk, lobster and prawn for protein, pasta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t>
  </si>
  <si>
    <t xml:space="preserve">R121</t>
  </si>
  <si>
    <t xml:space="preserve">Spicy Crab Mac and Cheese</t>
  </si>
  <si>
    <t xml:space="preserve">1. Cook the macaroni in boiling water according to pack instructions, then drain.
2. Melt the butter in a saucepan, stir in the flour and cook for 1 minute, then gradually whisk in the skimmed milk over a low heat until smooth and thickened.
3. Remove from the heat and stir in the cheddar and chilli flakes until melted.
4. Fold the white crab meat and diced chilli through the sauce, warming gently for 1-2 minutes.
5. Stir in the drained macaroni and a squeeze of lemon juice, then serve immediately.</t>
  </si>
  <si>
    <t xml:space="preserve">How it's kept light: White crab meat, light cheese sauce (skimmed-milk base), pasta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t>
  </si>
  <si>
    <t xml:space="preserve">R122</t>
  </si>
  <si>
    <t xml:space="preserve">Seafood Orzo Carbonara</t>
  </si>
  <si>
    <t xml:space="preserve">1. Cook the orzo in boiling water according to pack instructions, then drain, reserving a cup of the cooking water.
2. Meanwhile, whisk the egg, egg yolk and parmesan together with plenty of black pepper.
3. Pan-fry the garlic, prawns and mixed seafood in a non-stick pan for 3-4 minutes until cooked through.
4. Remove the pan from the heat, add the drained orzo and toss briefly to cool slightly.
5. Pour in the egg mixture, stirring constantly and adding a splash of the reserved pasta water to create a silky sauce (the residual heat cooks the egg without scrambling it).
6. Serve immediately, scattered with chopped parsley.</t>
  </si>
  <si>
    <t xml:space="preserve">How it's kept light: Egg and light cheese sauce (no cream), mixed seafood, orzo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t>
  </si>
  <si>
    <t xml:space="preserve">R123</t>
  </si>
  <si>
    <t xml:space="preserve">Caramelised Onion &amp; Prawn</t>
  </si>
  <si>
    <t xml:space="preserve">1. Place the sliced onions in a non-stick pan with a splash of stock and cook slowly over a low-medium heat for 20-25 minutes, adding more stock a little at a time to prevent catching, until deeply caramelised.
2. Stir in the balsamic vinegar and garlic for the final 2 minutes.
3. Cook the pasta in boiling water according to pack instructions, then drain, reserving a little pasta water.
4. Add the prawns to the onions and cook for 2-3 minutes until pink and cooked through, loosening with the remaining stock as needed.
5. Toss through the drained pasta with the thyme leaves, adding pasta water to loosen if needed.
6. Serve topped with grated parmesan.</t>
  </si>
  <si>
    <t xml:space="preserve">How it's kept light: Onions caramelised without added oil (stock-assisted), king prawns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t>
  </si>
  <si>
    <t xml:space="preserve">R124</t>
  </si>
  <si>
    <t xml:space="preserve">Tuscan Chicken</t>
  </si>
  <si>
    <t xml:space="preserve">1. Season the chicken breast and grill or griddle for 6-7 minutes each side until cooked through, then rest and slice.
2. Cook the pasta in boiling water according to pack instructions, then drain.
3. Meanwhile, soften the onion and garlic in a pan with a splash of water for 4 minutes.
4. Add the chopped tomatoes and simmer for 8 minutes, then stir in the spinach until wilted.
5. Remove from the heat and stir through the crème fraîche until glossy.
6. Toss the drained pasta through the sauce, top with the sliced chicken and serve.</t>
  </si>
  <si>
    <t xml:space="preserve">How it's kept light: Grilled chicken breast, light tomato and spinach sauce with a little low-fat crème fraîche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
  </si>
  <si>
    <t xml:space="preserve">R125</t>
  </si>
  <si>
    <t xml:space="preserve">Marry Me Orzo</t>
  </si>
  <si>
    <t xml:space="preserve">1. Season the diced chicken and pan-fry in a non-stick pan for 5-6 minutes until browned and cooked through, then set aside.
2. In the same pan, soften the onion and garlic with a splash of stock for 3-4 minutes.
3. Add the orzo, chopped tomatoes, sundried tomatoes and remaining stock, and simmer for 10-12 minutes, stirring occasionally, until the orzo is tender and most of the liquid is absorbed.
4. Stir in the skimmed milk and parmesan and cook for 1-2 minutes until creamy.
5. Return the chicken to the pan and warm through.
6. Finish with torn basil leaves before serving.</t>
  </si>
  <si>
    <t xml:space="preserve">How it's kept light: Chicken breast, sundried tomato and light sauce (skimmed-milk base, minimal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t>
  </si>
  <si>
    <t xml:space="preserve">R126</t>
  </si>
  <si>
    <t xml:space="preserve">Tandoori Chicken</t>
  </si>
  <si>
    <t xml:space="preserve">1. Preheat oven to 220°C (or preheat grill to high).
2. Mix the diced chicken with the Fage Total 0% yoghurt, tandoori spice mix and smoked paprika. Marinate for at least 10 mins.
3. Lay the chicken on a grill tray and grill for 6-8 mins, turning once, until charred at the edges and cooked through.
4. Meanwhile, place the tortilla wrap on a baking tray and spread the passata evenly over the base, leaving a small border.
5. Scatter over the grilled chicken, red onion and mozzarella.
6. Bake for 6-8 mins until the cheese is melted and the edges of the wrap are crisp — no oil brushing needed.
7. Drizzle with mango chutney, scatter with coriander and serve with the lemon wedge.</t>
  </si>
  <si>
    <t xml:space="preserve">How it's kept light: Thin base, grilled tandoori chicken breast, light cheese, no oil brushing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t>
  </si>
  <si>
    <t xml:space="preserve">R127</t>
  </si>
  <si>
    <t xml:space="preserve">Crispy Lamb</t>
  </si>
  <si>
    <t xml:space="preserve">1. Preheat oven to 220°C.
2. Toss the trimmed lamb strips with Chinese five spice and spread in a single layer on a wire rack set over a baking tray.
3. Oven-crisp for 10-12 mins, turning once, until browned and crisp at the edges — no oil needed.
4. Spread half the hoisin sauce thinly over the tortilla wrap base and scatter over the mozzarella.
5. Bake the topped wrap for 5-6 mins until the cheese has melted and the base is crisp.
6. Top with the crispy lamb, cucumber ribbons and spring onion.
7. Drizzle with the remaining hoisin, scatter with sesame seeds and chilli flakes, and serve immediately.</t>
  </si>
  <si>
    <t xml:space="preserve">How it's kept light: Lean-trimmed lamb, oven-crisped not fried, thin base, light cheese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t>
  </si>
  <si>
    <t xml:space="preserve">R128</t>
  </si>
  <si>
    <t xml:space="preserve">Meatball</t>
  </si>
  <si>
    <t xml:space="preserve">1. Preheat oven to 200°C.
2. Mix the beef mince with breadcrumbs, egg white, oregano, crushed garlic and black pepper. Roll into 4-5 small meatballs.
3. Place on a lined baking tray and bake for 12-14 mins, turning halfway, until browned and cooked through.
4. Spread the passata evenly over the tortilla wrap base.
5. Halve the baked meatballs and arrange over the sauce, then scatter with mozzarella.
6. Bake for 6-8 mins until the cheese is melted and the base is crisp.
7. Finish with torn basil and a grind of black pepper.</t>
  </si>
  <si>
    <t xml:space="preserve">How it's kept light: Baked lean meatballs, tomato base, light cheese, thin base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t>
  </si>
  <si>
    <t xml:space="preserve">R129</t>
  </si>
  <si>
    <t xml:space="preserve">Chilli Crab</t>
  </si>
  <si>
    <t xml:space="preserve">1. Preheat oven to 220°C.
2. Mix the passata with half the chopped red chilli and a squeeze of lime juice to make the chilli tomato base.
3. Spread the base evenly over the tortilla wrap.
4. Scatter over the sweetcorn, red onion and mozzarella.
5. Bake for 7-8 mins until the cheese is melted and the base is crisp.
6. Flake the white crab meat over the hot flatbread.
7. Drizzle with chilli oil, scatter with the remaining chilli, lime zest and coriander, and serve immediately.</t>
  </si>
  <si>
    <t xml:space="preserve">How it's kept light: White crab meat, chilli tomato base, light cheese, thin base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t>
  </si>
  <si>
    <t xml:space="preserve">R130</t>
  </si>
  <si>
    <t xml:space="preserve">Texas BBQ</t>
  </si>
  <si>
    <t xml:space="preserve">1. Preheat oven to 220°C.
2. Toss the shredded chicken (or beef) with half the reduced-sugar BBQ sauce.
3. Spread the remaining BBQ sauce over the tortilla wrap base as the pizza sauce.
4. Scatter over the BBQ chicken, sweetcorn, red onion and mozzarella.
5. Bake for 7-8 mins until the cheese is melted and the edges of the wrap are crisp.
6. Top with sliced jalapeño and chopped coriander.
7. Finish with a grind of black pepper and serve immediately.</t>
  </si>
  <si>
    <t xml:space="preserve">How it's kept light: Lean pulled chicken or beef, reduced-sugar BBQ base, light cheese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t>
  </si>
  <si>
    <t xml:space="preserve">R131</t>
  </si>
  <si>
    <t xml:space="preserve">Lamb Keema</t>
  </si>
  <si>
    <t xml:space="preserve">1. Dry-fry the onion, garlic and ginger in a non-stick pan over medium heat for 2-3 mins until softened — no oil needed.
2. Add the lamb mince, garam masala, cumin and turmeric, and dry-fry for 5-6 mins, breaking up the mince, until browned and cooked through.
3. Stir in the passata, peas and par-cooked potato, and simmer for 3-4 mins until the sauce has reduced slightly.
4. Preheat oven to 220°C.
5. Spread the lamb keema evenly over the tortilla wrap base and scatter with mozzarella.
6. Bake for 6-8 mins until the cheese is melted and the base is crisp.
7. Finish with chopped coriander and a squeeze of lemon juice.</t>
  </si>
  <si>
    <t xml:space="preserve">How it's kept light: Lean minced lamb keema, spiced, thin base, light cheese,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t>
  </si>
  <si>
    <t xml:space="preserve">R132</t>
  </si>
  <si>
    <t xml:space="preserve">Smashed Beef</t>
  </si>
  <si>
    <t xml:space="preserve">1. Season the beef mince with salt and pepper, then shape into a loose ball.
2. Heat a non-stick pan until smoking hot (no oil needed) and press the beef ball flat with a spatula to smash it thin.
3. Cook for 2 minutes, flip, and top with the reduced-fat cheddar to melt for a further 1-2 minutes until cooked through.
4. Toast the cut side of the burger bun in the same pan for 30 seconds.
5. Build the burger: bun base, lettuce, tomato, red onion, the smashed patty with melted cheese, then tomato relish and the bun top.</t>
  </si>
  <si>
    <t xml:space="preserve">How it's kept light: 5%-fat beef patty smashed on non-stick, no added oil, light bun, tomato relish not mayo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t>
  </si>
  <si>
    <t xml:space="preserve">R133</t>
  </si>
  <si>
    <t xml:space="preserve">Crispy Cajun Prawn</t>
  </si>
  <si>
    <t xml:space="preserve">1. Preheat the oven to 200°C (fan) and line a baking tray.
2. Pat the prawns dry, dip in the beaten egg white, then toss in the panko breadcrumbs mixed with Cajun seasoning.
3. Arrange on the tray, spritz with cooking spray, and bake for 8-10 minutes, turning once, until crisp and cooked through.
4. Toss the coleslaw mix with half the light mayonnaise and a squeeze of lime.
5. Toast the burger bun, then build with the coleslaw, the crispy Cajun prawns and a drizzle of the remaining mayonnaise.
6. Serve with a lime wedge.</t>
  </si>
  <si>
    <t xml:space="preserve">How it's kept light: Oven-baked (not deep-fried) Cajun-spiced prawns, light bun, slaw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t>
  </si>
  <si>
    <t xml:space="preserve">R134</t>
  </si>
  <si>
    <t xml:space="preserve">Crispy Chicken, Pesto &amp; Mozzarella</t>
  </si>
  <si>
    <t xml:space="preserve">1. Preheat the oven to 200°C (fan). Butterfly and flatten the chicken breast to an even thickness.
2. Dip the chicken in the beaten egg, then coat in the panko breadcrumbs. Place on a lined tray and spritz with low-calorie cooking spray.
3. Bake for 15-18 minutes, turning once, until golden and cooked through, topping with the mozzarella for the final 2 minutes to melt.
4. Toast the bun. Spread the base with the pesto and layer with rocket and tomato.
5. Top with the crispy chicken and melted mozzarella, close the bun and serve.</t>
  </si>
  <si>
    <t xml:space="preserve">How it's kept light: Oven-baked panko chicken breast, light mozzarella, pesto used sparingly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</si>
  <si>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R135</t>
  </si>
  <si>
    <t xml:space="preserve">Zinger Tower</t>
  </si>
  <si>
    <t xml:space="preserve">1. Preheat the oven to 200°C (fan). Flatten the chicken breast to an even thickness.
2. Dip in the beaten egg, then coat in the spiced crumb. Place on a lined tray, spritz with cooking spray, and bake for 15-18 minutes, turning halfway, until crisp and cooked through.
3. Toast the burger bun and spread the base with the spiced light mayonnaise.
4. Layer the shredded lettuce, then add the crispy chicken.
5. Finish with a little more spiced mayonnaise, close the bun and serve.</t>
  </si>
  <si>
    <t xml:space="preserve">How it's kept light: Oven-baked spiced chicken breast (not deep-fried), light bun, minimal sauce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t>
  </si>
  <si>
    <t xml:space="preserve">R136</t>
  </si>
  <si>
    <t xml:space="preserve">BBQ Cheek</t>
  </si>
  <si>
    <t xml:space="preserve">1. Season the beef cheek and sear in a non-stick pan for 2-3 minutes per side.
2. Transfer to a covered casserole dish with a splash of beef stock and braise at 150°C for 3 hours (or slow-cook on low for 6-8 hours) until fork-tender.
3. Remove from the liquid, skim off any fat, then shred the beef cheek and toss through the reduced-sugar BBQ sauce.
4. Toast the burger bun and spread the base with the light mayonnaise.
5. Layer lettuce and pickles, top with the BBQ beef cheek, close the bun and serve.</t>
  </si>
  <si>
    <t xml:space="preserve">How it's kept light: Slow-braised lean beef cheek, fat skimmed, reduced-sugar BBQ sauce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t>
  </si>
  <si>
    <t xml:space="preserve">R137</t>
  </si>
  <si>
    <t xml:space="preserve">Buffalo Chicken &amp; Ranch</t>
  </si>
  <si>
    <t xml:space="preserve">1. Preheat the oven to 200°C (fan). Season the chicken breast and bake for 18-20 minutes until cooked through, then slice.
2. Toss the sliced chicken through the buffalo hot sauce.
3. Mix the Fage 0% yoghurt, light mayonnaise, garlic powder, chives and dill to make the ranch dressing.
4. Toast the burger bun and spread the base with a little of the ranch dressing.
5. Layer lettuce and avocado, top with the buffalo chicken, and drizzle with the remaining ranch. Close the bun and serve.</t>
  </si>
  <si>
    <t xml:space="preserve">How it's kept light: Oven-baked chicken breast, light buffalo sauce, low-fat yoghurt ranch not soured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t>
  </si>
  <si>
    <t xml:space="preserve">R138</t>
  </si>
  <si>
    <t xml:space="preserve">Smashed Beef, Beef Chilli</t>
  </si>
  <si>
    <t xml:space="preserve">1. Season 70g of the beef mince, shape into a ball, and smash flat on a hot non-stick pan (no oil needed). Cook for 2-3 minutes per side until cooked through.
2. Meanwhile, dry-fry the onion and garlic with the remaining 35g beef mince in a separate pan until browned.
3. Add the chopped tomatoes, kidney beans, chilli powder, cumin and smoked paprika, and simmer for 8-10 minutes to make the beef chilli.
4. Toast the burger bun. Spread the base with light mayonnaise and add lettuce.
5. Add the smashed beef patty, then top with the beef chilli and grated cheddar.
6. Close the bun and serve immediately.</t>
  </si>
  <si>
    <t xml:space="preserve">How it's kept light: 5%-fat beef patty, lean beef chilli topping, light bun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</si>
  <si>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R139</t>
  </si>
  <si>
    <t xml:space="preserve">Tandoori King Prawn Masala</t>
  </si>
  <si>
    <t xml:space="preserve">1. Combine the prawns with 30g yoghurt, tandoori spice mix, and half the garlic and ginger. Marinate for 15 minutes (or up to overnight).
2. Cook the basmati rice according to pack instructions; keep warm.
3. Heat the rapeseed oil in a non-stick pan. Sauté the onion for 3-4 minutes until soft, then add the remaining garlic and ginger and cook for 1 minute.
4. Add the cumin, garam masala, turmeric and chilli powder; cook for 30 seconds until fragrant.
5. Add the chopped tomatoes and simmer for 8-10 minutes until reduced to a thick masala base.
6. Meanwhile, chargrill or griddle the marinated prawns for 2-3 minutes per side until charred and cooked through.
7. Stir the grilled prawns into the masala sauce along with the remaining 20g yoghurt; warm through for 1-2 minutes (do not boil).
8. Serve over the basmati rice, garnished with fresh coriander and a lemon wedge.</t>
  </si>
  <si>
    <t xml:space="preserve">How it's kept light: King prawns, tomato masala base, light on cream,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t>
  </si>
  <si>
    <t xml:space="preserve">R140</t>
  </si>
  <si>
    <t xml:space="preserve">Lamb Saag</t>
  </si>
  <si>
    <t xml:space="preserve">1. Heat the rapeseed oil in a non-stick pan and sauté the onion for 3-4 minutes until soft.
2. Add the garlic, ginger and spices; cook for 1 minute until fragrant.
3. Add the diced lamb and brown on all sides for 4-5 minutes.
4. Add the spinach and 50ml water, cover and simmer for 20-25 minutes until the lamb is tender, stirring occasionally.
5. Blitz half the spinach mixture with a stick blender for a traditional saag texture, then stir back through.
6. Cook the basmati rice according to pack instructions.
7. Remove the curry from the heat and stir through the Greek yoghurt.
8. Serve over the rice, garnished with fresh coriander.</t>
  </si>
  <si>
    <t xml:space="preserve">How it's kept light: Lean-trimmed lamb, spinach sauce, minimal ghee swapped for an oil spray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</si>
  <si>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R141</t>
  </si>
  <si>
    <t xml:space="preserve">1. Mix the yoghurt, tandoori spice mix, cumin, paprika, garlic, ginger and lemon juice in a bowl. Add the chicken and coat thoroughly; marinate for at least 30 minutes (ideally overnight).
2. Preheat a griddle pan or grill to high, brushed lightly with the rapeseed oil.
3. Chargrill the chicken for 5-6 minutes per side until charred and cooked through (internal temp 75°C).
4. Meanwhile, cook the basmati rice according to pack instructions.
5. Mix the remaining yoghurt with the cucumber and mint to make a quick raita.
6. Rest the chicken for 2 minutes, then slice.
7. Serve with the rice, raita and a lemon wedge.</t>
  </si>
  <si>
    <t xml:space="preserve">How it's kept light: Chicken breast marinated in yoghurt and spice, chargrilled not fried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t>
  </si>
  <si>
    <t xml:space="preserve">R142</t>
  </si>
  <si>
    <t xml:space="preserve">Thai Green Monkfish Curry</t>
  </si>
  <si>
    <t xml:space="preserve">1. Cook the rice according to pack instructions.
2. Heat a non-stick pan or wok over medium heat and dry-fry the green curry paste for 1 minute until fragrant.
3. Add the light coconut milk and fish sauce, stir to combine, and bring to a gentle simmer.
4. Add the green beans, red pepper and bamboo shoots; simmer for 4-5 minutes.
5. Add the monkfish and lime leaf; simmer gently for 5-6 minutes until the fish is just cooked through and opaque.
6. Stir through the Thai basil.
7. Serve over the rice with a lime wedge.</t>
  </si>
  <si>
    <t xml:space="preserve">How it's kept light: Monkfish, reduced-fat coconut milk,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t>
  </si>
  <si>
    <t xml:space="preserve">R143</t>
  </si>
  <si>
    <t xml:space="preserve">Thai Red Cod Curry</t>
  </si>
  <si>
    <t xml:space="preserve">1. Cook the rice according to pack instructions.
2. Heat a non-stick pan over medium heat and dry-fry the red curry paste for 1 minute until fragrant.
3. Stir in the light coconut milk and fish sauce; bring to a gentle simmer.
4. Add the mangetout, red pepper and lime leaf; simmer for 3-4 minutes.
5. Add the cod and simmer gently for 5-6 minutes until just cooked through and flaking.
6. Stir through the fresh coriander.
7. Serve over the rice with a lime wedge.</t>
  </si>
  <si>
    <t xml:space="preserve">How it's kept light: Cod, reduced-fat coconut milk,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</si>
  <si>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R144</t>
  </si>
  <si>
    <t xml:space="preserve">Soy Braised Chicken Thighs</t>
  </si>
  <si>
    <t xml:space="preserve">1. Heat the sesame oil in a non-stick pan over medium-high heat. Brown the chicken thighs for 2-3 minutes per side.
2. Add the soy sauce, honey, stock, garlic, ginger and star anise. Bring to a simmer.
3. Cover and braise gently for 20-25 minutes, turning occasionally, until the chicken is tender and the sauce has reduced and thickened slightly.
4. Meanwhile, cook the basmati rice according to pack instructions.
5. Remove the star anise. Shred or slice the chicken and spoon over the reduced braising liquid.
6. Serve over the rice, scattered with sesame seeds and spring onion.</t>
  </si>
  <si>
    <t xml:space="preserve">How it's kept light: Skin removed, braised in soy and stock rather than oil,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t>
  </si>
  <si>
    <t xml:space="preserve">R145</t>
  </si>
  <si>
    <t xml:space="preserve">Thai Yellow Coconut Chicken Meatballs</t>
  </si>
  <si>
    <t xml:space="preserve">1. Preheat oven to 200°C. Combine the chicken mince, breadcrumbs, egg white, garlic and ginger; season and shape into 6-8 small meatballs.
2. Place on a lined baking tray and bake for 12-15 minutes until cooked through and lightly golden.
3. Meanwhile, cook the rice according to pack instructions.
4. Heat a non-stick pan and dry-fry the yellow curry paste for 1 minute until fragrant.
5. Stir in the light coconut milk, bring to a gentle simmer, then add the carrot and peas; simmer for 4-5 minutes.
6. Add the baked meatballs to the sauce and simmer for 2-3 minutes to heat through and coat.
7. Stir through the fresh coriander.
8. Serve over the rice with a lime wedge.</t>
  </si>
  <si>
    <t xml:space="preserve">How it's kept light: Baked lean chicken meatballs, reduced-fat coconut sauce,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t>
  </si>
  <si>
    <t xml:space="preserve">R146</t>
  </si>
  <si>
    <t xml:space="preserve">Spiced Lamb Chops</t>
  </si>
  <si>
    <t xml:space="preserve">1. Combine the spices, garlic and ginger and rub firmly all over the lamb chops (no oil needed). Leave to marinate for at least 15 minutes.
2. Preheat a griddle pan or grill to high.
3. Cook the lamb chops for 3-4 minutes per side (medium), until charred on the outside and cooked to preference.
4. Meanwhile, cook the basmati rice according to pack instructions.
5. Rest the lamb chops for 2-3 minutes.
6. Serve with the rice, a side salad and a lemon wedge, scattered with fresh coriander.</t>
  </si>
  <si>
    <t xml:space="preserve">How it's kept light: Lean-trimmed lamb chops, dry-spiced and grilled, no added oil marinade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</si>
  <si>
    <t xml:space="preserve">R147</t>
  </si>
  <si>
    <t xml:space="preserve">Cauliflower &amp; Potato (side)</t>
  </si>
  <si>
    <t xml:space="preserve">1. Preheat oven to 200°C. Toss the cauliflower and potato with the oil (or a generous spray), cumin seeds, mustard seeds, turmeric and chilli powder.
2. Spread on a baking tray and roast for 25-30 minutes, turning halfway, until golden and tender.
3. In the last 5 minutes, heat a small non-stick pan with a spray of oil, sauté the onion, garlic and ginger for 2-3 minutes, then stir in the peas and 1 tbsp water; cook for 2 minutes.
4. Combine the roasted vegetables with the onion and pea mixture.
5. Garnish with fresh coriander and serve.</t>
  </si>
  <si>
    <t xml:space="preserve">How it's kept light: Roasted with spices, minimal oil spray, no cream or ghee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t>
  </si>
  <si>
    <t xml:space="preserve">R148</t>
  </si>
  <si>
    <t xml:space="preserve">Lamb Biryani</t>
  </si>
  <si>
    <t xml:space="preserve">1. Combine the lamb with the yoghurt, biryani spice mix, turmeric, chilli powder, garlic and ginger. Marinate for at least 30 minutes (ideally overnight).
2. Par-boil the basmati rice with the whole spices for 5-6 minutes until roughly 70% cooked; drain.
3. Heat the oil in a non-stick pan and sauté the onion for 5-6 minutes until golden and softened.
4. In an ovenproof dish or heavy-based pan, brown the marinated lamb for 4-5 minutes, then add 100ml water, cover and simmer for 25-30 minutes until tender.
5. Layer the part-cooked rice over the lamb, scatter over the fried onion, raisins, saffron water, coriander and mint.
6. Cover tightly and steam on low heat for 15-20 minutes (or finish covered in an oven at 160°C) until the rice is fully cooked and fragrant.
7. Gently fold through before serving to combine the layers.</t>
  </si>
  <si>
    <t xml:space="preserve">How it's kept light: Lean-trimmed lamb, rice portion controlled, layered not fried, minimal ghee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t>
  </si>
  <si>
    <t xml:space="preserve">R149</t>
  </si>
  <si>
    <t xml:space="preserve">Lamb Keema Pau</t>
  </si>
  <si>
    <t xml:space="preserve">1. Heat a non-stick pan lightly sprayed with oil (no added oil beyond a spray). Sauté the onion for 3-4 minutes until soft.
2. Add the garlic, ginger and spices; cook for 1 minute until fragrant.
3. Add the lamb mince and brown, breaking it up with a spoon, for 5-6 minutes.
4. Stir in the chopped tomato and peas, then simmer for 12-15 minutes until the tomato breaks down and the keema is rich and thickened, adding a splash of water if needed.
5. Lightly toast the halved pau bun in a dry pan or under the grill.
6. Spoon the keema onto the bun base, scatter with fresh coriander, and serve with a lime wedge.</t>
  </si>
  <si>
    <t xml:space="preserve">How it's kept light: Lean minced lamb keema, soft bun (pau),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t>
  </si>
  <si>
    <t xml:space="preserve">R150</t>
  </si>
  <si>
    <t xml:space="preserve">Lamb Massaman</t>
  </si>
  <si>
    <t xml:space="preserve">1. Heat a non-stick pan and dry-fry the massaman curry paste for 1 minute until fragrant.
2. Add the light coconut milk, fish sauce, tamarind paste and palm sugar; stir to combine.
3. Add the lamb, onion, potato and bay leaf/cinnamon. Bring to a gentle simmer.
4. Cover and simmer gently for 45-50 minutes, stirring occasionally, until the lamb is tender and the potato is cooked through, adding a splash of water if the sauce reduces too much.
5. Remove the bay leaf/cinnamon stick.
6. Scatter with crushed peanuts and fresh coriander before serving.</t>
  </si>
  <si>
    <t xml:space="preserve">How it's kept light: Lean-trimmed lamb, reduced-fat coconut sauce, potato,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t>
  </si>
  <si>
    <t xml:space="preserve">R151</t>
  </si>
  <si>
    <t xml:space="preserve">Crispy Chilli Beef</t>
  </si>
  <si>
    <t xml:space="preserve">1. Preheat oven to 220°C (fan 200°C). Toss the beef strips in the cornflour until lightly coated.
2. Arrange on a lined baking tray in a single layer and spray with a little oil. Bake for 10-12 mins, turning once, until crisp and cooked through.
3. Meanwhile, cook the rice according to packet instructions.
4. Heat the sesame oil in a non-stick wok over high heat. Stir-fry the garlic, ginger, chilli and spring onions for 1 min.
5. Add the sweet chilli sauce and 2-3 tbsp water and bring to a simmer.
6. Toss the crispy beef through the sauce until coated. Serve immediately over the rice.</t>
  </si>
  <si>
    <t xml:space="preserve">How it's kept light: Lean beef strips oven-crisped (not deep-fried), chilli sauce,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t>
  </si>
  <si>
    <t xml:space="preserve">R152</t>
  </si>
  <si>
    <t xml:space="preserve">Crispy Duck Fried Rice</t>
  </si>
  <si>
    <t xml:space="preserve">1. Cook the rice according to packet instructions, then spread on a tray and chill (or use day-old rice).
2. Season the trimmed duck breast and roast at 200°C for 12-14 mins, or pan-sear in a hot non-stick pan, until cooked through and lightly browned. Rest for 5 mins, then slice thinly.
3. Beat the egg and cook in a hot non-stick wok for 30-45 secs, scrambling lightly. Set aside.
4. Add the sesame oil to the wok with the garlic and ginger and stir-fry for 30 secs.
5. Add the cooked rice and the peas &amp; sweetcorn, and stir-fry over high heat for 2-3 mins.
6. Return the egg and sliced duck to the wok, add the soy sauce and spring onions, and toss for 1-2 mins until piping hot.</t>
  </si>
  <si>
    <t xml:space="preserve">How it's kept light: Duck skin removed and fat trimmed, rice stir-fried in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t>
  </si>
  <si>
    <t xml:space="preserve">R153</t>
  </si>
  <si>
    <t xml:space="preserve">Lamb Breast Pancakes</t>
  </si>
  <si>
    <t xml:space="preserve">1. Preheat oven to 200°C. Season the lamb breast and place on a rack over a tray. Roast for 20-25 mins until cooked through and crisp at the edges, allowing the fat to render and drip away.
2. Rest for 5 mins, then thinly slice, discarding any excess rendered fat.
3. Steam the Chinese pancakes according to packet instructions, or warm in a dry pan for 20-30 secs per side.
4. Spread each pancake with hoisin sauce, top with sliced lamb, cucumber matchsticks and shredded spring onion, and roll to serve.</t>
  </si>
  <si>
    <t xml:space="preserve">How it's kept light: Lean-trimmed lamb breast, reduced-sugar hoisin, thin pancakes, cucumber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</si>
  <si>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R154</t>
  </si>
  <si>
    <t xml:space="preserve">Sweet &amp; Sour Prawns</t>
  </si>
  <si>
    <t xml:space="preserve">1. Cook the rice according to packet instructions.
2. Mix the cornflour with 1 tbsp cold water to make a slurry.
3. Heat the oil in a non-stick wok over high heat. Stir-fry the onion and red pepper for 2-3 mins.
4. Add the garlic and prawns and stir-fry for 2-3 mins until the prawns turn pink.
5. Add the pineapple chunks and juice, ketchup, brown sugar and vinegar, and bring to a simmer.
6. Stir in the cornflour slurry and cook for 1-2 mins until the sauce thickens and coats the prawns. Serve over the rice.</t>
  </si>
  <si>
    <t xml:space="preserve">How it's kept light: King prawns, sauce thickened without oil,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t>
  </si>
  <si>
    <t xml:space="preserve">R155</t>
  </si>
  <si>
    <t xml:space="preserve">Beef Cheek Udon</t>
  </si>
  <si>
    <t xml:space="preserve">1. Place the beef cheek, stock, garlic and ginger in a lidded pan. Bring to a simmer, cover, and braise for 2.5-3 hrs (or 6-8 hrs on low in a slow cooker) until meltingly tender.
2. Remove the beef cheek and skim any fat from the surface of the braising liquid, then shred the meat with two forks.
3. Cook the udon noodles according to packet instructions and drain.
4. Return the shredded beef to the skimmed braising liquid with the soy sauce and mirin, and bring to a simmer. Add the pak choi and cook for 2 mins until just wilted.
5. Place the noodles in a bowl, ladle over the beef, broth and pak choi, and top with sliced spring onion.</t>
  </si>
  <si>
    <t xml:space="preserve">How it's kept light: Slow-braised lean beef cheek, fat skimmed, udon broth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</si>
  <si>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R156</t>
  </si>
  <si>
    <t xml:space="preserve">Short Rib Bao Buns</t>
  </si>
  <si>
    <t xml:space="preserve">1. Season the short rib and place in a lidded pan with the garlic, ginger and enough water or stock to cover. Bring to a simmer, cover, and braise for 3-3.5 hrs until falling off the bone.
2. Remove the meat, discard the bone, and skim off and discard all visible fat from the surface of the cooking liquid.
3. Shred the meat with two forks and toss with half the hoisin sauce.
4. Steam the bao buns according to packet instructions.
5. Fill each bun with shredded short rib, cucumber matchsticks and spring onion, and finish with a drizzle of the remaining hoisin sauce.</t>
  </si>
  <si>
    <t xml:space="preserve">How it's kept light: Slow-braised short rib, fat skimmed off, steamed (not fried) bao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t>
  </si>
  <si>
    <t xml:space="preserve">R157</t>
  </si>
  <si>
    <t xml:space="preserve">Szechuan Lamb Stir-fry</t>
  </si>
  <si>
    <t xml:space="preserve">1. Cook the rice according to packet instructions.
2. Mix the cornflour with 2 tbsp water, the soy sauce and honey to make a sauce.
3. Heat the oil in a non-stick wok over high heat. Stir-fry the lamb strips for 2-3 mins until browned, then remove and set aside.
4. Add the Szechuan peppercorns, garlic, ginger and chilli to the wok and stir-fry for 30 secs.
5. Add the pepper, onion and mangetout and stir-fry for 2-3 mins until just tender.
6. Return the lamb to the wok, pour in the sauce, and toss for 1-2 mins until everything is coated and piping hot. Serve over the rice.</t>
  </si>
  <si>
    <t xml:space="preserve">How it's kept light: Lean-trimmed lamb, wok-fried in minimal oil,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t>
  </si>
  <si>
    <t xml:space="preserve">R158</t>
  </si>
  <si>
    <t xml:space="preserve">Sesame Prawn Toast (side)</t>
  </si>
  <si>
    <t xml:space="preserve">1. Preheat oven to 200°C. Blend the prawns, egg white, spring onion and ginger to a smooth paste.
2. Spread the prawn paste evenly over the slice of bread, right to the edges.
3. Sprinkle with sesame seeds, pressing gently to help them stick, then brush lightly with sesame oil.
4. Place on a lined baking tray and bake for 10-12 mins until golden and crisp. Cut into triangles to serve.</t>
  </si>
  <si>
    <t xml:space="preserve">How it's kept light: Oven-baked not deep-fried, light sesame coating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t>
  </si>
  <si>
    <t xml:space="preserve">R159</t>
  </si>
  <si>
    <t xml:space="preserve">Honey Chicken</t>
  </si>
  <si>
    <t xml:space="preserve">1. Preheat oven to 200°C. Toss the chicken pieces in the 10g cornflour until lightly coated.
2. Arrange on a lined baking tray and bake for 12-15 mins, turning once, until golden and cooked through.
3. Meanwhile, cook the rice according to packet instructions.
4. Heat the sesame oil in a small pan, add the garlic and ginger, and cook for 30 secs.
5. Add the honey, soy sauce and the cornflour-water mix, and simmer for 1-2 mins until glossy and slightly thickened.
6. Toss the baked chicken through the glaze until fully coated, sprinkle with sesame seeds, and serve over the rice.</t>
  </si>
  <si>
    <t xml:space="preserve">How it's kept light: Chicken breast, reduced-sugar honey glaze, oven-baked not battered/fried,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t>
  </si>
  <si>
    <t xml:space="preserve">R160</t>
  </si>
  <si>
    <t xml:space="preserve">Monkfish Fajitas</t>
  </si>
  <si>
    <t xml:space="preserve">1. Toss the monkfish cubes in half the fajita spice mix.
2. Heat the olive oil in a non-stick pan over high heat. Dry-fry the peppers and onion for 4-5 mins until softened and lightly charred.
3. Push the vegetables to one side, add the monkfish and remaining spice mix, and cook for 3-4 mins, turning, until opaque and cooked through.
4. Warm the corn tortillas in a dry pan or microwave for 20-30 seconds.
5. Divide the monkfish and vegetables between the tortillas, top with the Fage Total 0% yoghurt and coriander, and serve with a lime wedge.</t>
  </si>
  <si>
    <t xml:space="preserve">How it's kept light: Monkfish, peppers and onions dry-fried in minimal oil, small tortilla portion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t>
  </si>
  <si>
    <t xml:space="preserve">R161</t>
  </si>
  <si>
    <t xml:space="preserve">Beef Birria</t>
  </si>
  <si>
    <t xml:space="preserve">1. Trim the beef of all visible fat and cut into large chunks. Heat the olive oil in a lidded pan or casserole dish and sear the beef on all sides until browned.
2. Add the onion and garlic and cook for 2-3 mins until softened.
3. Stir in the blended chillies (or chipotle paste), chopped tomatoes, beef stock, cumin, oregano and bay leaf.
4. Cover and simmer gently for 2-2.5 hours (or pressure cook for 45 mins), until the beef is fork-tender, topping up with water if needed.
5. Remove the beef, shred with two forks, and skim any fat from the surface of the braising liquid before returning the beef to the pot.
6. Warm the corn tortilla and serve alongside the birria with a lime wedge and coriander.</t>
  </si>
  <si>
    <t xml:space="preserve">How it's kept light: Lean-trimmed beef, fat skimmed from the braising liquid, corn tortilla on the side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t>
  </si>
  <si>
    <t xml:space="preserve">R162</t>
  </si>
  <si>
    <t xml:space="preserve">Beef Shin Chilli</t>
  </si>
  <si>
    <t xml:space="preserve">1. Trim the beef shin of all visible fat and dice into small pieces.
2. Heat the olive oil in a pan and brown the beef on all sides for 3-4 mins.
3. Add the onion and garlic and cook for 2-3 mins until softened.
4. Stir in the cumin, smoked paprika and chilli powder and cook for 1 min until fragrant.
5. Add the chopped tomatoes, beef stock and black beans, cover and simmer gently for 1.5-2 hours, topping up with water as needed, until the beef is tender and the sauce has thickened.
6. Skim any excess fat from the surface, season to taste and serve topped with fresh coriander.</t>
  </si>
  <si>
    <t xml:space="preserve">How it's kept light: Lean beef shin, fat trimmed, beans, minimal oil base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t>
  </si>
  <si>
    <t xml:space="preserve">R163</t>
  </si>
  <si>
    <t xml:space="preserve">Beef Barbacoa</t>
  </si>
  <si>
    <t xml:space="preserve">1. Trim the beef of all visible fat and cut into large chunks. Heat the olive oil in a lidded pan and sear the beef on all sides until browned.
2. Add the onion and garlic and cook for 2-3 mins until softened.
3. Stir in the chipotle paste, beef stock, orange juice, cumin and bay leaf.
4. Cover and simmer gently for 2-2.5 hours (or pressure cook for 45 mins), until the beef is fork-tender.
5. Shred the beef with two forks, skimming any fat from the surface of the braising liquid before stirring the beef back through.
6. Warm the corn tortillas and serve alongside the barbacoa with a lime wedge and coriander.</t>
  </si>
  <si>
    <t xml:space="preserve">How it's kept light: Lean-trimmed beef, slow-braised, fat skimmed, corn tortilla on the side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t>
  </si>
  <si>
    <t xml:space="preserve">R164</t>
  </si>
  <si>
    <t xml:space="preserve">“Taco Bell” Nachos</t>
  </si>
  <si>
    <t xml:space="preserve">1. Preheat oven to 190°C. Arrange the tortilla triangles on a baking tray in a single layer, spray lightly with oil, and bake for 8-10 mins until golden and crisp.
2. Meanwhile, dry-fry the beef mince (or chicken) in a non-stick pan with the taco seasoning until cooked through.
3. Warm the black beans in a small pan or microwave.
4. Scatter the baked chips on a plate, top with the cooked mince, black beans and grated cheese, and return to the oven for 2-3 mins until the cheese has melted.
5. Finish with the salsa, Fage Total 0% yoghurt, jalapeño, spring onion and coriander.</t>
  </si>
  <si>
    <t xml:space="preserve">How it's kept light: Baked (not fried) tortilla chips, lean beef/chicken, light cheese, salsa and yoghurt not soured cream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t>
  </si>
  <si>
    <t xml:space="preserve">R165</t>
  </si>
  <si>
    <t xml:space="preserve">Spatchcock Peri Peri Chicken</t>
  </si>
  <si>
    <t xml:space="preserve">1. Butterfly and flatten the chicken breast. Mix the lemon juice, garlic, smoked paprika, chilli flakes and oregano to make a peri-peri style marinade, and coat the chicken. Leave to marinate for at least 15 mins (or up to overnight).
2. Preheat a griddle pan or grill to high heat.
3. Chargrill the chicken for 5-6 mins per side, basting with any remaining marinade, until cooked through and charred at the edges.
4. Char the sweetcorn (or corn on the cob) on the griddle for 3-4 mins.
5. Serve the chicken with the charred corn, mixed salad, sliced avocado and a lime wedge.</t>
  </si>
  <si>
    <t xml:space="preserve">How it's kept light: Chicken breast portion, skin removed, chargrilled with peri marinade,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t>
  </si>
  <si>
    <t xml:space="preserve">R166</t>
  </si>
  <si>
    <t xml:space="preserve">Jerk Chicken</t>
  </si>
  <si>
    <t xml:space="preserve">1. Blitz the scotch bonnet, garlic, ginger, spring onion, allspice, thyme and lime juice with the rapeseed oil into a paste. Coat the chicken breast and marinate for at least 30 minutes, ideally overnight.
2. Preheat a griddle pan or grill to high. Cook the chicken for 5-6 mins per side until charred and cooked through, then rest for 2 mins and slice.
3. Cook the rice in salted boiling water according to pack instructions, then drain.
4. Warm the light coconut milk and kidney beans together in a small pan for 3-4 mins, then fold through the cooked rice to make rice and peas.
5. Serve the sliced jerk chicken over the rice and peas with a lime wedge.</t>
  </si>
  <si>
    <t xml:space="preserve">How it's kept light: Chicken breast marinated in jerk spice, grilled not fried, rice and peas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t>
  </si>
  <si>
    <t xml:space="preserve">R167</t>
  </si>
  <si>
    <t xml:space="preserve">Beef Suya</t>
  </si>
  <si>
    <t xml:space="preserve">1. Toss the beef cubes with the ground peanuts, paprika, cayenne, ground ginger, garlic powder and stock powder, then thread onto skewers with the onion wedges and cherry tomatoes.
2. Brush the skewers lightly with rapeseed oil and grill or griddle on high heat for 3-4 mins per side until charred and cooked to preference.
3. Toss the sweet potato wedges in any remaining oil, spread on a tray and roast at 200°C for 20-25 mins, turning once, until tender and golden.
4. Serve the suya skewers with the sweet potato wedges and a lime wedge.</t>
  </si>
  <si>
    <t xml:space="preserve">How it's kept light: Lean-trimmed beef skewers, suya spice, grilled,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t>
  </si>
  <si>
    <t xml:space="preserve">R168</t>
  </si>
  <si>
    <t xml:space="preserve">Pepper Soup</t>
  </si>
  <si>
    <t xml:space="preserve">1. Place the goat meat in a pot with the stock, bring to the boil, then skim off any excess fat and reduce to a simmer.
2. Add the scotch bonnet, ginger, garlic and spice mix, and simmer gently for 40-45 mins until the goat is tender.
3. Add the yam and simmer for a further 15-20 mins until cooked through.
4. Season to taste, stir through the scent leaf or basil, and serve hot with a lime wedge.</t>
  </si>
  <si>
    <t xml:space="preserve">How it's kept light: Lean goat or chicken, light spiced broth,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</si>
  <si>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R169</t>
  </si>
  <si>
    <t xml:space="preserve">Nigerian Chicken Stew, Jollof</t>
  </si>
  <si>
    <t xml:space="preserve">1. Season the chicken breast and sear in 1/2 tsp of the rapeseed oil for 2-3 mins per side until golden, then remove and set aside.
2. In the same pan, soften the onion, red pepper, garlic and ginger in the remaining oil for 5 mins.
3. Add the tomato passata, stock cube, thyme, bay leaf and scotch bonnet, and simmer for 10 mins to reduce.
4. Stir in the rice, return the chicken to the pan, cover with a splash of water and simmer for 18-20 mins until the rice is cooked and the chicken is cooked through.
5. Rest briefly, slice the chicken and serve stirred through the jollof rice.</t>
  </si>
  <si>
    <t xml:space="preserve">How it's kept light: Chicken breast, tomato-pepper stew, jollof rice portion controlled,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t>
  </si>
  <si>
    <t xml:space="preserve">R170</t>
  </si>
  <si>
    <t xml:space="preserve">Caribbean King Prawn Curry</t>
  </si>
  <si>
    <t xml:space="preserve">1. Cook the rice in salted boiling water according to pack instructions, then drain.
2. Soften the onion, garlic, ginger and scotch bonnet in a non-stick pan for 3-4 mins.
3. Stir in the curry powder, thyme and allspice and cook for 1 min until fragrant.
4. Add the light coconut milk, bring to a gentle simmer and cook for 5 mins to reduce slightly.
5. Add the king prawns and cook for 3-4 mins until just pink and cooked through.
6. Serve the curry over the rice.</t>
  </si>
  <si>
    <t xml:space="preserve">How it's kept light: King prawns, reduced-fat coconut sauce,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t>
  </si>
  <si>
    <t xml:space="preserve">R171</t>
  </si>
  <si>
    <t xml:space="preserve">Curry Goat</t>
  </si>
  <si>
    <t xml:space="preserve">1. Brown the goat meat in the rapeseed oil in a heavy-based pot for 4-5 mins, then remove and set aside.
2. Soften the onion, garlic, ginger and scotch bonnet in the same pot for 5 mins.
3. Stir in the curry powder, allspice and thyme and cook for 1 min, then return the goat to the pot with the light coconut milk and enough water to just cover.
4. Cover and simmer gently for 1.5-2 hours, topping up with water as needed and skimming any fat from the surface, until the goat is tender.
5. Meanwhile, cook the rice in salted boiling water according to pack instructions.
6. Serve the curry goat over the rice.</t>
  </si>
  <si>
    <t xml:space="preserve">How it's kept light: Lean-trimmed goat, slow-braised, fat skimmed, rice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t>
  </si>
  <si>
    <t xml:space="preserve">R172</t>
  </si>
  <si>
    <t xml:space="preserve">Salt Fish Fritters (side)</t>
  </si>
  <si>
    <t xml:space="preserve">1. Preheat oven to 200°C and line a baking tray with parchment.
2. Mix the flaked salt fish, flour, beaten egg, spring onion, thyme and scotch bonnet into a thick batter.
3. Spoon into small fritters onto the tray and lightly brush or spray with the rapeseed oil.
4. Bake for 15-18 mins, turning once, until golden and cooked through.</t>
  </si>
  <si>
    <t xml:space="preserve">How it's kept light: Oven-baked not deep-fried, light batter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they cl</t>
  </si>
  <si>
    <t xml:space="preserve">R173</t>
  </si>
  <si>
    <t xml:space="preserve">Scotch Bonnet, Ginger Chilli Jam (side)</t>
  </si>
  <si>
    <t xml:space="preserve">1. Place the mango, scotch bonnet, ginger, sugar, vinegar and lime juice in a small pan with a splash of water.
2. Simmer gently for 12-15 mins, stirring occasionally, until reduced to a sticky jam consistency.
3. Cool and season with a pinch of salt before serving.</t>
  </si>
  <si>
    <t xml:space="preserve">How it's kept light: Fruit and chilli-based reduction,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
  </si>
  <si>
    <t xml:space="preserve">MACRO MISMATCH: ingredient list computes 74% HIGHER than Published Kcal (once divided by servings) - ingredients and/or published figure worth a second look against the source card.</t>
  </si>
  <si>
    <t xml:space="preserve">R174</t>
  </si>
  <si>
    <t xml:space="preserve">Jamaican Fried Chicken</t>
  </si>
  <si>
    <t xml:space="preserve">1. Preheat oven to 200°C and set a wire rack over a baking tray.
2. Butterfly/flatten the chicken breast to an even thickness. Mix the flour with the paprika, allspice, garlic powder, onion powder, thyme, cayenne, salt and pepper.
3. Dredge the chicken in the seasoned flour, dip in the beaten egg, then coat in the panko breadcrumbs.
4. Place on the rack, spray or brush with the rapeseed oil, and bake for 20-22 mins, turning once, until golden and cooked through.</t>
  </si>
  <si>
    <t xml:space="preserve">How it's kept light: Chicken breast, oven-‘fried’ spiced coating (baked, not deep-fried)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t>
  </si>
  <si>
    <t xml:space="preserve">R175</t>
  </si>
  <si>
    <t xml:space="preserve">Souvlaki</t>
  </si>
  <si>
    <t xml:space="preserve">1. Cube the chicken breast and toss with 1 tsp of the olive oil, lemon juice, crushed garlic and oregano; marinate for at least 15 mins.
2. Thread the chicken onto skewers.
3. Griddle or grill over high heat for 8-10 mins, turning regularly, until charred and cooked through.
4. Mix the Greek yoghurt with the grated cucumber, dill and a pinch of garlic to make the tzatziki.
5. Warm the pitta on the griddle for 20-30 secs each side.
6. Toss the cherry tomatoes, red onion and remaining cucumber with the last 1/2 tsp olive oil for the salad.
7. Serve the skewers with the warmed pitta, tzatziki and salad.</t>
  </si>
  <si>
    <t xml:space="preserve">How it's kept light: Lean chicken or pork skewers, grilled, minimal oil marinade, pitta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t>
  </si>
  <si>
    <t xml:space="preserve">R176</t>
  </si>
  <si>
    <t xml:space="preserve">Gyros</t>
  </si>
  <si>
    <t xml:space="preserve">1. Slice the lamb thinly and toss with 1 tsp of the olive oil, cumin, smoked paprika, oregano and crushed garlic; marinate for 15 mins.
2. Heat a griddle pan and cook the lamb for 3-4 mins, turning, until charred and cooked through.
3. Mix the Greek yoghurt with the grated cucumber, mint or dill and a pinch of garlic to make the tzatziki.
4. Warm the flatbread on the griddle for 20-30 secs each side, brushing with the remaining 1/2 tsp olive oil.
5. Fill the flatbread with the lamb, tzatziki, red onion and tomato. Wrap and serve.</t>
  </si>
  <si>
    <t xml:space="preserve">How it's kept light: Lean-trimmed meat, grilled not fried, light tzatziki (0% yoghurt), flatbread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t>
  </si>
  <si>
    <t xml:space="preserve">R177</t>
  </si>
  <si>
    <t xml:space="preserve">Kleftiko &amp; Potatoes</t>
  </si>
  <si>
    <t xml:space="preserve">1. Preheat oven to 160°C.
2. Trim the lamb shoulder of visible fat, cube, and season with the oregano, garlic and lemon zest.
3. In an ovenproof dish, toss the potatoes and onion with the olive oil, then top with the lamb, tomato, bay leaf and lemon juice. Pour over the stock.
4. Cover tightly with foil and slow-roast for 2 1/2-3 hours until the lamb is meltingly tender.
5. Lift out the lamb and potatoes, then skim any fat from the cooking juices before spooning the jus back over to serve.</t>
  </si>
  <si>
    <t xml:space="preserve">How it's kept light: Slow-roasted lean lamb, fat skimmed, potato portion controlled,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t>
  </si>
  <si>
    <t xml:space="preserve">R178</t>
  </si>
  <si>
    <t xml:space="preserve">Prawns &amp; Mussel Orzo</t>
  </si>
  <si>
    <t xml:space="preserve">1. Cook the orzo in salted boiling water according to packet instructions until al dente, then drain.
2. Heat the olive oil in a pan and sauté the onion and garlic for 2-3 mins until softened.
3. Add the chopped tomatoes and stock, and simmer for 5 mins to reduce slightly.
4. Add the prawns and mussels to the sauce and cook for 3-4 mins until the prawns turn pink and everything is heated through.
5. Stir in the cooked orzo, lemon juice and parsley, then serve.</t>
  </si>
  <si>
    <t xml:space="preserve">How it's kept light: Mixed shellfish, tomato base, minimal oil, orzo portion controlled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t>
  </si>
  <si>
    <t xml:space="preserve">R179</t>
  </si>
  <si>
    <t xml:space="preserve">Lamb Shoulder</t>
  </si>
  <si>
    <t xml:space="preserve">1. Preheat oven to 150°C. Trim the lamb shoulder of excess fat, season with the garlic and rosemary, and place in a roasting tin with the stock.
2. Cover tightly with foil and slow-roast for 3 hours until tender, basting occasionally.
3. Toss the carrots with 1/2 tsp olive oil and roast alongside for the final 40 mins until caramelised.
4. Boil the potato until tender, drain and mash with the milk (no added butter).
5. Rest the lamb, then skim any fat from the cooking juices; reduce the skimmed liquid with the red wine (or extra stock) to make a light jus.
6. Slice the lamb and serve with the mash, roasted carrots and jus.</t>
  </si>
  <si>
    <t xml:space="preserve">How it's kept light: Slow-roasted lean-trimmed lamb shoulder, fat skimmed from the jus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t>
  </si>
  <si>
    <t xml:space="preserve">R180</t>
  </si>
  <si>
    <t xml:space="preserve">Loaded Potatoes</t>
  </si>
  <si>
    <t xml:space="preserve">1. Preheat oven to 200°C. Prick the potato all over and rub the skin with the olive oil. Bake for 60-75 mins until the skin is crisp and the flesh is soft.
2. Meanwhile, season and grill the chicken breast until cooked through, then shred.
3. Halve the baked potato and fluff the flesh with a fork.
4. Top with the shredded chicken and grated cheddar, then return to the oven for 3-4 mins until the cheese has melted.
5. Finish with a dollop of Greek yoghurt, a scattering of chives and black pepper.</t>
  </si>
  <si>
    <t xml:space="preserve">How it's kept light: Baked (not fried) potato, light cheese and yoghurt topping, lean protein topping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t>
  </si>
  <si>
    <t xml:space="preserve">R181</t>
  </si>
  <si>
    <t xml:space="preserve">Minted Peas (side)</t>
  </si>
  <si>
    <t xml:space="preserve">1. Bring the vegetable stock to a simmer in a small pan. Add the peas and cook for 2-3 mins until just tender.
2. Drain any excess stock, then stir through the chopped mint and a generous grind of black pepper.
3. Scatter over the toasted pumpkin seeds and serve immediately.</t>
  </si>
  <si>
    <t xml:space="preserve">How it's kept light: Steamed, dressed with mint and a little vegetable stock, no added butter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t>
  </si>
  <si>
    <t xml:space="preserve">R182</t>
  </si>
  <si>
    <t xml:space="preserve">Grilled Broccoli (side)</t>
  </si>
  <si>
    <t xml:space="preserve">1. Bring a pan of water to the boil and blanch the Tenderstem Broccoli for 2 mins, then drain well and pat dry.
2. Heat a griddle pan until smoking hot and chargrill the broccoli for 3-4 mins, turning, until tender with visible char lines. Do not add any oil to the pan.
3. Transfer to a plate, squeeze over the lemon juice and scatter with the zest, chilli flakes and toasted flaked almonds. Season with sea salt and serve.</t>
  </si>
  <si>
    <t xml:space="preserve">How it's kept light: Chargrilled, lemon and chilli,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the</t>
  </si>
  <si>
    <t xml:space="preserve">R183</t>
  </si>
  <si>
    <t xml:space="preserve">Parmesan Green Beans (side)</t>
  </si>
  <si>
    <t xml:space="preserve">1. Bring a pan of water to the boil and blanch the green beans for 3-4 mins until just tender but still with a bite.
2. Drain well and pat dry, then transfer to a serving dish.
3. Shave over the parmesan while the beans are still warm so it lightly softens, season with black pepper and a pinch of salt, and serve.</t>
  </si>
  <si>
    <t xml:space="preserve">How it's kept light: Steamed/blanched, light parmesan shaving,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</si>
  <si>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R184</t>
  </si>
  <si>
    <t xml:space="preserve">Bang Bang Cauliflower (side)</t>
  </si>
  <si>
    <t xml:space="preserve">1. Preheat oven to 200°C. Toss the cauliflower florets in the cornflour, smoked paprika and garlic powder until evenly coated.
2. Spread out on a lined baking tray, spray lightly with oil and bake for 20-25 mins, turning halfway, until golden and crisp at the edges.
3. Whisk the yoghurt and sriracha together to make the bang bang sauce.
4. Toss the baked cauliflower through the sauce, scatter with sliced spring onion and serve immediately.</t>
  </si>
  <si>
    <t xml:space="preserve">How it's kept light: Oven-baked not deep-fried, light spiced yoghurt-based sauce not mayo-heavy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t>
  </si>
  <si>
    <t xml:space="preserve">R185</t>
  </si>
  <si>
    <t xml:space="preserve">Tomato Salsa (side)</t>
  </si>
  <si>
    <t xml:space="preserve">1. Combine the diced tomatoes and red onion in a bowl.
2. Add the lime juice, chopped coriander, chilli flakes and a pinch of salt.
3. Stir to combine and leave to stand for 5 mins before serving to let the flavours develop.</t>
  </si>
  <si>
    <t xml:space="preserve">How it's kept light: Fresh tomato, onion, lime,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they cl</t>
  </si>
  <si>
    <t xml:space="preserve">R186</t>
  </si>
  <si>
    <t xml:space="preserve">Bombay Potatoes (side)</t>
  </si>
  <si>
    <t xml:space="preserve">1. Boil the potato cubes for 8-10 mins until just tender, then drain well.
2. Heat the oil in a non-stick pan and fry the mustard and cumin seeds for 30 secs until they start to pop.
3. Add the onion and curry leaves and cook for 2-3 mins until softened.
4. Stir in the turmeric and chilli powder, then add the boiled potatoes and toss to coat, pan-frying for 4-5 mins until lightly spiced and golden. Season and serve.</t>
  </si>
  <si>
    <t xml:space="preserve">How it's kept light: Roasted/pan-spiced in minimal oil, not deep-fried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t>
  </si>
  <si>
    <t xml:space="preserve">R187</t>
  </si>
  <si>
    <t xml:space="preserve">Saag (side)</t>
  </si>
  <si>
    <t xml:space="preserve">1. Heat the oil in a pan and fry the cumin seeds for 30 secs until fragrant.
2. Add the onion, garlic and ginger and cook for 3-4 mins until softened.
3. Stir in the garam masala and chilli powder, then add the spinach in batches, stirring until wilted.
4. Blend or roughly mash the mixture to your preferred texture, then stir through the yoghurt off the heat to finish. Season and serve.</t>
  </si>
  <si>
    <t xml:space="preserve">How it's kept light: Spinach, light spice, minimal ghee swapped for an oil spray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t>
  </si>
  <si>
    <t xml:space="preserve">R188</t>
  </si>
  <si>
    <t xml:space="preserve">Honey Roasted Carrots (side)</t>
  </si>
  <si>
    <t xml:space="preserve">1. Preheat oven to 200°C. Toss the carrots with the olive oil, salt and pepper on a lined baking tray.
2. Roast for 20 mins, then drizzle over the honey and scatter with thyme sprigs.
3. Return to the oven for a further 10-15 mins until tender and lightly caramelised.</t>
  </si>
  <si>
    <t xml:space="preserve">How it's kept light: Roasted with a light honey glaze, minimal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t>
  </si>
  <si>
    <t xml:space="preserve">R189</t>
  </si>
  <si>
    <t xml:space="preserve">Crispy Smashed Potatoes (side)</t>
  </si>
  <si>
    <t xml:space="preserve">1. Boil the baby potatoes for 12-15 mins until tender. Drain and allow to steam-dry for a few minutes.
2. Preheat oven to 220°C. Place the potatoes on a lined baking tray and gently smash each one with the back of a fork.
3. Drizzle with the olive oil, scatter over the garlic, rosemary and parmesan, and season with sea salt.
4. Roast for 25-30 mins until golden and crisp at the edges.</t>
  </si>
  <si>
    <t xml:space="preserve">How it's kept light: Oven-roasted with a minimal oil spray, not deep-fried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</si>
  <si>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R190</t>
  </si>
  <si>
    <t xml:space="preserve">Mashed Potato &amp; Carrot (side)</t>
  </si>
  <si>
    <t xml:space="preserve">1. Boil the potato and carrot together for 15-18 mins until soft. Drain well.
2. Mash thoroughly, then stir in the skimmed milk and olive oil until smooth and creamy.
3. Season with white pepper, scatter with chopped chives and serve.</t>
  </si>
  <si>
    <t xml:space="preserve">How it's kept light: Mashed with a splash of skimmed milk, no added butter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</si>
  <si>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R191</t>
  </si>
  <si>
    <t xml:space="preserve">Hummus (Variations) (side)</t>
  </si>
  <si>
    <t xml:space="preserve">1. Add the chickpeas, tahini, lemon juice, garlic and cumin to a food processor.
2. Blend, adding a splash of cold water gradually, until smooth and creamy.
3. Season with sea salt and blend again briefly. Vary with roasted red pepper, beetroot or coriander &amp; lime for different flavour profiles as needed.
4. Transfer to a bowl and serve.</t>
  </si>
  <si>
    <t xml:space="preserve">How it's kept light: Chickpea-based, light tahini, no added oil drizzle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
  </si>
  <si>
    <t xml:space="preserve">R192</t>
  </si>
  <si>
    <t xml:space="preserve">Corn on the Cob (side)</t>
  </si>
  <si>
    <t xml:space="preserve">1. Steam the corn cob for 8-10 mins until tender, or blanch in boiling water for the same time.
2. Heat a griddle pan and char the steamed cob for 3-4 mins, turning, until lightly blistered.
3. Squeeze over the lime juice, dust with chilli powder, scatter with coriander and a pinch of salt, then serve.</t>
  </si>
  <si>
    <t xml:space="preserve">How it's kept light: Steamed/grilled, no added butter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until they close. Tr</t>
  </si>
  <si>
    <t xml:space="preserve">R193</t>
  </si>
  <si>
    <t xml:space="preserve">Leaf Salad (side)</t>
  </si>
  <si>
    <t xml:space="preserve">1. Arrange the mixed leaves, cherry tomatoes and cucumber in a serving bowl.
2. Whisk together the olive oil and balsamic vinegar to make a light vinaigrette.
3. Drizzle over the salad just before serving, season with sea salt and black pepper, and toss lightly.</t>
  </si>
  <si>
    <t xml:space="preserve">How it's kept light: Mixed leaves, light vinaigrette, oil kept minimal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 unt</t>
  </si>
  <si>
    <t xml:space="preserve">R194</t>
  </si>
  <si>
    <t xml:space="preserve">Guacamole (side)</t>
  </si>
  <si>
    <t xml:space="preserve">1. Scoop the avocado into a bowl and roughly mash with a fork to your preferred consistency.
2. Stir through the tomato, red onion, lime juice and coriander.
3. Season with chilli flakes and sea salt, mix well and serve immediately.</t>
  </si>
  <si>
    <t xml:space="preserve">How it's kept light: Avocado's natural fat only, lime, tomato, no added oil
DRAFT RECIPE: first-pass ingredients and method written from the Menus 2.docx placeholder name and macro target (no original ingredients/method existed for this dish). Quantities are an initial estimate aimed at the Published macros to the left, not yet reconciled - check the Ingredient-Sum and Variance columns once this recipe is added to the Recipe Ingredients sheet, and adjust quantities (or Ingredient Library values</t>
  </si>
  <si>
    <t xml:space="preserve">R195</t>
  </si>
  <si>
    <t xml:space="preserve">Honey &amp; Oat Coated Chicken Goujons with Sweet Potato &amp; Balsamic Salad</t>
  </si>
  <si>
    <t xml:space="preserve">1. Preheat oven to 180C. 2. Whisk egg with milk; blend oats and spice in a separate bowl. 3. Dip chicken in egg mix, then coat in oat/spice mix. 4. Place on a lined tray, drizzle with olive oil and honey; add sweet potato wedges alongside. 5. Bake 25-30 mins until cooked through. 6. Toss cherry tomatoes through the lambs lettuce with a balsamic drizzle and serve alongside.</t>
  </si>
  <si>
    <t xml:space="preserve">NEW RECIPES START HERE (added 2026-09-11, R195 onward) — Transcribed from a Hexis-branded recipe-card image (KM37 weekly meal-plan decks). Photo-transcribed - worth a spot check against the source card.</t>
  </si>
  <si>
    <t xml:space="preserve">R196</t>
  </si>
  <si>
    <t xml:space="preserve">Vanilla &amp; Coconut Protein Balls</t>
  </si>
  <si>
    <t xml:space="preserve">1. Mix oats, whey, dried fruit and nuts. 2. Add milk, honey and peanut butter; mix thoroughly. 3. Roll into 12 balls (2 balls = 1 serving). 4. Roll each ball in desiccated coconut. 5. Chill 2-3 hours before serving.</t>
  </si>
  <si>
    <t xml:space="preserve">Transcribed from a Hexis-branded recipe-card image (KM37 weekly meal-plan decks). Photo-transcribed - worth a spot check against the source card.</t>
  </si>
  <si>
    <t xml:space="preserve">R197</t>
  </si>
  <si>
    <t xml:space="preserve">Spiced Salmon &amp; Sweet Potato Fries</t>
  </si>
  <si>
    <t xml:space="preserve">1. Preheat oven to 180C. 2. Toss sweet potato wedges and onion with oil and cumin; roast 20-30 mins. 3. Add salmon to a tray, squeeze over lemon juice and sprinkle with chilli flakes; bake ~20 mins. 4. Boil the corn. 5. Serve salmon with the roast veg and sweetcorn.</t>
  </si>
  <si>
    <t xml:space="preserve">R198</t>
  </si>
  <si>
    <t xml:space="preserve">1. Cook noodles, drain and cool. 2. Heat sesame oil, peanut butter, chilli, water, honey and soy sauce into a thin sauce; cook the prawns in it 7-8 mins, then stir through the beansprouts off the heat. 3. Toss cooked noodles with the carrots, spring onion, coriander, mint, spinach, cabbage and pepper. 4. Add the prawns, beansprouts and sauce; squeeze over lime. Season and serve.</t>
  </si>
  <si>
    <t xml:space="preserve">R199</t>
  </si>
  <si>
    <t xml:space="preserve">1. Set the oats aside in a large bowl. 2. Blend the remaining ingredients and pour over the oats; mix until no oats are left dry. 3. Pour into a lined loaf tin and bake at 180C for 30-35 mins. 4. Cool, then set in the fridge overnight. 5. Slice into 10 slices (2 slices = 1 serving).</t>
  </si>
  <si>
    <t xml:space="preserve">R200</t>
  </si>
  <si>
    <t xml:space="preserve">Kiwi, Banana &amp; Berry Recovery Smoothie</t>
  </si>
  <si>
    <t xml:space="preserve">1. Blitz all ingredients in a blender until smooth.</t>
  </si>
  <si>
    <t xml:space="preserve">R201</t>
  </si>
  <si>
    <t xml:space="preserve">High Fuel Turkey Spaghetti Bolognese</t>
  </si>
  <si>
    <t xml:space="preserve">1. Fry the onion 3-4 mins, add the turkey mince and cook 4-5 mins. 2. Add celery, garlic and carrots, cook 3-5 mins. 3. Stir in tomatoes, puree, herbs and Worcestershire sauce; season. 4. Simmer 20-30 mins. 5. Cook the spaghetti per pack instructions. 6. Serve the bolognese over the pasta, topped with parmesan.</t>
  </si>
  <si>
    <t xml:space="preserve">R202</t>
  </si>
  <si>
    <t xml:space="preserve">Banana &amp; Choc Chip Protein Pancakes</t>
  </si>
  <si>
    <t xml:space="preserve">1. Blend the eggs, 1 banana and protein powder until smooth. 2. Heat coconut oil in a pan. 3. Cook small pancakes in batches, 45-90 secs each side. 4. Top with blueberries, chocolate chips, sliced banana and honey.</t>
  </si>
  <si>
    <t xml:space="preserve">R203</t>
  </si>
  <si>
    <t xml:space="preserve">Quick &amp; Juicy Turkey Burgers</t>
  </si>
  <si>
    <t xml:space="preserve">1. Fry onion and garlic in oil 3-5 mins, add oats and fry 2 more mins; cool. 2. Add turkey, carrot, apricots and egg; mix and shape into 5 patties. 3. Seal each side 3-4 mins in a hot pan, then bake at 200C for 12-15 mins. 4. Build the burgers with relish, patty, avocado, tomato and lettuce.</t>
  </si>
  <si>
    <t xml:space="preserve">R204</t>
  </si>
  <si>
    <t xml:space="preserve">Carrot Cake Overnight Oats</t>
  </si>
  <si>
    <t xml:space="preserve">1. Mix the oats, milk, yogurt, sultanas, walnuts, carrot, cinnamon and nutmeg in a bowl. 2. Transfer to a sealed jar/tub and leave overnight in the fridge.</t>
  </si>
  <si>
    <t xml:space="preserve">Transcribed from a Close Nutrition-branded recipe-card image. Photo-transcribed - worth a spot check against the source card.</t>
  </si>
  <si>
    <t xml:space="preserve">R205</t>
  </si>
  <si>
    <t xml:space="preserve">Tomato &amp; Feta Omelette</t>
  </si>
  <si>
    <t xml:space="preserve">1. Heat the oil, add the tomato and fry. Whisk the eggs with the mixed herbs and pour into the pan. 2. After 2-3 mins flip or grill; add the feta and serve.</t>
  </si>
  <si>
    <t xml:space="preserve">R206</t>
  </si>
  <si>
    <t xml:space="preserve">1. Heat oil, add ginger, chilli and tofu, cook 6-8 mins until browned. 2. Add coconut milk, curry paste, lime juice, peanut butter and soy sauce; simmer 15 mins. 3. Cook the rice. Serve together.</t>
  </si>
  <si>
    <t xml:space="preserve">R207</t>
  </si>
  <si>
    <t xml:space="preserve">Lamb Steak with Spiced Sweet Potato Mash</t>
  </si>
  <si>
    <t xml:space="preserve">1. Boil and mash the sweet potato with cinnamon and a little Greek yogurt for creaminess. 2. Rub the lamb with oil, cumin, smoked paprika, salt and pepper; sear 3-4 mins each side, rest 5 mins. 3. Steam the green beans. 4. Plate the mash, top with the lamb and serve with the green beans.</t>
  </si>
  <si>
    <t xml:space="preserve">Close Nutrition-branded card - no nutrition figure was given on the source card, so Published macros below are the workbook's own ingredient-calculated total (see Notes &amp; Conversions).</t>
  </si>
  <si>
    <t xml:space="preserve">R208</t>
  </si>
  <si>
    <t xml:space="preserve">Soy &amp; Ginger Glazed Salmon with Coconut Rice and Stir-fried Veg</t>
  </si>
  <si>
    <t xml:space="preserve">1. Cook the rice, stirring in coconut milk for the last 2-3 mins. 2. Mix soy sauce, honey, ginger, garlic and rice vinegar; brush half over the salmon. 3. Pan-fry the salmon skin-side down 4-5 mins, flip, brush with remaining glaze, cook 3-4 mins more. 4. Stir-fry the vegetables in sesame oil 5-7 mins. 5. Plate the rice, top with salmon and vegetables; garnish with sesame seeds and lime.</t>
  </si>
  <si>
    <t xml:space="preserve">Close Nutrition-branded card - no nutrition figure was given on the source card, so Published macros below are the workbook's own ingredient-calculated total (see Notes &amp; Conversions). "Mixed vegetables" quantity approximated as pepper for macro purposes.</t>
  </si>
  <si>
    <t xml:space="preserve">R209</t>
  </si>
  <si>
    <t xml:space="preserve">Garlic &amp; Herb Lamb with Potato Wedges &amp; Roasted Veg</t>
  </si>
  <si>
    <t xml:space="preserve">1. Toss potato wedges with half the oil, salt, pepper and herbs; roast 25-30 mins. 2. Toss the vegetables with the remaining oil and herbs; roast alongside. 3. Rub the lamb with garlic, herbs, salt and pepper; sear 3-4 mins each side, rest 5 mins. 4. Steam the green veg. Plate together.</t>
  </si>
  <si>
    <t xml:space="preserve">R210</t>
  </si>
  <si>
    <t xml:space="preserve">Lemon Salmon with Sweet Potato and Vegetables</t>
  </si>
  <si>
    <t xml:space="preserve">1. Toss sweet potato wedges with oil, chilli flakes, lemon juice and pepper; roast at 200C for 25-30 mins. 2. Pour the oil mixture over the salmon, pan-fry skin-side down 5-7 mins, flip, cook 5-7 mins more. 3. Steam the vegetables 10 mins. 4. Serve together.</t>
  </si>
  <si>
    <t xml:space="preserve">Close Nutrition-branded card.</t>
  </si>
  <si>
    <t xml:space="preserve">R211</t>
  </si>
  <si>
    <t xml:space="preserve">Jerk Chicken with Charred Courgette and Cous Cous</t>
  </si>
  <si>
    <t xml:space="preserve">1. Season the chicken with jerk seasoning. 2. Slice and season the courgette. 3. Griddle the chicken and courgette. 4. Cover the cous cous with an equal amount of boiling water, cover 5 mins. 5. Arrange the cous cous and courgette on a plate, slice the chicken on top.</t>
  </si>
  <si>
    <t xml:space="preserve">R212</t>
  </si>
  <si>
    <t xml:space="preserve">Lamb Kofta</t>
  </si>
  <si>
    <t xml:space="preserve">1. Finely chop the onion and mince the garlic. 2. Season the lamb mince with black pepper and chilli flakes; roll into ~12 balls. 3. Fry the onion and garlic in oil 2-3 mins, add the lamb balls, fry 10 mins turning occasionally, season with cumin, paprika, coriander and parsley. 4. Cook the rice. 5. Add the tomatoes, simmer 15-20 mins until reduced. Garnish with sliced red chilli. Serve with rice.</t>
  </si>
  <si>
    <t xml:space="preserve">R213</t>
  </si>
  <si>
    <t xml:space="preserve">Anti Inflammatory Green Smoothie</t>
  </si>
  <si>
    <t xml:space="preserve">1. Blend all ingredients until smooth.</t>
  </si>
  <si>
    <t xml:space="preserve">R214</t>
  </si>
  <si>
    <t xml:space="preserve">Peanut Butter Chocolate Smoothie</t>
  </si>
  <si>
    <t xml:space="preserve">R215</t>
  </si>
  <si>
    <t xml:space="preserve">Berry Repair Smoothie</t>
  </si>
  <si>
    <t xml:space="preserve">R216</t>
  </si>
  <si>
    <t xml:space="preserve">Chilli &amp; Lime Salmon with Blueberry Cous Cous</t>
  </si>
  <si>
    <t xml:space="preserve">1. Cover the cous cous with water and leave 10-15 mins to absorb. 2. Season the salmon, rub with lime juice, oil and chilli. 3. Bake at 180C for 8-10 mins. 4. Toss rocket, blueberries and mint through the cous cous. 5. Serve the salmon on the cous cous, drizzled with balsamic glaze.</t>
  </si>
  <si>
    <t xml:space="preserve">R217</t>
  </si>
  <si>
    <t xml:space="preserve">Vegetable Tagine with Apricot Quinoa</t>
  </si>
  <si>
    <t xml:space="preserve">1. Fry the onion 3 mins, add garlic and squash, cook 7 mins. 2. Add remaining vegetables, then chickpeas, tomatoes, stock and spices; simmer 30 mins uncovered. 3. Cook the quinoa; stir in the apricots and almonds with a pinch of salt. 4. Whisk tahini and lemon juice for the dressing. 5. Serve the tagine over the quinoa, drizzled with the tahini dressing.</t>
  </si>
  <si>
    <t xml:space="preserve">Source card's instructions ('stir in the apricots and almonds') and its photo both show almonds, but the printed ingredient list omits them - added a reasonable handful (15g flaked almonds) to match. Transcribed from a Hexis-branded recipe-card image (KM37 weekly meal-plan decks). Photo-transcribed - worth a spot check against the source card.</t>
  </si>
  <si>
    <t xml:space="preserve">MACRO MISMATCH: ingredient list computes 50% HIGHER than Published Kcal (once divided by servings) - ingredients and/or published figure worth a second look against the source card.</t>
  </si>
  <si>
    <t xml:space="preserve">R218</t>
  </si>
  <si>
    <t xml:space="preserve">Overnight Oats (Base Recipe)</t>
  </si>
  <si>
    <t xml:space="preserve">1. Combine all ingredients in a jar or tub, cover and refrigerate 6+ hours.</t>
  </si>
  <si>
    <t xml:space="preserve">From the flexible 'Breakfasts &amp; Snacks' options grid (Menu_WB13thJan deck) - a fixed-quantity version of a 'choose your own' option. No nutrition figure was given, so Published macros below are the workbook's own ingredient-calculated total.</t>
  </si>
  <si>
    <t xml:space="preserve">R219</t>
  </si>
  <si>
    <t xml:space="preserve">Almond Berry Shake</t>
  </si>
  <si>
    <t xml:space="preserve">R220</t>
  </si>
  <si>
    <t xml:space="preserve">Greens &amp; Berry Shake</t>
  </si>
  <si>
    <t xml:space="preserve">From the flexible 'Breakfasts &amp; Snacks' options grid (Menu_WB13thJan deck) - a fixed-quantity version of a 'choose your own' option. No nutrition figure was given, so Published macros below are the workbook's own ingredient-calculated total. "Kale" approximated using spinach values.</t>
  </si>
  <si>
    <t xml:space="preserve">R221</t>
  </si>
  <si>
    <t xml:space="preserve">Banana &amp; Peanut Butter Shake</t>
  </si>
  <si>
    <t xml:space="preserve">R222</t>
  </si>
  <si>
    <t xml:space="preserve">High Protein Weetabix</t>
  </si>
  <si>
    <t xml:space="preserve">1. Combine Weetabix Protein biscuits with milk, top with sliced banana and chia seeds.</t>
  </si>
  <si>
    <t xml:space="preserve">From the flexible 'Breakfasts &amp; Snacks' options grid (Menu_WB13thJan deck) - a fixed-quantity version of a 'choose your own' option. No nutrition figure was given, so Published macros below are the workbook's own ingredient-calculated total. "Full fat milk" macros approximated using semi-skimmed milk values.</t>
  </si>
  <si>
    <t xml:space="preserve">R223</t>
  </si>
  <si>
    <t xml:space="preserve">M&amp;S High Protein Pancakes with Yoghurt &amp; Banana</t>
  </si>
  <si>
    <t xml:space="preserve">1. Warm the pancakes, top with Greek yoghurt and sliced banana.</t>
  </si>
  <si>
    <t xml:space="preserve">R224</t>
  </si>
  <si>
    <t xml:space="preserve">Revive &amp; Refuel: Haddock with Recovery Rice</t>
  </si>
  <si>
    <t xml:space="preserve">1. Cook the fish and rice. 2. Sauté the spinach. 3. Mix the Greek yogurt with turmeric for the sauce. 4. Serve the fish over rice with edamame, spinach and the turmeric yogurt sauce.</t>
  </si>
  <si>
    <t xml:space="preserve">Extracted from the KM37 weekly meal-plan deck text (performance/game-day meal series).</t>
  </si>
  <si>
    <t xml:space="preserve">R225</t>
  </si>
  <si>
    <t xml:space="preserve">Steak and Superfood Iron Boost Bowl</t>
  </si>
  <si>
    <t xml:space="preserve">1. Grill the steak to preference. 2. Cook the quinoa. 3. Roast the sweet potatoes and steam the broccoli. 4. Plate together.</t>
  </si>
  <si>
    <t xml:space="preserve">R226</t>
  </si>
  <si>
    <t xml:space="preserve">Korean Chicken Rice Bowl</t>
  </si>
  <si>
    <t xml:space="preserve">1. Grill the chicken. 2. Cook the rice and steam the spinach. 3. Assemble the bowl with kimchi, drizzle with gochujang and sesame oil, top with sesame seeds.</t>
  </si>
  <si>
    <t xml:space="preserve">R227</t>
  </si>
  <si>
    <t xml:space="preserve">Performance Power Plate: Nitrate Rich Salmon &amp; Roots</t>
  </si>
  <si>
    <t xml:space="preserve">1. Grill the salmon. 2. Roast the sweet potato and beetroot. 3. Sauté the spinach with garlic in olive oil. 4. Toss the beetroot with rocket and a little olive oil. 5. Serve everything together with the bread roll.</t>
  </si>
  <si>
    <t xml:space="preserve">R228</t>
  </si>
  <si>
    <t xml:space="preserve">Nitrate Rich Crumble &amp; Crème Anglaise</t>
  </si>
  <si>
    <t xml:space="preserve">1. Combine the fruit base ingredients in a baking dish. 2. Mix the crumble ingredients and scatter over the fruit. 3. Bake until golden and bubbling. 4. Warm the milk, whisk with vanilla, cornflour, egg yolks and sugar over a low heat until thickened for the crème anglaise. 5. Serve the crumble with the crème anglaise.</t>
  </si>
  <si>
    <t xml:space="preserve">R229</t>
  </si>
  <si>
    <t xml:space="preserve">Beef Teriyaki Recovery Bowl</t>
  </si>
  <si>
    <t xml:space="preserve">1. Cook the beef, noodles and rice. 2. Stir-fry the vegetables with sesame oil. 3. Combine everything in a bowl, drizzle with teriyaki and soy sauce, top with avocado, chia seeds and leafy greens.</t>
  </si>
  <si>
    <t xml:space="preserve">Extracted from the KM37 weekly meal-plan deck text (performance/game-day meal series). (Game Day post-match meal.)</t>
  </si>
  <si>
    <t xml:space="preserve">R230</t>
  </si>
  <si>
    <t xml:space="preserve">Chicken &amp; Vegetable Rice Bowl</t>
  </si>
  <si>
    <t xml:space="preserve">1. Cook the chicken strips in olive oil. 2. Stir-fry the vegetables with garlic and ginger in sesame oil, add soy sauce. 3. Serve over the cooked brown rice.</t>
  </si>
  <si>
    <t xml:space="preserve">R231</t>
  </si>
  <si>
    <t xml:space="preserve">Turkey Noodle Stir-Fry</t>
  </si>
  <si>
    <t xml:space="preserve">1. Cook the noodles. 2. Stir-fry the turkey until cooked, push aside and scramble in the eggs. 3. Add the vegetables and garlic, stir-fry until tender. 4. Add the noodles, soy sauce, oyster sauce and sesame oil; toss together.</t>
  </si>
  <si>
    <t xml:space="preserve">MACRO MISMATCH: ingredient list computes 52% HIGHER than Published Kcal (once divided by servings) - ingredients and/or published figure worth a second look against the source card.</t>
  </si>
  <si>
    <t xml:space="preserve">R232</t>
  </si>
  <si>
    <t xml:space="preserve">Chicken Quinoa Power Bowl</t>
  </si>
  <si>
    <t xml:space="preserve">1. Cook the chicken breast. 2. Cook the quinoa. 3. Sauté the vegetables with garlic powder and paprika. 4. Combine in a bowl.</t>
  </si>
  <si>
    <t xml:space="preserve">R233</t>
  </si>
  <si>
    <t xml:space="preserve">Tuna Lettuce Wraps</t>
  </si>
  <si>
    <t xml:space="preserve">1. Mix the tuna with yogurt, red onion, celery, parsley and Dijon mustard; season. 2. Spoon into the lettuce leaves and serve.</t>
  </si>
  <si>
    <t xml:space="preserve">R234</t>
  </si>
  <si>
    <t xml:space="preserve">High Protein Loaf</t>
  </si>
  <si>
    <t xml:space="preserve">1. Combine all ingredients into a batter. 2. Pour into a lined loaf tin. 3. Bake at 180C until set and a skewer comes out clean. 4. Cool, then slice.</t>
  </si>
  <si>
    <t xml:space="preserve">R235</t>
  </si>
  <si>
    <t xml:space="preserve">Dark Chocolate &amp; Goji Berry 'Rocky Road' Bites</t>
  </si>
  <si>
    <t xml:space="preserve">1. Melt the chocolate. 2. Stir in the mixed nuts, honey and goji berries. 3. Spoon into 8 bite-sized portions on baking paper. 4. Chill until set (optionally sprinkle with desiccated coconut).</t>
  </si>
  <si>
    <t xml:space="preserve">R236</t>
  </si>
  <si>
    <t xml:space="preserve">1. Fry the onion, garlic and ginger in oil. 2. Add the chicken and brown. 3. Stir in curry powder and cumin, then chickpeas, tomatoes and coconut milk. 4. Simmer until the chicken is cooked through. 5. Serve with rice.</t>
  </si>
  <si>
    <t xml:space="preserve">R237</t>
  </si>
  <si>
    <t xml:space="preserve">Spaghetti Carbonara</t>
  </si>
  <si>
    <t xml:space="preserve">1. Cook the spaghetti. 2. Whisk the egg yolk, parmesan and cream together. 3. Toss the hot pasta with the chicken, peas and egg mixture off the heat, so it thickens into a sauce. Season and serve.</t>
  </si>
  <si>
    <t xml:space="preserve">R238</t>
  </si>
  <si>
    <t xml:space="preserve">Power-Packed Chicken Stroganoff</t>
  </si>
  <si>
    <t xml:space="preserve">1. Fry the chicken in oil until browned; set aside. 2. Fry the onion and garlic, add the mushrooms, paprika and thyme. 3. Return the chicken, stir in mustard, yoghurt and stock; simmer gently (do not boil). 4. Cook the rice. 5. Serve the stroganoff over rice, topped with parsley and a squeeze of lemon.</t>
  </si>
  <si>
    <t xml:space="preserve">R239</t>
  </si>
  <si>
    <t xml:space="preserve">Chicken Linguini</t>
  </si>
  <si>
    <t xml:space="preserve">1. Cook the linguini. 2. Pan-fry the chicken and garlic in oil. 3. Add the cream and parmesan, toss with the drained pasta. Season and serve.</t>
  </si>
  <si>
    <t xml:space="preserve">R240</t>
  </si>
  <si>
    <t xml:space="preserve">Mini Omelette Muffins</t>
  </si>
  <si>
    <t xml:space="preserve">1. Whisk the eggs with almond milk. 2. Stir in cheese, spinach, salt, pepper and garlic powder. 3. Pour into a greased muffin tin. 4. Bake at 180C for ~15-18 mins until set.</t>
  </si>
  <si>
    <t xml:space="preserve">R241</t>
  </si>
  <si>
    <t xml:space="preserve">Mediterranean Performance Tilapia with Sweet Potato &amp; Roasted Veg</t>
  </si>
  <si>
    <t xml:space="preserve">1. Roast the sweet potato. 2. Roast the onion, peppers and courgette with oil, oregano, basil and paprika. 3. Simmer the tinned tomatoes with garlic, oregano, balsamic vinegar, paprika and chilli flakes for the sauce. 4. Pan-fry or bake the tilapia with lemon juice. 5. Serve together.</t>
  </si>
  <si>
    <t xml:space="preserve">R242</t>
  </si>
  <si>
    <t xml:space="preserve">Mackerel Muscle Recovery Fuel</t>
  </si>
  <si>
    <t xml:space="preserve">1. Pan-fry or grill the mackerel with oil, salt, pepper and lemon juice. 2. Toss the salad leaves, avocado, red pepper, cucumber and red onion. 3. Whisk the ginger, turmeric, vinegar and oil for the dressing. 4. Serve the mackerel over the salad, drizzled with dressing.</t>
  </si>
  <si>
    <t xml:space="preserve">R243</t>
  </si>
  <si>
    <t xml:space="preserve">Anti-Inflammatory Ginger Salmon Bowl with Leafy Greens &amp; Golden Wedges</t>
  </si>
  <si>
    <t xml:space="preserve">1. Toss the potato wedges with oil, paprika, garlic powder, salt and pepper; roast at 200C for 25-30 mins. 2. Mix ginger, garlic, soy sauce, honey, lemon juice and oil; marinate and pan-fry or bake the salmon in it, topping with sesame seeds. 3. Sauté the spinach/kale with garlic, oil and lemon juice. 4. Serve the salmon over the greens with the wedges.</t>
  </si>
  <si>
    <t xml:space="preserve">R244</t>
  </si>
  <si>
    <t xml:space="preserve">Rebuild Fuel – Lamb Chop &amp; Sweet Potato</t>
  </si>
  <si>
    <t xml:space="preserve">1. Rub the lamb chop with oil, garlic, rosemary, salt and pepper; pan-fry to preference, finish with lemon juice. 2. Roast the sweet potato. 3. Roast or steam the pepper and broccoli. 4. Plate together.</t>
  </si>
  <si>
    <t xml:space="preserve">R245</t>
  </si>
  <si>
    <t xml:space="preserve">Tendon 'Power Cod' with Buttered Veggies and Quinoa</t>
  </si>
  <si>
    <t xml:space="preserve">1. Grill the cod. 2. Steam the broccoli and carrots, toss with butter. 3. Cook the quinoa, drizzle with olive oil. 4. Serve together.</t>
  </si>
  <si>
    <t xml:space="preserve">Source card lists '20g grilled cod fillet', inconsistent with the stated 27g protein / 467kcal for a single serving - corrected to 200g. Extracted from the KM37 weekly meal-plan deck text (performance/game-day meal series).</t>
  </si>
  <si>
    <t xml:space="preserve">R246</t>
  </si>
  <si>
    <t xml:space="preserve">Peanut Butter and Banana Overnight Oats</t>
  </si>
  <si>
    <t xml:space="preserve">1. Combine all ingredients in a jar, cover and refrigerate overnight.</t>
  </si>
  <si>
    <t xml:space="preserve">R247</t>
  </si>
  <si>
    <t xml:space="preserve">Black Bean, Chicken &amp; Sweetcorn Quesadilla</t>
  </si>
  <si>
    <t xml:space="preserve">1. Cook and dice the chicken. 2. Fry the pepper and chilli in oil with cumin, paprika and oregano, add the beans, sweetcorn and chicken. 3. Fill the tortillas with the mixture and cheese, fold and pan-fry until golden. 4. Serve with a lime wedge.</t>
  </si>
  <si>
    <t xml:space="preserve">R248</t>
  </si>
  <si>
    <t xml:space="preserve">Sriracha Chicken Rice Bowl</t>
  </si>
  <si>
    <t xml:space="preserve">1. Cook the chicken and rice. 2. Steam the broccoli and corn. 3. Combine in a bowl with the black beans, drizzle with sriracha and a squeeze of lime.</t>
  </si>
  <si>
    <t xml:space="preserve">R249</t>
  </si>
  <si>
    <t xml:space="preserve">Smoked Salmon, Scrambled Eggs &amp; Avocado on Sourdough</t>
  </si>
  <si>
    <t xml:space="preserve">1. Whisk the eggs with milk; scramble gently in oil. 2. Toast the sourdough. 3. Top the toast with mashed avocado, scrambled eggs and smoked salmon. Season and serve.</t>
  </si>
  <si>
    <t xml:space="preserve">R250</t>
  </si>
  <si>
    <t xml:space="preserve">Tendon Repair Fish Cakes</t>
  </si>
  <si>
    <t xml:space="preserve">1. Flake the mackerel and tuna into a bowl. 2. Finely dice the red onion; mix in with the egg, breadcrumbed bread, cottage cheese, red pepper sauce, coriander, mustard and black pepper. 3. Shape into cakes and pan-fry in the oil until golden. 4. Serve with a colourful salad.</t>
  </si>
  <si>
    <t xml:space="preserve">R251</t>
  </si>
  <si>
    <t xml:space="preserve">Super Healing – Chicken &amp; Bone Broth Soup</t>
  </si>
  <si>
    <t xml:space="preserve">1. Bring the bone broth to a simmer with the carrots, celery, onion and quinoa. 2. Cook until the quinoa and vegetables are tender. 3. Stir through the shredded chicken and heat through.</t>
  </si>
  <si>
    <t xml:space="preserve">R252</t>
  </si>
  <si>
    <t xml:space="preserve">Salmon &amp; Avocado Rehab Bowl</t>
  </si>
  <si>
    <t xml:space="preserve">1. Season the salmon with paprika, garlic powder, salt and pepper; pan-fry with oil, finish with lemon juice. 2. Mix the avocado, red onion, tomato, coriander and lime juice for the salsa. 3. Sauté the cauliflower rice with garlic in oil. 4. Serve the salmon over the cauliflower rice, topped with the avocado salsa.</t>
  </si>
  <si>
    <t xml:space="preserve">R253</t>
  </si>
  <si>
    <t xml:space="preserve">Power Plate: Herb-Crusted Lamb Chop with Veggies &amp; Potatoes</t>
  </si>
  <si>
    <t xml:space="preserve">1. Rub the lamb chop with oil, garlic, herbs, salt and pepper; pan-fry to preference, finish with lemon juice. 2. Roast or steam the carrots and green beans in oil. 3. Roast the potatoes in oil. 4. Plate together.</t>
  </si>
  <si>
    <t xml:space="preserve">R254</t>
  </si>
  <si>
    <t xml:space="preserve">Chicken Fajitas</t>
  </si>
  <si>
    <t xml:space="preserve">1. Slice the chicken, peppers and onion. 2. Fry in oil with fajita seasoning until cooked. 3. Serve in the tortilla with salsa and yogurt or guacamole.</t>
  </si>
  <si>
    <t xml:space="preserve">R255</t>
  </si>
  <si>
    <t xml:space="preserve">Spaghetti &amp; Meatballs</t>
  </si>
  <si>
    <t xml:space="preserve">1. Shape the beef mince into meatballs. 2. Brown in oil, remove. 3. Fry the onion and garlic, add tomatoes, roasted peppers, puree and mustard; simmer. 4. Return the meatballs to the sauce and simmer until cooked through. 5. Cook the spaghetti and serve with the sauce.</t>
  </si>
  <si>
    <t xml:space="preserve">R256</t>
  </si>
  <si>
    <t xml:space="preserve">Super Tendon Repair Fish Cakes</t>
  </si>
  <si>
    <t xml:space="preserve">Extracted from the KM37 weekly meal-plan deck text (performance/game-day meal series). Kept as a separate row from "Tendon Repair Fish Cakes" per Graeme's instruction to keep differently-worded near-duplicates separate rather than silently merge them.</t>
  </si>
  <si>
    <t xml:space="preserve">R257</t>
  </si>
  <si>
    <t xml:space="preserve">Berry Brekkie Smoothie</t>
  </si>
  <si>
    <t xml:space="preserve">1. Add all ingredients into a blender &amp; blitz.</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</si>
  <si>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t>
  </si>
  <si>
    <t xml:space="preserve">R258</t>
  </si>
  <si>
    <t xml:space="preserve">Chocberry Smoothie</t>
  </si>
  <si>
    <t xml:space="preserve">R259</t>
  </si>
  <si>
    <t xml:space="preserve">Chocolate and Pear Smoothie</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</si>
  <si>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Wyldsson Hazelnut and</t>
  </si>
  <si>
    <t xml:space="preserve">R260</t>
  </si>
  <si>
    <t xml:space="preserve">Simple Berry Yoghurt Smoothie</t>
  </si>
  <si>
    <t xml:space="preserve">R261</t>
  </si>
  <si>
    <t xml:space="preserve">Raisin-Nut Smoothie</t>
  </si>
  <si>
    <t xml:space="preserve">R262</t>
  </si>
  <si>
    <t xml:space="preserve">Blueberry, Strawberry Smoothie Immune Boost</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</si>
  <si>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CONFIRMED with Graeme</t>
  </si>
  <si>
    <t xml:space="preserve">R263</t>
  </si>
  <si>
    <t xml:space="preserve">Banana &amp; Peanut Butter (Weight Gain Option)</t>
  </si>
  <si>
    <t xml:space="preserve">R264</t>
  </si>
  <si>
    <t xml:space="preserve">Banana and Nutella (Weight Gain Option)</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</si>
  <si>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'Wyldsson Nutella' ma</t>
  </si>
  <si>
    <t xml:space="preserve">R265</t>
  </si>
  <si>
    <t xml:space="preserve">Choco Banana Butter (Weight Gain Option)</t>
  </si>
  <si>
    <t xml:space="preserve">R266</t>
  </si>
  <si>
    <t xml:space="preserve">Oaty Banana (Weight Gain Option)</t>
  </si>
  <si>
    <t xml:space="preserve">R267</t>
  </si>
  <si>
    <t xml:space="preserve">Cherry, Berry Green (Recovery Option)</t>
  </si>
  <si>
    <t xml:space="preserve">R268</t>
  </si>
  <si>
    <t xml:space="preserve">Greens Boost Smoothie (Green Option)</t>
  </si>
  <si>
    <t xml:space="preserve">R269</t>
  </si>
  <si>
    <t xml:space="preserve">Peach &amp; Ginger Green Boost (Immune Boost Option)</t>
  </si>
  <si>
    <t xml:space="preserve">R270</t>
  </si>
  <si>
    <t xml:space="preserve">Ginger Boost (Immune Boost, Low Cal Option)</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</si>
  <si>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Dried cranberries map</t>
  </si>
  <si>
    <t xml:space="preserve">R271</t>
  </si>
  <si>
    <t xml:space="preserve">Kiwi &amp; Strawberry (Recovery Option)</t>
  </si>
  <si>
    <t xml:space="preserve">R272</t>
  </si>
  <si>
    <t xml:space="preserve">Fruity Yoghurt &amp; Orange Smoothie (Recovery Option)</t>
  </si>
  <si>
    <t xml:space="preserve">R273</t>
  </si>
  <si>
    <t xml:space="preserve">Chia Seed Pudding (High-Protein, Low-Sugar)</t>
  </si>
  <si>
    <t xml:space="preserve">1. Mix Ingredients - In a bowl or jar, whisk together the chia seeds, almond milk, protein powder, vanilla extract, and cinnamon until fully combined. 2. Let It Sit - Allow the mixture to rest for 5 minutes, then stir again to prevent clumping. 3. Refrigerate - Cover and place in the fridge for at least 2 hours, or preferably overnight. 4. Check Consistency - If too thick, add a splash of milk and stir; if too thin, let it sit longer. 5. Serve - Enjoy plain or topped with a few nuts, seeds, or a sprinkle of unsweetened coconut.</t>
  </si>
  <si>
    <t xml:space="preserve">R274</t>
  </si>
  <si>
    <t xml:space="preserve">High-Protein Overnight Oats (Low-Sugar, Light on the Stomach)</t>
  </si>
  <si>
    <t xml:space="preserve">1. Mix Ingredients - In a jar or bowl, combine oats, chia seeds, flaxseeds, protein powder, cinnamon, and vanilla. 2. Add Liquid - Pour in the almond milk and stir well. 3. Rest &amp; Stir - Let sit for 5 minutes, then stir again. 4. Refrigerate Overnight - Cover and place in the fridge for at least 4 hours, preferably overnight. 5. Adjust Consistency - If too thick, add a splash of milk. 6. Serve - Eat as is, or top with a few crushed nuts or seeds.</t>
  </si>
  <si>
    <t xml:space="preserve">R275</t>
  </si>
  <si>
    <t xml:space="preserve">Mini Omelette Muffins (High-Protein, Low-Carb, Light on the Stomach)</t>
  </si>
  <si>
    <t xml:space="preserve">1. Preheat oven to 180°C (350°F) and grease a muffin tin. 2. Whisk together the eggs, almond milk, salt, pepper, and garlic powder. 3. Chop the spinach and shred the cheese; distribute into the muffin tin cups. 4. Pour the egg mixture into each cup, filling about ¾ full. 5. Bake for 15-18 minutes, until set and slightly golden. 6. Let cool for a few minutes before removing from the tin. Makes 6 mini muffins.</t>
  </si>
  <si>
    <t xml:space="preserve">MACRO MISMATCH: ingredient list computes 84% HIGHER than Published Kcal (once divided by servings) - ingredients and/or published figure worth a second look against the source card.</t>
  </si>
  <si>
    <t xml:space="preserve">R276</t>
  </si>
  <si>
    <t xml:space="preserve">Banana Choc-chip Muffin</t>
  </si>
  <si>
    <t xml:space="preserve">1. Mash the bananas in a bowl. 2. Mix the egg and milk together and beat very well. 3. Add the rest of the ingredients to the egg and milk mixture and beat well. 4. Line 8 muffin cases with a large circle of greaseproof paper. 5. Spoon around 2 dessert spoonfuls of the mixture into each muffin case. 6. Bake in a preheated oven for 20 minutes at 180C.</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</si>
  <si>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Wholemeal/plain flour</t>
  </si>
  <si>
    <t xml:space="preserve">R277</t>
  </si>
  <si>
    <t xml:space="preserve">Banoffee Treat</t>
  </si>
  <si>
    <t xml:space="preserve">1. Crush the digestive biscuits and put at the bottom of a wide tumbler or bowl. 2. Thinly slice the banana and place on top of the digestives. 3. Spoon the yoghurt on top. 4. Drizzle with honey. 5. Eat!</t>
  </si>
  <si>
    <t xml:space="preserve">R278</t>
  </si>
  <si>
    <t xml:space="preserve">Beetroot &amp; Chocolate Brownies</t>
  </si>
  <si>
    <t xml:space="preserve">1. Put beetroot in a bowl with a splash of water, cover with clingfilm and cook in microwave for 7 mins. 2. Drain and put in a blender with chocolate (in chunks), vanilla essence and butter. Blitz until smooth. 3. Whisk eggs and honey together until frothy, fold in the beetroot mixture. 4. Blitz the oats, cocoa powder and baking powder together to form a flour; add to the beetroot mixture. 5. Pour into a lined 20cm x 20cm tin and bake at 150C for 45 mins, until the top has small cracks all over. 6. Leave in tin until cooled then slice and enjoy! Makes 20 brownies (published figures are per brownie).</t>
  </si>
  <si>
    <t xml:space="preserve">R279</t>
  </si>
  <si>
    <t xml:space="preserve">Cinnamon and Raisin Oat Bread</t>
  </si>
  <si>
    <t xml:space="preserve">1. In a large bowl, mix all the ingredients together thoroughly. 2. Pour the mixture into a lined bread tin. 3. Bake at 180C for 30-40 minutes. 4. Let sit for an hour or overnight in the fridge before slicing. Makes approximately 12 slices (published figures are per slice).</t>
  </si>
  <si>
    <t xml:space="preserve">R280</t>
  </si>
  <si>
    <t xml:space="preserve">High Protein Loaf Protein &amp; Energy Rich</t>
  </si>
  <si>
    <t xml:space="preserve">1. Pre-heat oven to 180 degrees and line a loaf tin with baking parchment. 2. In a large mixing bowl, add the porridge oats, chia seeds, yoghurt, whey, ground cinnamon and milk and whisk together until smooth. 3. Finely slice the banana and add half of it to the mixture along with the blueberries and goji berries. 4. Pour into the loaf tin and place the remaining banana slices over the top. 5. Bake for 45 minutes until golden brown and cooked through. 6. Serve with a drizzle of honey, maple syrup or a dollop of Greek yoghurt! Recipe makes 10 slices (published figures are per slice).</t>
  </si>
  <si>
    <t xml:space="preserve">R281</t>
  </si>
  <si>
    <t xml:space="preserve">Oat &amp; Walnut Banana Bread</t>
  </si>
  <si>
    <t xml:space="preserve">1. Set aside the oats in a large mixing bowl. 2. Blend the remainder of the ingredients together and pour over the oats. 3. Mix thoroughly until the oats are fully coated. 4. Pour into a lined bread tin and bake at 180C for 30-40 minutes. 5. Remove whilst slightly sticky in the middle and let cool in the tin for 10 minutes before leaving to set in the fridge overnight. 6. Slice into 8 slices (published figures are per slice).</t>
  </si>
  <si>
    <t xml:space="preserve">R282</t>
  </si>
  <si>
    <t xml:space="preserve">Low Cal Apple Crumble</t>
  </si>
  <si>
    <t xml:space="preserve">1. Set the oven to 190C. 2. Peel and core the apples and cut into chunks. 3. Put the apples into a pan with the honey and 1 tablespoon of water, cook over a low heat until soft. 4. Place the flour and oats into a bowl and mix well; chop the butter in and rub together with your fingers. 5. Add the sugar to the crumble and mix through. 6. Put the apple into an oven proof dish. 7. Cover with the crumble mixture and bake for 20 minutes until golden brown.</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</si>
  <si>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Wholemeal flour mappe</t>
  </si>
  <si>
    <t xml:space="preserve">R283</t>
  </si>
  <si>
    <t xml:space="preserve">Chicken &amp; Vegetable Rice Bowl Perfect for Fueling Performance &amp; Recovery</t>
  </si>
  <si>
    <t xml:space="preserve">1. Cook the rice or use pre-cooked microwave brown rice. 2. Heat olive oil in a pan; add chicken strips, season and cook until golden (6-8 mins). 3. Add garlic and ginger, stir for 1 minute. 4. Add chopped vegetables, stir-fry for 3-5 mins until tender-crisp. 5. Stir in soy sauce and sesame oil, cook a further minute. 6. Serve the chicken and vegetables over the rice, topped with spring onions and toasted sesame seeds if desired.</t>
  </si>
  <si>
    <t xml:space="preserve">R284</t>
  </si>
  <si>
    <t xml:space="preserve">Chicken Korma made with Greek Yoghurt</t>
  </si>
  <si>
    <t xml:space="preserve">1. Heat the oil in a pan, add the onion and cook for 5 minutes until softened. 2. Add the curry paste with 50ml water, the garlic, chilli and ginger and cook for 5 minutes until reduced and thickened. 3. Add the chicken and fry for a couple of minutes. 4. Add another 50ml water, bring to a simmer, cover and cook for 10 minutes, then stir through the yoghurt and coconut milk. 5. Simmer for another 5 minutes. 6. Serve garnished with toasted almonds, a side salad of spinach and red pepper and a portion of basmati rice. Serves 4 (published figures are per serving).</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</si>
  <si>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Rice quantity (560g) </t>
  </si>
  <si>
    <t xml:space="preserve">R285</t>
  </si>
  <si>
    <t xml:space="preserve">Chicken, Chili and Corn Soup</t>
  </si>
  <si>
    <t xml:space="preserve">1. Melt the butter in a pan and cook the onion, garlic, bacon and chillies until soft but not brown. 2. Add stock and bring to the boil. 3. Add the remaining ingredients and simmer covered for 20 minutes. 4. Give a quick blend if preferred, or serve as it stands. 5. Season with black pepper and salt to taste. Serves 4 (published figures are per serving).</t>
  </si>
  <si>
    <t xml:space="preserve">R286</t>
  </si>
  <si>
    <t xml:space="preserve">Honey &amp; Mustard Salmon with Herby New Potatoes &amp; Buttered Greens</t>
  </si>
  <si>
    <t xml:space="preserve">1. Mix the glaze ingredients and coat the salmon. 2. Bake at 200C (400F) for 12-15 mins (grill for 2 mins at the end). 3. Boil new potatoes for 15 mins, then toss with butter, parsley, thyme, salt and pepper. 4. Boil peas, broad beans &amp; carrots for 4-5 mins, then mix with butter and mint. 5. Plate up the salmon, potatoes and greens; add a squeeze of lemon and black pepper to finish.</t>
  </si>
  <si>
    <t xml:space="preserve">R287</t>
  </si>
  <si>
    <t xml:space="preserve">Muscle Repair Fish Cakes</t>
  </si>
  <si>
    <t xml:space="preserve">1. Peel and finely dice the onion; add to a mixing bowl. 2. Blitz a slice of bread in a blender and add to the bowl. 3. Chop the mackerel and tuna and add, with the coriander, red pepper sauce, black pepper, mustard, cottage cheese and egg. Mix well. 4. Form into fishcakes. 5. Fry in the oil over medium heat, 4 mins per side. 6. Serve with a colourful salad!</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</si>
  <si>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Nearly identical to t</t>
  </si>
  <si>
    <t xml:space="preserve">R288</t>
  </si>
  <si>
    <t xml:space="preserve">Omelette Wrap</t>
  </si>
  <si>
    <t xml:space="preserve">1. Chop the pepper, tomatoes, onion and ham. 2. Fry off the vegetables in olive oil for 2-3 minutes. 3. Whisk the eggs and milk, season, and add to the pan; shake until evenly distributed. 4. Cook for 3-4 mins without sticking. 5. Add the ham over the omelette and cook a further 1-2 mins. 6. Slide the omelette onto the wrap, roll, and press to seal.</t>
  </si>
  <si>
    <t xml:space="preserve">R289</t>
  </si>
  <si>
    <t xml:space="preserve">Peppered Beef and Broccoli Stir Fry</t>
  </si>
  <si>
    <t xml:space="preserve">1. Rinse rice then cook in boiling water for about 12 minutes until tender; drain well. 2. Heat oil in a pan; stir-fry the beef and pepper over high heat for 2-3 mins until browned. Remove. 3. Reheat pan, add garlic and spring onion, stir-fry 1 minute; add remaining vegetables and stir-fry about 5 minutes. 4. Add oyster sauce and honey, stir through. 5. Return beef to the pan, stir until heated through, stir in coriander. Serve over rice.</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</si>
  <si>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Rice quantity approxi</t>
  </si>
  <si>
    <t xml:space="preserve">R290</t>
  </si>
  <si>
    <t xml:space="preserve">Poached Butter &amp; Lemon Cod with Chunky Potato Wedges</t>
  </si>
  <si>
    <t xml:space="preserve">1. Preheat oven to 200C. Peel and chop the potato into chunky wedges; toss with olive oil, salt and white pepper. Bake 25-30 mins, turning halfway. 2. In a small saucepan, heat stock, butter, lemon juice, salt and white pepper. Add the cod, cover and gently simmer for 6-8 minutes until it flakes easily. 3. Peel and steam the carrots and courgette (5-7 minutes). 4. Plate the poached cod with the lemony broth spooned over, the potato wedges, and the buttered vegetables on the side.</t>
  </si>
  <si>
    <t xml:space="preserve">WORTH A GLANCE: butter appears twice ('15g butter' and '1 tsp butter') with no purpose label - plausible (poaching butter + a knob for the vegetables) but worth confirming it isn't a duplicate entry.</t>
  </si>
  <si>
    <t xml:space="preserve">R291</t>
  </si>
  <si>
    <t xml:space="preserve">Prosciutto Quiche</t>
  </si>
  <si>
    <t xml:space="preserve">1. Preheat oven to 200C. 2. Lightly oil a mini muffin pan (4 cups). 3. Press 1 piece of prosciutto into each of 4 cups. 4. Whisk the egg whites and whole egg until smooth; add the yoghurt, olives, rosemary and a pinch of salt and pepper, whisk well. 5. Divide between the 4 cups. 6. Bake for 10-12 minutes until cooked through. Makes 4 (published figures are per quiche cup).</t>
  </si>
  <si>
    <t xml:space="preserve">MACRO MISMATCH: ingredient list computes 69% LOWER than Published Kcal (once divided by servings) - ingredients and/or published figure worth a second look against the source card.</t>
  </si>
  <si>
    <t xml:space="preserve">R292</t>
  </si>
  <si>
    <t xml:space="preserve">Soy &amp; Ginger Chicken Rice Bowl</t>
  </si>
  <si>
    <t xml:space="preserve">1. Poach or bake the chicken until cooked; slice thin. 2. Cook the rice; melt butter in a pan and stir in grated ginger. 3. Add soy sauce, then stir the rice through the buttery ginger mix. 4. Chop and roast the carrots and courgette. 5. Assemble: rice in a bowl, chicken on top, roasted vegetables on the side. Drizzle with mild honey if desired.</t>
  </si>
  <si>
    <t xml:space="preserve">Transcribed from the second 2026-09-11 PowerPoint upload (Nial_Breakfasts, CN_Branded_Smoothies, Tim_Lynch_recipes, PD20 and Suwi weekly meal-plan decks). Appears repeated across multiple weekly decks/personal archives; ingredient quantities are a reasonable single-serving estimate consistent with the card's own published macros, not always an exact card transcription of vague measures like 'a handful' or 'a chunk' - flagged via the Ingredient-Sum/Variance columns as usual. '200g cooked white ri</t>
  </si>
  <si>
    <t xml:space="preserve">R293</t>
  </si>
  <si>
    <t xml:space="preserve">Tuna Lettuce Wraps Lean, Protein-Packed Snack or Meal</t>
  </si>
  <si>
    <t xml:space="preserve">1. Combine the drained tuna, Greek yogurt, diced red onion, diced celery, chopped parsley, Dijon mustard, salt and pepper in a bowl; mix well. 2. Wash and dry the lettuce leaves. 3. Spoon the tuna salad onto the centre of each leaf. 4. Fold the sides over and roll up from the bottom. 5. Serve with rice cakes if needed and a squeeze of lemon.</t>
  </si>
  <si>
    <t xml:space="preserve">R294</t>
  </si>
  <si>
    <t xml:space="preserve">Turkey Burger in a Wholegrain Bap with Sweet Potato Mash and Spicy Tomato Chutney</t>
  </si>
  <si>
    <t xml:space="preserve">1. Combine the minced turkey, bread crumbs, chopped onion, parsley, Worcestershire sauce and hot sauce in a bowl; mix well. 2. Divide into 4 patties. 3. Grill until browned on both sides and heated through, about 7 mins a side. 4. Serve each burger on a bun topped with tomato, onion, lettuce and ketchup. 5. For the mash: cube and steam or boil the sweet potato until tender, then mash (add a splash of milk if desired). Serves 4 (published figures are per serving).</t>
  </si>
  <si>
    <t xml:space="preserve">R295</t>
  </si>
  <si>
    <t xml:space="preserve">Turkey Noodle Stir-Fry High Protein Packed Meal</t>
  </si>
  <si>
    <t xml:space="preserve">1. Cook the rice noodles per packet instructions; drain and set aside. 2. Heat olive oil in a wok. 3. Add turkey, season, and stir-fry until cooked through (4-5 mins). 4. Push turkey aside, add beaten eggs and scramble until just set. 5. Add garlic and vegetables, stir-fry 3-4 minutes. 6. Add the noodles, soy sauce, oyster sauce and sesame oil; mix well. 7. Add chilli flakes if using. 8. Serve hot, garnished with spring onions, sesame seeds and a lime wedge if desired.</t>
  </si>
  <si>
    <t xml:space="preserve">R296</t>
  </si>
  <si>
    <t xml:space="preserve">Vanilla &amp; Banana Protein Pancakes</t>
  </si>
  <si>
    <t xml:space="preserve">1. Blend the egg, banana and whey together. 2. Heat the coconut oil in a pan over medium heat. 3. Pour the mixture into small rounds, making 3-4 small pancakes. 4. Cook for 60 seconds on each side until browned. 5. Serve with fresh berries and Greek yoghurt.</t>
  </si>
  <si>
    <t xml:space="preserve">recipe_ext</t>
  </si>
  <si>
    <t xml:space="preserve">food_ext</t>
  </si>
  <si>
    <t xml:space="preserve">qty</t>
  </si>
  <si>
    <t xml:space="preserve">unit</t>
  </si>
  <si>
    <t xml:space="preserve">display_text</t>
  </si>
  <si>
    <t xml:space="preserve">min_qty</t>
  </si>
  <si>
    <t xml:space="preserve">max_qty</t>
  </si>
  <si>
    <t xml:space="preserve">macro_role</t>
  </si>
  <si>
    <t xml:space="preserve">sort_order</t>
  </si>
  <si>
    <t xml:space="preserve">each</t>
  </si>
  <si>
    <t xml:space="preserve">1/2 Medium Banana</t>
  </si>
  <si>
    <t xml:space="preserve">Carb</t>
  </si>
  <si>
    <t xml:space="preserve">~38g Blueberries (3 Tbsp)</t>
  </si>
  <si>
    <t xml:space="preserve">~30g Raspberries (3 Tbsp)</t>
  </si>
  <si>
    <t xml:space="preserve">~30g 0% Fat Greek Yoghurt (2 Tbsp)</t>
  </si>
  <si>
    <t xml:space="preserve">Protein</t>
  </si>
  <si>
    <t xml:space="preserve">~30g Vanilla Whey Protein (1 Scoop)</t>
  </si>
  <si>
    <t xml:space="preserve">100ml Water</t>
  </si>
  <si>
    <t xml:space="preserve">6 Chunks of Ice</t>
  </si>
  <si>
    <t xml:space="preserve">1 Large Banana</t>
  </si>
  <si>
    <t xml:space="preserve">~15g 0% Greek Yoghurt (1 Tbsp)</t>
  </si>
  <si>
    <t xml:space="preserve">~32g Nut Butter (2 Tbsp)</t>
  </si>
  <si>
    <t xml:space="preserve">Fat</t>
  </si>
  <si>
    <t xml:space="preserve">40g Rolled Oats</t>
  </si>
  <si>
    <t xml:space="preserve">100ml Semi-Skimmed Milk</t>
  </si>
  <si>
    <t xml:space="preserve">100g Rolled Oats</t>
  </si>
  <si>
    <t xml:space="preserve">50g Whey Protein</t>
  </si>
  <si>
    <t xml:space="preserve">100g Peanut Butter</t>
  </si>
  <si>
    <t xml:space="preserve">30g Chia Seeds</t>
  </si>
  <si>
    <t xml:space="preserve">50g Honey</t>
  </si>
  <si>
    <t xml:space="preserve">25g Dark Choc Chips</t>
  </si>
  <si>
    <t xml:space="preserve">60g 0% Fat Greek Yoghurt</t>
  </si>
  <si>
    <t xml:space="preserve">10g Cocoa Powder</t>
  </si>
  <si>
    <t xml:space="preserve">~4g Vanilla Extract (1 Tsp)</t>
  </si>
  <si>
    <t xml:space="preserve">1 Can of Chickpeas (~240g drained)</t>
  </si>
  <si>
    <t xml:space="preserve">~30g Vanilla Protein (1 Scoop)</t>
  </si>
  <si>
    <t xml:space="preserve">125g of Peanut Butter</t>
  </si>
  <si>
    <t xml:space="preserve">70g Maple Syrup</t>
  </si>
  <si>
    <t xml:space="preserve">~1g Baking Powder (1/4 Teaspoon)</t>
  </si>
  <si>
    <t xml:space="preserve">~1g Bicarbonate Soda (1/4 Teaspoon)</t>
  </si>
  <si>
    <t xml:space="preserve">5-6 Vanilla Flavour Drops</t>
  </si>
  <si>
    <t xml:space="preserve">50g Dark Chocolate Chips</t>
  </si>
  <si>
    <t xml:space="preserve">2 Eggs</t>
  </si>
  <si>
    <t xml:space="preserve">20ml Semi-Skimmed Milk</t>
  </si>
  <si>
    <t xml:space="preserve">1/2 Avocado</t>
  </si>
  <si>
    <t xml:space="preserve">~40g Sourdough (1 Slice)</t>
  </si>
  <si>
    <t xml:space="preserve">~30g Smoked Salmon (2 Slices)</t>
  </si>
  <si>
    <t xml:space="preserve">~4g Olive Oil (1 Tsp)</t>
  </si>
  <si>
    <t xml:space="preserve">Salt &amp; Black Pepper</t>
  </si>
  <si>
    <t xml:space="preserve">3 Lean Chicken Sausages, grilled</t>
  </si>
  <si>
    <t xml:space="preserve">2 Whole Eggs, scrambled dry</t>
  </si>
  <si>
    <t xml:space="preserve">2 Egg Whites, scrambled dry</t>
  </si>
  <si>
    <t xml:space="preserve">1/3 Avocado</t>
  </si>
  <si>
    <t xml:space="preserve">1 Slice Wholegrain Bread, unbuttered</t>
  </si>
  <si>
    <t xml:space="preserve">Baked Beans (~150g) - DRAFT quantity, not yet reconciled</t>
  </si>
  <si>
    <t xml:space="preserve">~45g 0% Greek Yoghurt (3 Tbsp)</t>
  </si>
  <si>
    <t xml:space="preserve">~30g Spinach (1 Handful)</t>
  </si>
  <si>
    <t xml:space="preserve">1/2 Celery</t>
  </si>
  <si>
    <t xml:space="preserve">~16g Nut Butter (1 Tbsp)</t>
  </si>
  <si>
    <t xml:space="preserve">100ml Coconut Water</t>
  </si>
  <si>
    <t xml:space="preserve">1 Kiwi</t>
  </si>
  <si>
    <t xml:space="preserve">~30g Strawberry Protein (1 Scoop)</t>
  </si>
  <si>
    <t xml:space="preserve">5 Large Strawberries</t>
  </si>
  <si>
    <t xml:space="preserve">~14g Honey (2 Tsp)</t>
  </si>
  <si>
    <t xml:space="preserve">~20g Chocolate Spread (1 Tbsp)</t>
  </si>
  <si>
    <t xml:space="preserve">~30g Chocolate Whey (1 Scoop)</t>
  </si>
  <si>
    <t xml:space="preserve">~30g 0% Greek Yoghurt (2 Tbsp)</t>
  </si>
  <si>
    <t xml:space="preserve">250ml Semi-Skimmed Milk</t>
  </si>
  <si>
    <t xml:space="preserve">~42g Honey (2 Tbsp)</t>
  </si>
  <si>
    <t xml:space="preserve">6 Strawberries</t>
  </si>
  <si>
    <t xml:space="preserve">200ml Semi-Skimmed Milk</t>
  </si>
  <si>
    <t xml:space="preserve">150g Fat-Free Skyr</t>
  </si>
  <si>
    <t xml:space="preserve">30g Vanilla Casein Protein</t>
  </si>
  <si>
    <t xml:space="preserve">~150g Frozen Berries (1 Cup)</t>
  </si>
  <si>
    <t xml:space="preserve">150ml Semi Skimmed Milk</t>
  </si>
  <si>
    <t xml:space="preserve">~40g Fresh Berries (1 Handful)</t>
  </si>
  <si>
    <t xml:space="preserve">~4g Chia Seeds (1 Tsp)</t>
  </si>
  <si>
    <t xml:space="preserve">~60g Chocolate Whey (2 Scoops)</t>
  </si>
  <si>
    <t xml:space="preserve">15g Unsweetened Cocoa Powder</t>
  </si>
  <si>
    <t xml:space="preserve">250ml Unsweetened Almond Milk</t>
  </si>
  <si>
    <t xml:space="preserve">100g Greek yogurt (0% fat)</t>
  </si>
  <si>
    <t xml:space="preserve">15g Natural Almond Butter</t>
  </si>
  <si>
    <t xml:space="preserve">3g vanilla extract (½ teaspoon)</t>
  </si>
  <si>
    <t xml:space="preserve">5 ice cubes</t>
  </si>
  <si>
    <t xml:space="preserve">1/2 Small Sliced Banana</t>
  </si>
  <si>
    <t xml:space="preserve">10g Unsweetened Coconut flakes</t>
  </si>
  <si>
    <t xml:space="preserve">5g cacao nibs</t>
  </si>
  <si>
    <t xml:space="preserve">5g chia seeds</t>
  </si>
  <si>
    <t xml:space="preserve">½ Crushed Digestive Biscuit</t>
  </si>
  <si>
    <t xml:space="preserve">~60g Strawberry or Vanilla Whey (2 Scoops)</t>
  </si>
  <si>
    <t xml:space="preserve">100g Greek yoghurt (0% fat)</t>
  </si>
  <si>
    <t xml:space="preserve">~80g Mixed Berries (2 Handful)</t>
  </si>
  <si>
    <t xml:space="preserve">1 Large Chicken Breast</t>
  </si>
  <si>
    <t xml:space="preserve">~16g Nut Butter (1 Tablespoon)</t>
  </si>
  <si>
    <t xml:space="preserve">~15g 0% Fat Greek Yoghurt (1 Tablespoon)</t>
  </si>
  <si>
    <t xml:space="preserve">1 x Spring Onion</t>
  </si>
  <si>
    <t xml:space="preserve">Seasoning to taste</t>
  </si>
  <si>
    <t xml:space="preserve">150g Pitted Dates</t>
  </si>
  <si>
    <t xml:space="preserve">300g Almond Butter</t>
  </si>
  <si>
    <t xml:space="preserve">400g Oats</t>
  </si>
  <si>
    <t xml:space="preserve">100g Dark Chocolate</t>
  </si>
  <si>
    <t xml:space="preserve">200g 0% Greek Yoghurt</t>
  </si>
  <si>
    <t xml:space="preserve">~7g Honey (1 Teaspoon)</t>
  </si>
  <si>
    <t xml:space="preserve">~50g Sliced Strawberries (1/4 Cup)</t>
  </si>
  <si>
    <t xml:space="preserve">~50g Blueberries (1/4 Cup)</t>
  </si>
  <si>
    <t xml:space="preserve">~40g Raspberries (1/4 Cup)</t>
  </si>
  <si>
    <t xml:space="preserve">1/2 Medium Sliced Peach(~75g)</t>
  </si>
  <si>
    <t xml:space="preserve">~7g Chopped Walnuts (1 Tablespoon)</t>
  </si>
  <si>
    <t xml:space="preserve">~12g Flaxseeds or Chia Seeds (1 Tablespoon)</t>
  </si>
  <si>
    <t xml:space="preserve">~5g Shredded Coconut (1 Tablespoon)</t>
  </si>
  <si>
    <t xml:space="preserve">~21g Honey (1 Tablespoon)</t>
  </si>
  <si>
    <t xml:space="preserve">1/2 Medium Diced Mango (~100g)</t>
  </si>
  <si>
    <t xml:space="preserve">1/4 Medium Diced Pineapple (~100g)</t>
  </si>
  <si>
    <t xml:space="preserve">1/2 Medium Sliced Kiwi (~50g)</t>
  </si>
  <si>
    <t xml:space="preserve">~5g Shredded Coconut (1 Tbsp)</t>
  </si>
  <si>
    <t xml:space="preserve">~12g Chia Seeds (1 Tbsp)</t>
  </si>
  <si>
    <t xml:space="preserve">~6g Sliced Almonds (1 Tbsp)</t>
  </si>
  <si>
    <t xml:space="preserve">10 Halved Strawberries</t>
  </si>
  <si>
    <t xml:space="preserve">1 Whole Diced Kiwi</t>
  </si>
  <si>
    <t xml:space="preserve">25g Pecan Nuts</t>
  </si>
  <si>
    <t xml:space="preserve">200g 0% Fat Greek Yoghurt</t>
  </si>
  <si>
    <t xml:space="preserve">~40g Blueberries (1 Handful)</t>
  </si>
  <si>
    <t xml:space="preserve">6-8 Fresh Peach Slices</t>
  </si>
  <si>
    <t xml:space="preserve">~20g Plain Granola (1 Handful)</t>
  </si>
  <si>
    <t xml:space="preserve">~4g Cacao Nibs (½ Tbsp)</t>
  </si>
  <si>
    <t xml:space="preserve">300g Oats</t>
  </si>
  <si>
    <t xml:space="preserve">3 Bananas</t>
  </si>
  <si>
    <t xml:space="preserve">~60g Low Fat Greek Yoghurt (4 Tbsp)</t>
  </si>
  <si>
    <t xml:space="preserve">~14g Coconut Oil (1 Tbsp)</t>
  </si>
  <si>
    <t xml:space="preserve">~8g Cinnamon (1 Tbsp)</t>
  </si>
  <si>
    <t xml:space="preserve">150g Oats</t>
  </si>
  <si>
    <t xml:space="preserve">1 Banana</t>
  </si>
  <si>
    <t xml:space="preserve">3 Eggs</t>
  </si>
  <si>
    <t xml:space="preserve">~20g Flaxseed (2 Tbsp)</t>
  </si>
  <si>
    <t xml:space="preserve">~14g Ground Almonds (2 Tbsp)</t>
  </si>
  <si>
    <t xml:space="preserve">100g Blueberries</t>
  </si>
  <si>
    <t xml:space="preserve">~63g Honey (3 Tbsp)</t>
  </si>
  <si>
    <t xml:space="preserve">~14g Baking Powder (1 Tbsp)</t>
  </si>
  <si>
    <t xml:space="preserve">1 Pinch Salt</t>
  </si>
  <si>
    <t xml:space="preserve">150g Greek Yoghurt (2% fat)</t>
  </si>
  <si>
    <t xml:space="preserve">60g Granola</t>
  </si>
  <si>
    <t xml:space="preserve">100g Sliced Strawberries</t>
  </si>
  <si>
    <t xml:space="preserve">20g Chopped Walnuts</t>
  </si>
  <si>
    <t xml:space="preserve">10g Cacao Nibs</t>
  </si>
  <si>
    <t xml:space="preserve">15g Honey</t>
  </si>
  <si>
    <t xml:space="preserve">10g Chia Seeds</t>
  </si>
  <si>
    <t xml:space="preserve">Pinch of Cinnamon</t>
  </si>
  <si>
    <t xml:space="preserve">5g unsweetened coconut flakes</t>
  </si>
  <si>
    <t xml:space="preserve">200ml Semi Skimmed Milk</t>
  </si>
  <si>
    <t xml:space="preserve">50g Porridge Oats</t>
  </si>
  <si>
    <t xml:space="preserve">100g Mixed Fresh Berries</t>
  </si>
  <si>
    <t xml:space="preserve">150g Fat Free Skyr Yogurt</t>
  </si>
  <si>
    <t xml:space="preserve">~5g Peanut Butter (1 Teaspoon)</t>
  </si>
  <si>
    <t xml:space="preserve">1 Medium Banana</t>
  </si>
  <si>
    <t xml:space="preserve">1 Large Wholemeal Pitta</t>
  </si>
  <si>
    <t xml:space="preserve">2 Large Eggs</t>
  </si>
  <si>
    <t xml:space="preserve">3-4 Cherry Tomatoes</t>
  </si>
  <si>
    <t xml:space="preserve">½ Avocado</t>
  </si>
  <si>
    <t xml:space="preserve">~17g Sriracha Sauce (1 Tbsp)</t>
  </si>
  <si>
    <t xml:space="preserve">~4g Extra Virgin Olive Oil (1 Tsp)</t>
  </si>
  <si>
    <t xml:space="preserve">150g Fat Free Skyr Yoghurt</t>
  </si>
  <si>
    <t xml:space="preserve">~16g Lotus Biscoff Spread (3 Teaspoon)</t>
  </si>
  <si>
    <t xml:space="preserve">60g Dry Oats</t>
  </si>
  <si>
    <t xml:space="preserve">150ml Semi-Skimmed Milk</t>
  </si>
  <si>
    <t xml:space="preserve">~40g Fresh Blueberries (1 Handful)</t>
  </si>
  <si>
    <t xml:space="preserve">~21g Honey (1 Tbsp)</t>
  </si>
  <si>
    <t xml:space="preserve">135g 0% Greek Yoghurt</t>
  </si>
  <si>
    <t xml:space="preserve">~100g Granola (1 Cup)</t>
  </si>
  <si>
    <t xml:space="preserve">~75g 0% Greek Yoghurt (5 Tbsp)</t>
  </si>
  <si>
    <t xml:space="preserve">~7g Honey (1 Tsp)</t>
  </si>
  <si>
    <t xml:space="preserve">45g Vanilla Whey Protein</t>
  </si>
  <si>
    <t xml:space="preserve">2 Medium Bananas</t>
  </si>
  <si>
    <t xml:space="preserve">~7g Coconut Oil (1/2 Tbsp)</t>
  </si>
  <si>
    <t xml:space="preserve">~80g Fresh Raspberries (2 Handfuls)</t>
  </si>
  <si>
    <t xml:space="preserve">~80g Wholemeal Bread (2 Slices)</t>
  </si>
  <si>
    <t xml:space="preserve">1 Egg</t>
  </si>
  <si>
    <t xml:space="preserve">~3g Cinnamon (1 Tsp)</t>
  </si>
  <si>
    <t xml:space="preserve">15g Vanilla Whey Protein</t>
  </si>
  <si>
    <t xml:space="preserve">~40g Mixed Berries (1 Handful)</t>
  </si>
  <si>
    <t xml:space="preserve">~4g Coconut Oil (1 Tsp)</t>
  </si>
  <si>
    <t xml:space="preserve">Salt &amp; Pepper</t>
  </si>
  <si>
    <t xml:space="preserve">2 Mixed Green Leaves</t>
  </si>
  <si>
    <t xml:space="preserve">~20g Rocket (1 Handful)</t>
  </si>
  <si>
    <t xml:space="preserve">5 Cherry Tomatoes</t>
  </si>
  <si>
    <t xml:space="preserve">60g Sliced Red Pepper</t>
  </si>
  <si>
    <t xml:space="preserve">40g Sliced Red Onion</t>
  </si>
  <si>
    <t xml:space="preserve">5 Feta Cheese Cubes</t>
  </si>
  <si>
    <t xml:space="preserve">~14g Extra Virgin Olive Oil (1 Tbsp)</t>
  </si>
  <si>
    <t xml:space="preserve">~15g 0% Fat Greek Yoghurt (1 Tbsp)</t>
  </si>
  <si>
    <t xml:space="preserve">~10g Dijon Mustard (2 Tsp)</t>
  </si>
  <si>
    <t xml:space="preserve">~2g Paprika (1 Tsp)</t>
  </si>
  <si>
    <t xml:space="preserve">~15g Lime Juice (1 TBSP)</t>
  </si>
  <si>
    <t xml:space="preserve">1 Cooked Chicken Breast sliced</t>
  </si>
  <si>
    <t xml:space="preserve">~60g Spinach (2 Handfuls)</t>
  </si>
  <si>
    <t xml:space="preserve">1 Cooked Sweet Potato, cubed</t>
  </si>
  <si>
    <t xml:space="preserve">~40g Strawberries, sliced (1 Handful)</t>
  </si>
  <si>
    <t xml:space="preserve">50g Walnuts, crushed</t>
  </si>
  <si>
    <t xml:space="preserve">~15g Cranberry Juice (1 tbsp)</t>
  </si>
  <si>
    <t xml:space="preserve">~14g Extra Virgin Olive Oil (1 tbsp)</t>
  </si>
  <si>
    <t xml:space="preserve">~10g Balsamic Glaze (1/2 tbsp)</t>
  </si>
  <si>
    <t xml:space="preserve">~1g Orange Zest (1/2 tsp)</t>
  </si>
  <si>
    <t xml:space="preserve">~2g Dijon Mustard (1/2 tsp)</t>
  </si>
  <si>
    <t xml:space="preserve">1 pinch Salt &amp; Pepper</t>
  </si>
  <si>
    <t xml:space="preserve">300g Pork Fillet</t>
  </si>
  <si>
    <t xml:space="preserve">200g Mushrooms</t>
  </si>
  <si>
    <t xml:space="preserve">~5g Wholegrain Mustard (1 Tsp)</t>
  </si>
  <si>
    <t xml:space="preserve">~10g Crème Fraîche (2 Tsp)</t>
  </si>
  <si>
    <t xml:space="preserve">40g Rocket</t>
  </si>
  <si>
    <t xml:space="preserve">240g Roasted Potato</t>
  </si>
  <si>
    <t xml:space="preserve">150g Raw Prawns</t>
  </si>
  <si>
    <t xml:space="preserve">50g Noodles, dry</t>
  </si>
  <si>
    <t xml:space="preserve">~104g Beansprouts (1 cup)</t>
  </si>
  <si>
    <t xml:space="preserve">~70g Slice Red Cabbage (1 cup)</t>
  </si>
  <si>
    <t xml:space="preserve">1 x Carrot, ribboned</t>
  </si>
  <si>
    <t xml:space="preserve">1 x Spring Onion, sliced</t>
  </si>
  <si>
    <t xml:space="preserve">1 x Pepper, sliced thinly</t>
  </si>
  <si>
    <t xml:space="preserve">~30g Spinach (1 handful)</t>
  </si>
  <si>
    <t xml:space="preserve">~8g Peanut Butter (1/2 tbsp)</t>
  </si>
  <si>
    <t xml:space="preserve">~16g Soy Sauce (1 tbsp)</t>
  </si>
  <si>
    <t xml:space="preserve">~21g Honey (1 tbsp)</t>
  </si>
  <si>
    <t xml:space="preserve">1/2 Chilli pepper, diced</t>
  </si>
  <si>
    <t xml:space="preserve">~14g Sesame Oil (1 tbsp)</t>
  </si>
  <si>
    <t xml:space="preserve">~15g Boiling Water (1 tbsp)</t>
  </si>
  <si>
    <t xml:space="preserve">~10g Coriander (1 Handful)</t>
  </si>
  <si>
    <t xml:space="preserve">~10g Mint (1 Handful)</t>
  </si>
  <si>
    <t xml:space="preserve">~960g Water (4 Cups)</t>
  </si>
  <si>
    <t xml:space="preserve">70g Dry White Rice</t>
  </si>
  <si>
    <t xml:space="preserve">~64g Soy Sauce (4 Tablespoons)</t>
  </si>
  <si>
    <t xml:space="preserve">~6g Crushed Ginger (1 Tablespoon)</t>
  </si>
  <si>
    <t xml:space="preserve">~8g Minced Garlic (1 Tablespoon)</t>
  </si>
  <si>
    <t xml:space="preserve">~1g Chilli Flakes (½ Teaspoon)</t>
  </si>
  <si>
    <t xml:space="preserve">4 Chicken Breasts</t>
  </si>
  <si>
    <t xml:space="preserve">~14g Coconut Oil (1 Tablespoon)</t>
  </si>
  <si>
    <t xml:space="preserve">2 Red Bell Peppers</t>
  </si>
  <si>
    <t xml:space="preserve">1 Head Broccoli</t>
  </si>
  <si>
    <t xml:space="preserve">~68g Cashew Nuts (½ Cup)</t>
  </si>
  <si>
    <t xml:space="preserve">1 Onion, Cut into Large Chunks</t>
  </si>
  <si>
    <t xml:space="preserve">75g Dry Basmati Rice</t>
  </si>
  <si>
    <t xml:space="preserve">200g Cubed Pineapple</t>
  </si>
  <si>
    <t xml:space="preserve">1 Scotch Bonnet Pepper</t>
  </si>
  <si>
    <t xml:space="preserve">1 Small Red Onion</t>
  </si>
  <si>
    <t xml:space="preserve">4-6 Garlic Cloves</t>
  </si>
  <si>
    <t xml:space="preserve">4 Spring Onion Stalks</t>
  </si>
  <si>
    <t xml:space="preserve">~64g Soy Sauce (1/4 Cup)</t>
  </si>
  <si>
    <t xml:space="preserve">~60g White Vinegar (1/4 Cup)</t>
  </si>
  <si>
    <t xml:space="preserve">~28g Olive Oil (2 Tablespoons)</t>
  </si>
  <si>
    <t xml:space="preserve">Juice From 1 Large Orange</t>
  </si>
  <si>
    <t xml:space="preserve">Juice From 1/2 Lime</t>
  </si>
  <si>
    <t xml:space="preserve">~6g Grated Ginger (1 Tablespoon)</t>
  </si>
  <si>
    <t xml:space="preserve">~26g Brown Sugar (2 Tablespoons)</t>
  </si>
  <si>
    <t xml:space="preserve">~2g Nutmeg (1 Teaspoon)</t>
  </si>
  <si>
    <t xml:space="preserve">~2g Allspice (1 Teaspoon)</t>
  </si>
  <si>
    <t xml:space="preserve">~3g Cinnamon (1 Teaspoon)</t>
  </si>
  <si>
    <t xml:space="preserve">~1g Dried Thyme (1 Teaspoon)</t>
  </si>
  <si>
    <t xml:space="preserve">Salt &amp; Pepper To Taste</t>
  </si>
  <si>
    <t xml:space="preserve">1 Large Salmon Fillet</t>
  </si>
  <si>
    <t xml:space="preserve">½ Courgette</t>
  </si>
  <si>
    <t xml:space="preserve">5 Asparagus Tips</t>
  </si>
  <si>
    <t xml:space="preserve">4 Cherry Tomatoes</t>
  </si>
  <si>
    <t xml:space="preserve">½ Carrot</t>
  </si>
  <si>
    <t xml:space="preserve">¼ Lemon</t>
  </si>
  <si>
    <t xml:space="preserve">Pinch of Chilli Flakes</t>
  </si>
  <si>
    <t xml:space="preserve">200g Cubed Sweet Potato</t>
  </si>
  <si>
    <t xml:space="preserve">230g Sirloin Steak (Raw)</t>
  </si>
  <si>
    <t xml:space="preserve">2 x Garlic Cloves</t>
  </si>
  <si>
    <t xml:space="preserve">6 Tenderstem Broccoli Stalks</t>
  </si>
  <si>
    <t xml:space="preserve">350g White Potato</t>
  </si>
  <si>
    <t xml:space="preserve">Fresh Rosemary</t>
  </si>
  <si>
    <t xml:space="preserve">Chilli Flakes</t>
  </si>
  <si>
    <t xml:space="preserve">Grilled Vine Tomato</t>
  </si>
  <si>
    <t xml:space="preserve">Grilled Portobello Mushroom</t>
  </si>
  <si>
    <t xml:space="preserve">Grilled Asparagus</t>
  </si>
  <si>
    <t xml:space="preserve">65g Dried Spaghetti</t>
  </si>
  <si>
    <t xml:space="preserve">60g Raw King Prawns</t>
  </si>
  <si>
    <t xml:space="preserve">~12g rose harissa (2 teaspoons)</t>
  </si>
  <si>
    <t xml:space="preserve">½ bunch flat-leaf parsley</t>
  </si>
  <si>
    <t xml:space="preserve">1 lemon</t>
  </si>
  <si>
    <t xml:space="preserve">250g Sliced Chicken Breast</t>
  </si>
  <si>
    <t xml:space="preserve">200ml Coconut Milk</t>
  </si>
  <si>
    <t xml:space="preserve">30g Thai Red Curry Paste</t>
  </si>
  <si>
    <t xml:space="preserve">10g Minced Ginger</t>
  </si>
  <si>
    <t xml:space="preserve">10g Brown Sugar</t>
  </si>
  <si>
    <t xml:space="preserve">100g Sliced Red Bell Pepper</t>
  </si>
  <si>
    <t xml:space="preserve">80g Green Beans</t>
  </si>
  <si>
    <t xml:space="preserve">50g Bamboo Shoots</t>
  </si>
  <si>
    <t xml:space="preserve">30g Basil</t>
  </si>
  <si>
    <t xml:space="preserve">20g Chopped Spring Onion</t>
  </si>
  <si>
    <t xml:space="preserve">10g Lime Juice</t>
  </si>
  <si>
    <t xml:space="preserve">5g Sliced Red Chilli</t>
  </si>
  <si>
    <t xml:space="preserve">75g Dry White Rice</t>
  </si>
  <si>
    <t xml:space="preserve">~4g olive oil (1 teaspoon)</t>
  </si>
  <si>
    <t xml:space="preserve">1/2 Onion</t>
  </si>
  <si>
    <t xml:space="preserve">1/2 Lime</t>
  </si>
  <si>
    <t xml:space="preserve">170g Cooked Chicken Breast</t>
  </si>
  <si>
    <t xml:space="preserve">2 Flour Tortillas</t>
  </si>
  <si>
    <t xml:space="preserve">30g Reduced Fat Cheese</t>
  </si>
  <si>
    <t xml:space="preserve">6 Cherry Tomatoes</t>
  </si>
  <si>
    <t xml:space="preserve">1/2 Garlic Clove</t>
  </si>
  <si>
    <t xml:space="preserve">450g Minced Lamb</t>
  </si>
  <si>
    <t xml:space="preserve">1 can of Chopped Tomatoes</t>
  </si>
  <si>
    <t xml:space="preserve">1 Red Onion</t>
  </si>
  <si>
    <t xml:space="preserve">~30g Chopped Parsley (½ Cup)</t>
  </si>
  <si>
    <t xml:space="preserve">½ Lemon</t>
  </si>
  <si>
    <t xml:space="preserve">~16g fresh Coriander (1 Cup)</t>
  </si>
  <si>
    <t xml:space="preserve">2 Garlic Cloves</t>
  </si>
  <si>
    <t xml:space="preserve">~7g Paprika (1 Tbsp)</t>
  </si>
  <si>
    <t xml:space="preserve">~6g Ground Cumin (1 Tbsp)</t>
  </si>
  <si>
    <t xml:space="preserve">~14g Olive Oil (1 Tbsp)</t>
  </si>
  <si>
    <t xml:space="preserve">~4g Chilli flakes (2 Tsp)</t>
  </si>
  <si>
    <t xml:space="preserve">1 Red Chilli</t>
  </si>
  <si>
    <t xml:space="preserve">220g Dry Basmati Rice</t>
  </si>
  <si>
    <t xml:space="preserve">250g Salmon Fillet</t>
  </si>
  <si>
    <t xml:space="preserve">5g Oregano</t>
  </si>
  <si>
    <t xml:space="preserve">5g Lemon Zest</t>
  </si>
  <si>
    <t xml:space="preserve">100g Bulgur Wheat &amp; 200ml Boiled Water</t>
  </si>
  <si>
    <t xml:space="preserve">100g Chopped Fresh Parsley</t>
  </si>
  <si>
    <t xml:space="preserve">50g Chopped Fresh Mint</t>
  </si>
  <si>
    <t xml:space="preserve">80g Diced Cucumber</t>
  </si>
  <si>
    <t xml:space="preserve">50g Chopped Cherry Tomatoes</t>
  </si>
  <si>
    <t xml:space="preserve">30g Finely Diced Red Onion</t>
  </si>
  <si>
    <t xml:space="preserve">100g 0% Fat Greek Yoghurt</t>
  </si>
  <si>
    <t xml:space="preserve">15ml Lemon Juice</t>
  </si>
  <si>
    <t xml:space="preserve">10ml Olive Oil</t>
  </si>
  <si>
    <t xml:space="preserve">5g Chopped Dill</t>
  </si>
  <si>
    <t xml:space="preserve">3g Minced Garlic</t>
  </si>
  <si>
    <t xml:space="preserve">20g Pommegranate seeds</t>
  </si>
  <si>
    <t xml:space="preserve">120g Chicken Breast Mini Fillets</t>
  </si>
  <si>
    <t xml:space="preserve">40g Oats</t>
  </si>
  <si>
    <t xml:space="preserve">~15g Semi-Skimmed Milk (1 Tbsp)</t>
  </si>
  <si>
    <t xml:space="preserve">~2g Paprika/Chicken Spice (1 Tsp)</t>
  </si>
  <si>
    <t xml:space="preserve">~9g Olive Oil (2 Tsp)</t>
  </si>
  <si>
    <t xml:space="preserve">~60g Mixed Leaves (2 Handful)</t>
  </si>
  <si>
    <t xml:space="preserve">~50g Cherry Tomato (1 Handful)</t>
  </si>
  <si>
    <t xml:space="preserve">15ml Balsamic Vinegar</t>
  </si>
  <si>
    <t xml:space="preserve">150g Baked Sweet Potato</t>
  </si>
  <si>
    <t xml:space="preserve">~2g Paprika (1 tsp)</t>
  </si>
  <si>
    <t xml:space="preserve">1 Medium Salmon Fillet</t>
  </si>
  <si>
    <t xml:space="preserve">50g Cous Cous, dry</t>
  </si>
  <si>
    <t xml:space="preserve">~3g Fresh Mint, chopped (1 tbsp)</t>
  </si>
  <si>
    <t xml:space="preserve">1 Lime</t>
  </si>
  <si>
    <t xml:space="preserve">~20g Balsamic Glaze (1 Tbsp)</t>
  </si>
  <si>
    <t xml:space="preserve">2 Chicken Breast</t>
  </si>
  <si>
    <t xml:space="preserve">1 Pinch Cinnamon</t>
  </si>
  <si>
    <t xml:space="preserve">1 Pinch Cumin</t>
  </si>
  <si>
    <t xml:space="preserve">1 Pinch Coriander</t>
  </si>
  <si>
    <t xml:space="preserve">~10g Fresh Coriander (1 Handful)</t>
  </si>
  <si>
    <t xml:space="preserve">1 Lime Juice</t>
  </si>
  <si>
    <t xml:space="preserve">1 Lime Zest</t>
  </si>
  <si>
    <t xml:space="preserve">~30g Mixed Salad Leaves (1 Handful)</t>
  </si>
  <si>
    <t xml:space="preserve">1/2 Chopped Cucumber</t>
  </si>
  <si>
    <t xml:space="preserve">~50g Baby Tomatoes (1 Handful)</t>
  </si>
  <si>
    <t xml:space="preserve">2 x Medium Baked Potato</t>
  </si>
  <si>
    <t xml:space="preserve">500g Lean Beef Strips</t>
  </si>
  <si>
    <t xml:space="preserve">~32g Soy Sauce (2 Tablespoons)</t>
  </si>
  <si>
    <t xml:space="preserve">~14g Sesame Oil (1 Tablespoon)</t>
  </si>
  <si>
    <t xml:space="preserve">~15g Rice Vinegar (1 Tablespoon)</t>
  </si>
  <si>
    <t xml:space="preserve">2 Cloves Minced Garlic</t>
  </si>
  <si>
    <t xml:space="preserve">~18g Korean Chilli Paste (1 Tablespoon)</t>
  </si>
  <si>
    <t xml:space="preserve">~8g Cornflour (1 Tablespoon)</t>
  </si>
  <si>
    <t xml:space="preserve">~14g Olive Oil (1 Tablespoon)</t>
  </si>
  <si>
    <t xml:space="preserve">1 Medium Sliced Onion</t>
  </si>
  <si>
    <t xml:space="preserve">1 Sliced Red Bell Pepper</t>
  </si>
  <si>
    <t xml:space="preserve">~90g Broccoli Florets (1 Cup)</t>
  </si>
  <si>
    <t xml:space="preserve">265g Dry Basmati Rice</t>
  </si>
  <si>
    <t xml:space="preserve">~9g Sesame Seeds (1 Tablespoon)</t>
  </si>
  <si>
    <t xml:space="preserve">2 Sliced Spring Onions</t>
  </si>
  <si>
    <t xml:space="preserve">1-2 Sliced Red Chilies</t>
  </si>
  <si>
    <t xml:space="preserve">500g Chicken Breast (raw)</t>
  </si>
  <si>
    <t xml:space="preserve">1 Onion</t>
  </si>
  <si>
    <t xml:space="preserve">3 Garlic Cloves</t>
  </si>
  <si>
    <t xml:space="preserve">1 Large Sweet Potato</t>
  </si>
  <si>
    <t xml:space="preserve">1 Tin Chickpeas</t>
  </si>
  <si>
    <t xml:space="preserve">1 Tin Coconut Milk</t>
  </si>
  <si>
    <t xml:space="preserve">1 Chicken Stock Cube</t>
  </si>
  <si>
    <t xml:space="preserve">~6g Curry Powder (1 Tbsp)</t>
  </si>
  <si>
    <t xml:space="preserve">~6g Grated Ginger (1 Tbsp)</t>
  </si>
  <si>
    <t xml:space="preserve">1 Bag Green Beans</t>
  </si>
  <si>
    <t xml:space="preserve">~8g Ground Cinnamon (1 Tbsp)</t>
  </si>
  <si>
    <t xml:space="preserve">300g Dry Basmati Rice</t>
  </si>
  <si>
    <t xml:space="preserve">150g Raw Chicken Breast</t>
  </si>
  <si>
    <t xml:space="preserve">85g Dry Tagliatelle</t>
  </si>
  <si>
    <t xml:space="preserve">1 Small Onion</t>
  </si>
  <si>
    <t xml:space="preserve">2 Medium Tomatoes</t>
  </si>
  <si>
    <t xml:space="preserve">~16g Tomato Purée (1 Tbsp)</t>
  </si>
  <si>
    <t xml:space="preserve">~16g Olive Oil (1 Tbsp + ½ Tsp)</t>
  </si>
  <si>
    <t xml:space="preserve">~5g White Wine Vinegar (1 Tsp)</t>
  </si>
  <si>
    <t xml:space="preserve">Mixed Herb Seasoning</t>
  </si>
  <si>
    <t xml:space="preserve">Black Pepper</t>
  </si>
  <si>
    <t xml:space="preserve">85g Dry Basmati Rice</t>
  </si>
  <si>
    <t xml:space="preserve">150g Broccoli</t>
  </si>
  <si>
    <t xml:space="preserve">1/2 Can Black Beans</t>
  </si>
  <si>
    <t xml:space="preserve">1 x Corn on the Cob</t>
  </si>
  <si>
    <t xml:space="preserve">Sriracha to Taste</t>
  </si>
  <si>
    <t xml:space="preserve">200g Diced Chicken Breast</t>
  </si>
  <si>
    <t xml:space="preserve">~40g Mango Chutney (2 Tbsp)</t>
  </si>
  <si>
    <t xml:space="preserve">1 Chopped Onion</t>
  </si>
  <si>
    <t xml:space="preserve">~40g Sliced Mushroom (1 Handful)</t>
  </si>
  <si>
    <t xml:space="preserve">~32g Tomato Puree (2 Tbsp)</t>
  </si>
  <si>
    <t xml:space="preserve">4 Sliced Sun-Dried Tomatoes</t>
  </si>
  <si>
    <t xml:space="preserve">~2g Dried Oregano (2 Tsp)</t>
  </si>
  <si>
    <t xml:space="preserve">1 Crushed Garlic Cloce</t>
  </si>
  <si>
    <t xml:space="preserve">1 Thinkly Sliced Pepper</t>
  </si>
  <si>
    <t xml:space="preserve">~10g Fresh Basil (1 Handful)</t>
  </si>
  <si>
    <t xml:space="preserve">~1g Chilli Powder (1/4 Tsp)</t>
  </si>
  <si>
    <t xml:space="preserve">150g Dry Tagliatelle Pasta</t>
  </si>
  <si>
    <t xml:space="preserve">250g raw salmon fillets</t>
  </si>
  <si>
    <t xml:space="preserve">130g dry jasmine rice</t>
  </si>
  <si>
    <t xml:space="preserve">~14g extra virgin olive oil (1 tbsp)</t>
  </si>
  <si>
    <t xml:space="preserve">2 garlic cloves</t>
  </si>
  <si>
    <t xml:space="preserve">1 red chilli</t>
  </si>
  <si>
    <t xml:space="preserve">½ onion</t>
  </si>
  <si>
    <t xml:space="preserve">5 curry leaves</t>
  </si>
  <si>
    <t xml:space="preserve">~2g grated fresh ginger (1 tsp)</t>
  </si>
  <si>
    <t xml:space="preserve">1 lemongrass stalk</t>
  </si>
  <si>
    <t xml:space="preserve">1 lime – zest and juice</t>
  </si>
  <si>
    <t xml:space="preserve">2 yellow peppers</t>
  </si>
  <si>
    <t xml:space="preserve">~6g curry powder (1 tbsp)</t>
  </si>
  <si>
    <t xml:space="preserve">1 × 400ml can light/reduced-fat coconut milk</t>
  </si>
  <si>
    <t xml:space="preserve">100g cherry tomatoes</t>
  </si>
  <si>
    <t xml:space="preserve">220g raw chicken breast, diced</t>
  </si>
  <si>
    <t xml:space="preserve">170g dry penne pasta</t>
  </si>
  <si>
    <t xml:space="preserve">~9g extra virgin olive oil (2 tsp)</t>
  </si>
  <si>
    <t xml:space="preserve">2 garlic cloves, chopped</t>
  </si>
  <si>
    <t xml:space="preserve">¼ red chilli, chopped</t>
  </si>
  <si>
    <t xml:space="preserve">1 lemon, zest and juice</t>
  </si>
  <si>
    <t xml:space="preserve">~2g ground cumin (1 tsp)</t>
  </si>
  <si>
    <t xml:space="preserve">~2g paprika (1 tsp)</t>
  </si>
  <si>
    <t xml:space="preserve">~2g ground turmeric (½ tsp)</t>
  </si>
  <si>
    <t xml:space="preserve">~1g ground cinnamon (½ tsp)</t>
  </si>
  <si>
    <t xml:space="preserve">2 spring onions, sliced</t>
  </si>
  <si>
    <t xml:space="preserve">¼ cucumber, sliced</t>
  </si>
  <si>
    <t xml:space="preserve">½ onion, sliced</t>
  </si>
  <si>
    <t xml:space="preserve">5 cherry tomatoes, chopped</t>
  </si>
  <si>
    <t xml:space="preserve">~10g fresh parsley, chopped (1 handful)</t>
  </si>
  <si>
    <t xml:space="preserve">Salt &amp; pepper</t>
  </si>
  <si>
    <t xml:space="preserve">500g lean turkey mince (around 2% fat)</t>
  </si>
  <si>
    <t xml:space="preserve">1 onion, chopped</t>
  </si>
  <si>
    <t xml:space="preserve">2 celery stalks, chopped</t>
  </si>
  <si>
    <t xml:space="preserve">2 garlic cloves, crushed</t>
  </si>
  <si>
    <t xml:space="preserve">2 carrots, diced</t>
  </si>
  <si>
    <t xml:space="preserve">2 × 400g tins chopped tomatoes</t>
  </si>
  <si>
    <t xml:space="preserve">~32g tomato purée (2 tbsp)</t>
  </si>
  <si>
    <t xml:space="preserve">~2g dried oregano (2 tsp)</t>
  </si>
  <si>
    <t xml:space="preserve">~5g Worcestershire sauce (1 tsp)</t>
  </si>
  <si>
    <t xml:space="preserve">500g dry spaghetti</t>
  </si>
  <si>
    <t xml:space="preserve">~10g grated Parmesan (2 tbsp)</t>
  </si>
  <si>
    <t xml:space="preserve">500g firm tofu, cubed</t>
  </si>
  <si>
    <t xml:space="preserve">1 × 400g tin chickpeas, drained and rinsed</t>
  </si>
  <si>
    <t xml:space="preserve">1 × 400ml tin light coconut milk</t>
  </si>
  <si>
    <t xml:space="preserve">3 red chillies, chopped</t>
  </si>
  <si>
    <t xml:space="preserve">1 thumb-sized piece fresh ginger, grated</t>
  </si>
  <si>
    <t xml:space="preserve">1 red pepper, sliced</t>
  </si>
  <si>
    <t xml:space="preserve">1 courgette, sliced</t>
  </si>
  <si>
    <t xml:space="preserve">~24g Thai green curry paste (4 tsp)</t>
  </si>
  <si>
    <t xml:space="preserve">~16g soy sauce (1 tbsp)</t>
  </si>
  <si>
    <t xml:space="preserve">~15g lime juice (1 tbsp)</t>
  </si>
  <si>
    <t xml:space="preserve">~28g olive oil (2 tbsp)</t>
  </si>
  <si>
    <t xml:space="preserve">~32g peanut butter (2 tbsp)</t>
  </si>
  <si>
    <t xml:space="preserve">~2g cayenne pepper (1 tsp)</t>
  </si>
  <si>
    <t xml:space="preserve">200g dry basmati rice</t>
  </si>
  <si>
    <t xml:space="preserve">300g cooked king prawns</t>
  </si>
  <si>
    <t xml:space="preserve">250g dry basmati rice</t>
  </si>
  <si>
    <t xml:space="preserve">150g pineapple chunks</t>
  </si>
  <si>
    <t xml:space="preserve">1 red onion, sliced</t>
  </si>
  <si>
    <t xml:space="preserve">1 garlic clove, crushed</t>
  </si>
  <si>
    <t xml:space="preserve">~32g soy sauce (2 tbsp)</t>
  </si>
  <si>
    <t xml:space="preserve">~10g fresh coriander, chopped (1 handful)</t>
  </si>
  <si>
    <t xml:space="preserve">~28g coconut oil (2 tbsp)</t>
  </si>
  <si>
    <t xml:space="preserve">375g lean leg of lamb, cut into cubes</t>
  </si>
  <si>
    <t xml:space="preserve">455g dry basmati rice</t>
  </si>
  <si>
    <t xml:space="preserve">~70g olive oil (5 tbsp)</t>
  </si>
  <si>
    <t xml:space="preserve">~22g lemon juice (1½ tbsp)</t>
  </si>
  <si>
    <t xml:space="preserve">~24g red wine vinegar (1½ tbsp)</t>
  </si>
  <si>
    <t xml:space="preserve">~4g chopped oregano (1½ tbsp)</t>
  </si>
  <si>
    <t xml:space="preserve">2 garlic cloves, minced</t>
  </si>
  <si>
    <t xml:space="preserve">~3g salt (½ tsp)</t>
  </si>
  <si>
    <t xml:space="preserve">~1g black pepper (¼ tsp)</t>
  </si>
  <si>
    <t xml:space="preserve">½ large cucumber, sliced</t>
  </si>
  <si>
    <t xml:space="preserve">12 cherry tomatoes, halved</t>
  </si>
  <si>
    <t xml:space="preserve">~100g lettuce, roughly chopped (4 handfuls)</t>
  </si>
  <si>
    <t xml:space="preserve">250g fillet steak</t>
  </si>
  <si>
    <t xml:space="preserve">310g sweet potato</t>
  </si>
  <si>
    <t xml:space="preserve">60g chestnut mushrooms</t>
  </si>
  <si>
    <t xml:space="preserve">~7g vegetable oil (1½ tsp)</t>
  </si>
  <si>
    <t xml:space="preserve">7–8g butter</t>
  </si>
  <si>
    <t xml:space="preserve">~8g soy sauce (1½ tsp)</t>
  </si>
  <si>
    <t xml:space="preserve">¼ small red chilli, finely chopped</t>
  </si>
  <si>
    <t xml:space="preserve">4g fresh coriander</t>
  </si>
  <si>
    <t xml:space="preserve">4g fresh parsley</t>
  </si>
  <si>
    <t xml:space="preserve">¼ garlic clove, crushed</t>
  </si>
  <si>
    <t xml:space="preserve">~7g olive oil (1½ tsp)</t>
  </si>
  <si>
    <t xml:space="preserve">~4g red wine vinegar (¾ tsp)</t>
  </si>
  <si>
    <t xml:space="preserve">&lt;1g dried oregano (¼ tsp)</t>
  </si>
  <si>
    <t xml:space="preserve">Splash water</t>
  </si>
  <si>
    <t xml:space="preserve">Salt &amp; black pepper</t>
  </si>
  <si>
    <t xml:space="preserve">130g sea bass fillet</t>
  </si>
  <si>
    <t xml:space="preserve">60g dry white or jasmine rice</t>
  </si>
  <si>
    <t xml:space="preserve">~8g cornflour (1 tbsp)</t>
  </si>
  <si>
    <t xml:space="preserve">~1g Chinese five-spice (½ tsp)</t>
  </si>
  <si>
    <t xml:space="preserve">~4g sesame oil (1 tsp)</t>
  </si>
  <si>
    <t xml:space="preserve">1 head pak choi, chopped</t>
  </si>
  <si>
    <t xml:space="preserve">100g Tenderstem broccoli</t>
  </si>
  <si>
    <t xml:space="preserve">2 garlic cloves, sliced</t>
  </si>
  <si>
    <t xml:space="preserve">1 red chilli, sliced</t>
  </si>
  <si>
    <t xml:space="preserve">~6g grated fresh ginger (1 tbsp)</t>
  </si>
  <si>
    <t xml:space="preserve">~7g honey (1 tsp)</t>
  </si>
  <si>
    <t xml:space="preserve">~16g rice wine vinegar (1 tbsp)</t>
  </si>
  <si>
    <t xml:space="preserve">200g 5% lean beef mince</t>
  </si>
  <si>
    <t xml:space="preserve">200g fresh egg noodles</t>
  </si>
  <si>
    <t xml:space="preserve">100g avocado, diced</t>
  </si>
  <si>
    <t xml:space="preserve">10 cherry tomatoes, halved</t>
  </si>
  <si>
    <t xml:space="preserve">½ medium cucumber, sliced</t>
  </si>
  <si>
    <t xml:space="preserve">½ red pepper, sliced</t>
  </si>
  <si>
    <t xml:space="preserve">¼ small red onion, finely sliced</t>
  </si>
  <si>
    <t xml:space="preserve">100g lettuce, chopped</t>
  </si>
  <si>
    <t xml:space="preserve">~5g Olive Oil (1 tsp)</t>
  </si>
  <si>
    <t xml:space="preserve">~15g lemon juice (1 tbsp)</t>
  </si>
  <si>
    <t xml:space="preserve">½ lime, to serve</t>
  </si>
  <si>
    <t xml:space="preserve">170g salmon fillet</t>
  </si>
  <si>
    <t xml:space="preserve">90g dry penne pasta</t>
  </si>
  <si>
    <t xml:space="preserve">200g green beans</t>
  </si>
  <si>
    <t xml:space="preserve">Zest and juice of 1 lemon</t>
  </si>
  <si>
    <t xml:space="preserve">~2g fresh thyme leaves (1 tbsp)</t>
  </si>
  <si>
    <t xml:space="preserve">~2g garlic salt (½ tsp)</t>
  </si>
  <si>
    <t xml:space="preserve">~9g olive oil (2 tsp)</t>
  </si>
  <si>
    <t xml:space="preserve">Lemon wedges, to serve</t>
  </si>
  <si>
    <t xml:space="preserve">Fresh thyme sprigs, to garnish</t>
  </si>
  <si>
    <t xml:space="preserve">110g raw chicken breast</t>
  </si>
  <si>
    <t xml:space="preserve">225g fresh potato gnocchi</t>
  </si>
  <si>
    <t xml:space="preserve">~4g olive oil for cooking the chicken (1 tsp)</t>
  </si>
  <si>
    <t xml:space="preserve">15ml olive oil for the pesto</t>
  </si>
  <si>
    <t xml:space="preserve">15g fresh basil</t>
  </si>
  <si>
    <t xml:space="preserve">20g pine nuts</t>
  </si>
  <si>
    <t xml:space="preserve">10g Parmesan cheese</t>
  </si>
  <si>
    <t xml:space="preserve">5g garlic, minced</t>
  </si>
  <si>
    <t xml:space="preserve">Dried Italian herbs</t>
  </si>
  <si>
    <t xml:space="preserve">Fresh basil leaves, to garnish</t>
  </si>
  <si>
    <t xml:space="preserve">140g lean beef strips</t>
  </si>
  <si>
    <t xml:space="preserve">5g cornflour</t>
  </si>
  <si>
    <t xml:space="preserve">60g dry noodles</t>
  </si>
  <si>
    <t xml:space="preserve">20–21g sesame oil</t>
  </si>
  <si>
    <t xml:space="preserve">30g soy sauce</t>
  </si>
  <si>
    <t xml:space="preserve">15g rice vinegar</t>
  </si>
  <si>
    <t xml:space="preserve">5g brown sugar</t>
  </si>
  <si>
    <t xml:space="preserve">10g fresh ginger, grated</t>
  </si>
  <si>
    <t xml:space="preserve">10g garlic, minced</t>
  </si>
  <si>
    <t xml:space="preserve">100g broccoli</t>
  </si>
  <si>
    <t xml:space="preserve">80g carrot, sliced</t>
  </si>
  <si>
    <t xml:space="preserve">60g beansprouts</t>
  </si>
  <si>
    <t xml:space="preserve">60g green pepper, sliced</t>
  </si>
  <si>
    <t xml:space="preserve">½ red chilli, finely sliced</t>
  </si>
  <si>
    <t xml:space="preserve">5g sesame seeds</t>
  </si>
  <si>
    <t xml:space="preserve">110g raw cod fillet</t>
  </si>
  <si>
    <t xml:space="preserve">55g dry basmati rice</t>
  </si>
  <si>
    <t xml:space="preserve">50g edamame beans</t>
  </si>
  <si>
    <t xml:space="preserve">150g Tenderstem broccoli</t>
  </si>
  <si>
    <t xml:space="preserve">30g white miso paste</t>
  </si>
  <si>
    <t xml:space="preserve">15g mirin</t>
  </si>
  <si>
    <t xml:space="preserve">15g sake</t>
  </si>
  <si>
    <t xml:space="preserve">12g honey</t>
  </si>
  <si>
    <t xml:space="preserve">~21g sesame oil (1½ tbsp)</t>
  </si>
  <si>
    <t xml:space="preserve">10g black sesame seeds</t>
  </si>
  <si>
    <t xml:space="preserve">&lt;1g chilli flakes (¼ tsp)</t>
  </si>
  <si>
    <t xml:space="preserve">Salt, to taste</t>
  </si>
  <si>
    <t xml:space="preserve">180g raw king prawns</t>
  </si>
  <si>
    <t xml:space="preserve">10g cornflour</t>
  </si>
  <si>
    <t xml:space="preserve">175ml full-fat coconut milk</t>
  </si>
  <si>
    <t xml:space="preserve">20g Thai red curry paste</t>
  </si>
  <si>
    <t xml:space="preserve">15g fresh ginger, grated</t>
  </si>
  <si>
    <t xml:space="preserve">10ml fish sauce</t>
  </si>
  <si>
    <t xml:space="preserve">10ml lime juice</t>
  </si>
  <si>
    <t xml:space="preserve">100g red pepper, sliced</t>
  </si>
  <si>
    <t xml:space="preserve">50g red onion, sliced</t>
  </si>
  <si>
    <t xml:space="preserve">30g spring onion, sliced</t>
  </si>
  <si>
    <t xml:space="preserve">10g fresh coriander, chopped</t>
  </si>
  <si>
    <t xml:space="preserve">½ red chilli, sliced</t>
  </si>
  <si>
    <t xml:space="preserve">125g raw chicken breast</t>
  </si>
  <si>
    <t xml:space="preserve">10g wholemeal flour</t>
  </si>
  <si>
    <t xml:space="preserve">1 small egg, beaten</t>
  </si>
  <si>
    <t xml:space="preserve">15g panko breadcrumbs</t>
  </si>
  <si>
    <t xml:space="preserve">~2g olive oil, for cooking (½ tsp)</t>
  </si>
  <si>
    <t xml:space="preserve">4g olive oil, for the curry sauce</t>
  </si>
  <si>
    <t xml:space="preserve">40g onion, finely diced</t>
  </si>
  <si>
    <t xml:space="preserve">30g carrot, finely diced</t>
  </si>
  <si>
    <t xml:space="preserve">5g fresh ginger, grated</t>
  </si>
  <si>
    <t xml:space="preserve">~2g curry powder (1 tsp)</t>
  </si>
  <si>
    <t xml:space="preserve">~1g garam masala (½ tsp)</t>
  </si>
  <si>
    <t xml:space="preserve">~5g tomato purée (1 tsp)</t>
  </si>
  <si>
    <t xml:space="preserve">150ml low-salt chicken stock</t>
  </si>
  <si>
    <t xml:space="preserve">~4g honey (½ tsp)</t>
  </si>
  <si>
    <t xml:space="preserve">5g reduced-salt soy sauce</t>
  </si>
  <si>
    <t xml:space="preserve">3g cornflour mixed with 10ml water</t>
  </si>
  <si>
    <t xml:space="preserve">55g dry jasmine rice</t>
  </si>
  <si>
    <t xml:space="preserve">170g lean beef sirloin strips</t>
  </si>
  <si>
    <t xml:space="preserve">~3g cornflour (1 tsp)</t>
  </si>
  <si>
    <t xml:space="preserve">~33g hoisin sauce (1 tbsp + 2 tsp)</t>
  </si>
  <si>
    <t xml:space="preserve">~11g reduced-salt soy sauce (2 tsp)</t>
  </si>
  <si>
    <t xml:space="preserve">~5g rice vinegar (1 tsp)</t>
  </si>
  <si>
    <t xml:space="preserve">~2g fresh ginger, grated (1 tsp)</t>
  </si>
  <si>
    <t xml:space="preserve">~6g garlic, minced (2 tsp)</t>
  </si>
  <si>
    <t xml:space="preserve">~3g chilli paste (½ tsp)</t>
  </si>
  <si>
    <t xml:space="preserve">~3g cornflour mixed with 1 tbsp water (1 tsp)</t>
  </si>
  <si>
    <t xml:space="preserve">50g dry egg noodles</t>
  </si>
  <si>
    <t xml:space="preserve">150g broccoli florets</t>
  </si>
  <si>
    <t xml:space="preserve">50g green pepper, sliced</t>
  </si>
  <si>
    <t xml:space="preserve">40g carrot, sliced</t>
  </si>
  <si>
    <t xml:space="preserve">30g spring onions, chopped</t>
  </si>
  <si>
    <t xml:space="preserve">~9g sesame seeds (1 tbsp)</t>
  </si>
  <si>
    <t xml:space="preserve">180g salmon fillet</t>
  </si>
  <si>
    <t xml:space="preserve">75g dry jasmine rice</t>
  </si>
  <si>
    <t xml:space="preserve">50ml light coconut milk</t>
  </si>
  <si>
    <t xml:space="preserve">75ml water</t>
  </si>
  <si>
    <t xml:space="preserve">80g mango, diced</t>
  </si>
  <si>
    <t xml:space="preserve">20g avocado, diced</t>
  </si>
  <si>
    <t xml:space="preserve">30g red onion, finely diced</t>
  </si>
  <si>
    <t xml:space="preserve">30g red pepper, diced</t>
  </si>
  <si>
    <t xml:space="preserve">½ small jalapeño, finely chopped</t>
  </si>
  <si>
    <t xml:space="preserve">~2g lime zest (1 tsp)</t>
  </si>
  <si>
    <t xml:space="preserve">~2g chilli powder (1 tsp)</t>
  </si>
  <si>
    <t xml:space="preserve">170g lean sirloin beef strips</t>
  </si>
  <si>
    <t xml:space="preserve">120g fresh egg noodles</t>
  </si>
  <si>
    <t xml:space="preserve">~7g sesame oil (1½ tsp)</t>
  </si>
  <si>
    <t xml:space="preserve">~32g reduced-salt soy sauce (2 tbsp)</t>
  </si>
  <si>
    <t xml:space="preserve">~24g oyster sauce (1 tbsp + 1 tsp)</t>
  </si>
  <si>
    <t xml:space="preserve">~15g rice vinegar (1 tbsp)</t>
  </si>
  <si>
    <t xml:space="preserve">~10g brown sugar (2½ tsp)</t>
  </si>
  <si>
    <t xml:space="preserve">~6g fresh ginger, grated (1 tbsp)</t>
  </si>
  <si>
    <t xml:space="preserve">200g broccoli florets</t>
  </si>
  <si>
    <t xml:space="preserve">30g spring onions, sliced</t>
  </si>
  <si>
    <t xml:space="preserve">~6g sesame seeds (2 tsp)</t>
  </si>
  <si>
    <t xml:space="preserve">140g raw chicken breast, diced</t>
  </si>
  <si>
    <t xml:space="preserve">80g dry basmati rice</t>
  </si>
  <si>
    <t xml:space="preserve">~16g balsamic vinegar (1 tbsp)</t>
  </si>
  <si>
    <t xml:space="preserve">~16g reduced-salt soy sauce (1 tbsp)</t>
  </si>
  <si>
    <t xml:space="preserve">~40g sweet chilli sauce (2 tbsp)</t>
  </si>
  <si>
    <t xml:space="preserve">100g pak choi, chopped</t>
  </si>
  <si>
    <t xml:space="preserve">½ small red onion, diced</t>
  </si>
  <si>
    <t xml:space="preserve">~10g fresh basil, chopped (1 handful)</t>
  </si>
  <si>
    <t xml:space="preserve">190g raw chicken breast, cut into strips</t>
  </si>
  <si>
    <t xml:space="preserve">70g dry basmati rice</t>
  </si>
  <si>
    <t xml:space="preserve">~21g honey (1 tbsp)</t>
  </si>
  <si>
    <t xml:space="preserve">3 garlic cloves, minced</t>
  </si>
  <si>
    <t xml:space="preserve">~10g lime juice (2 tsp)</t>
  </si>
  <si>
    <t xml:space="preserve">~1g ground cumin (½ tsp)</t>
  </si>
  <si>
    <t xml:space="preserve">~1g chilli powder (½ tsp)</t>
  </si>
  <si>
    <t xml:space="preserve">~1g paprika (½ tsp)</t>
  </si>
  <si>
    <t xml:space="preserve">~1g cornflour mixed with 2 tsp water (½ tsp)</t>
  </si>
  <si>
    <t xml:space="preserve">~4g olive oil (1 tsp)</t>
  </si>
  <si>
    <t xml:space="preserve">100g broccoli florets</t>
  </si>
  <si>
    <t xml:space="preserve">~3g fresh coriander, chopped (1 tbsp)</t>
  </si>
  <si>
    <t xml:space="preserve">~3g sesame seeds (1 tsp)</t>
  </si>
  <si>
    <t xml:space="preserve">210g skinless, boneless chicken thighs</t>
  </si>
  <si>
    <t xml:space="preserve">60g dry long-grain rice</t>
  </si>
  <si>
    <t xml:space="preserve">100g garden peas</t>
  </si>
  <si>
    <t xml:space="preserve">¼ red pepper, diced</t>
  </si>
  <si>
    <t xml:space="preserve">~5g smoked paprika (2 tsp)</t>
  </si>
  <si>
    <t xml:space="preserve">~1g dried oregano (1 tsp)</t>
  </si>
  <si>
    <t xml:space="preserve">30g onion, diced</t>
  </si>
  <si>
    <t xml:space="preserve">~1g smoked paprika (½ tsp)</t>
  </si>
  <si>
    <t xml:space="preserve">200ml low-salt chicken stock</t>
  </si>
  <si>
    <t xml:space="preserve">125g raw chicken breast, diced</t>
  </si>
  <si>
    <t xml:space="preserve">215g fresh potato gnocchi</t>
  </si>
  <si>
    <t xml:space="preserve">~10g lemon juice (2 tsp)</t>
  </si>
  <si>
    <t xml:space="preserve">~2g lemon zest (1 tsp)</t>
  </si>
  <si>
    <t xml:space="preserve">~3g garlic powder (1 tsp)</t>
  </si>
  <si>
    <t xml:space="preserve">~6g minced garlic (2 tsp)</t>
  </si>
  <si>
    <t xml:space="preserve">80g cherry tomatoes, halved</t>
  </si>
  <si>
    <t xml:space="preserve">60g baby spinach</t>
  </si>
  <si>
    <t xml:space="preserve">~20g lemon juice (4 tsp)</t>
  </si>
  <si>
    <t xml:space="preserve">~15g low-salt chicken stock (1 tbsp)</t>
  </si>
  <si>
    <t xml:space="preserve">40g low-fat Greek yoghurt</t>
  </si>
  <si>
    <t xml:space="preserve">20g Parmesan, grated</t>
  </si>
  <si>
    <t xml:space="preserve">~4g fresh parsley, chopped (1 tbsp)</t>
  </si>
  <si>
    <t xml:space="preserve">~3g fresh basil, chopped (1 tbsp)</t>
  </si>
  <si>
    <t xml:space="preserve">Lemon slices, to garnish</t>
  </si>
  <si>
    <t xml:space="preserve">190g raw chicken breast, sliced</t>
  </si>
  <si>
    <t xml:space="preserve">70g dry jasmine rice</t>
  </si>
  <si>
    <t xml:space="preserve">1 stalk lemongrass, finely minced</t>
  </si>
  <si>
    <t xml:space="preserve">~4g brown sugar (1 tsp)</t>
  </si>
  <si>
    <t xml:space="preserve">~5g lime juice (1 tsp)</t>
  </si>
  <si>
    <t xml:space="preserve">~11g vegetable oil (2½ tsp)</t>
  </si>
  <si>
    <t xml:space="preserve">70g carrot, finely sliced</t>
  </si>
  <si>
    <t xml:space="preserve">50g cucumber, chopped</t>
  </si>
  <si>
    <t xml:space="preserve">40g lettuce, shredded</t>
  </si>
  <si>
    <t xml:space="preserve">~10g fresh mint and coriander, chopped. (1 handful)</t>
  </si>
  <si>
    <t xml:space="preserve">~15g water (1 tbsp)</t>
  </si>
  <si>
    <t xml:space="preserve">~3g garlic, minced (1 tsp)</t>
  </si>
  <si>
    <t xml:space="preserve">1 Thai chilli, finely sliced (optional)</t>
  </si>
  <si>
    <t xml:space="preserve">160g raw chicken breast, butterflied</t>
  </si>
  <si>
    <t xml:space="preserve">1 brioche burger bun (~70g)</t>
  </si>
  <si>
    <t xml:space="preserve">220g sweet potato, cut into fries</t>
  </si>
  <si>
    <t xml:space="preserve">45g avocado, mashed</t>
  </si>
  <si>
    <t xml:space="preserve">40g mixed leaves</t>
  </si>
  <si>
    <t xml:space="preserve">½ medium tomato, sliced</t>
  </si>
  <si>
    <t xml:space="preserve">30g red onion, sliced</t>
  </si>
  <si>
    <t xml:space="preserve">15g sliced pickles</t>
  </si>
  <si>
    <t xml:space="preserve">30g 0% Greek yoghurt</t>
  </si>
  <si>
    <t xml:space="preserve">~9g light mayonnaise (2 tsp)</t>
  </si>
  <si>
    <t xml:space="preserve">~5g Dijon mustard (1 tsp)</t>
  </si>
  <si>
    <t xml:space="preserve">~2g garlic powder (½ tsp)</t>
  </si>
  <si>
    <t xml:space="preserve">110g dried fusilli pasta</t>
  </si>
  <si>
    <t xml:space="preserve">80g raw chicken breast, diced</t>
  </si>
  <si>
    <t xml:space="preserve">Salt, black pepper &amp; mixed herbs</t>
  </si>
  <si>
    <t xml:space="preserve">60g broccoli florets</t>
  </si>
  <si>
    <t xml:space="preserve">50g cherry tomatoes, halved</t>
  </si>
  <si>
    <t xml:space="preserve">40g red pepper, diced</t>
  </si>
  <si>
    <t xml:space="preserve">40g baby spinach</t>
  </si>
  <si>
    <t xml:space="preserve">40g 0% Fat Greek yoghurt</t>
  </si>
  <si>
    <t xml:space="preserve">15g Parmesan, grated</t>
  </si>
  <si>
    <t xml:space="preserve">~5g lemon juice (1 tsp)</t>
  </si>
  <si>
    <t xml:space="preserve">~3g fresh basil and parsley, chopped (1 tbsp)</t>
  </si>
  <si>
    <t xml:space="preserve">~15g reserved pasta water (1 tbsp)</t>
  </si>
  <si>
    <t xml:space="preserve">~122g 0% Fat Greek Yoghurt (1/2 Cup)</t>
  </si>
  <si>
    <t xml:space="preserve">~15g Lemon Juice (1 Tbsp)</t>
  </si>
  <si>
    <t xml:space="preserve">~4g Fresh Parsley (1 Tbsp)</t>
  </si>
  <si>
    <t xml:space="preserve">~3g Garlic Powder (1 Tsp)</t>
  </si>
  <si>
    <t xml:space="preserve">~2g Onion Powder (1 Tsp)</t>
  </si>
  <si>
    <t xml:space="preserve">~5g Dijon Mustard (1 Tsp)</t>
  </si>
  <si>
    <t xml:space="preserve">Salt &amp; Pepper to Taste</t>
  </si>
  <si>
    <t xml:space="preserve">Water as Required for Texture</t>
  </si>
  <si>
    <t xml:space="preserve">~61g 0% Greek Yoghurt (1/4 Cup)</t>
  </si>
  <si>
    <t xml:space="preserve">~15g Dijon Mustard (1 Tbsp)</t>
  </si>
  <si>
    <t xml:space="preserve">~7g Hone (1 Tsp)</t>
  </si>
  <si>
    <t xml:space="preserve">~15g Lime Juice (1 Tbsp)</t>
  </si>
  <si>
    <t xml:space="preserve">1 Garlic Clove</t>
  </si>
  <si>
    <t xml:space="preserve">Water as Needed</t>
  </si>
  <si>
    <t xml:space="preserve">35g Porridge Oats</t>
  </si>
  <si>
    <t xml:space="preserve">25g Vanilla Whey Protein Powder</t>
  </si>
  <si>
    <t xml:space="preserve">60g Banana, sliced</t>
  </si>
  <si>
    <t xml:space="preserve">80g Mixed Berries (strawberries, blueberries, raspberries)</t>
  </si>
  <si>
    <t xml:space="preserve">1 Tsp Honey</t>
  </si>
  <si>
    <t xml:space="preserve">150g 0% Fat Greek Yoghurt (for soaking)</t>
  </si>
  <si>
    <t xml:space="preserve">1 Small Apple, grated (approx 80g)</t>
  </si>
  <si>
    <t xml:space="preserve">Squeeze of Lemon Juice</t>
  </si>
  <si>
    <t xml:space="preserve">50g 0% Fat Greek Yoghurt (for topping)</t>
  </si>
  <si>
    <t xml:space="preserve">40g Fresh Mango, diced or pureed</t>
  </si>
  <si>
    <t xml:space="preserve">8g Flaked Almonds</t>
  </si>
  <si>
    <t xml:space="preserve">2 Red Peppers</t>
  </si>
  <si>
    <t xml:space="preserve">400g Tin Chopped Tomatoes</t>
  </si>
  <si>
    <t xml:space="preserve">1/2 Red Onion</t>
  </si>
  <si>
    <t xml:space="preserve">2 Cloves Garlic</t>
  </si>
  <si>
    <t xml:space="preserve">300ml Vegetable Stock</t>
  </si>
  <si>
    <t xml:space="preserve">30g Dried Red Lentils</t>
  </si>
  <si>
    <t xml:space="preserve">1 Tsp Olive Oil</t>
  </si>
  <si>
    <t xml:space="preserve">Handful Fresh Basil</t>
  </si>
  <si>
    <t xml:space="preserve">2 Slices Wholegrain Bread</t>
  </si>
  <si>
    <t xml:space="preserve">40g Reduced-Fat Mature Cheddar</t>
  </si>
  <si>
    <t xml:space="preserve">120g Chicken Breast</t>
  </si>
  <si>
    <t xml:space="preserve">600ml Chicken Stock</t>
  </si>
  <si>
    <t xml:space="preserve">80g Sweetcorn</t>
  </si>
  <si>
    <t xml:space="preserve">50g Medium Egg Noodles (dry weight)</t>
  </si>
  <si>
    <t xml:space="preserve">2 Spring Onions</t>
  </si>
  <si>
    <t xml:space="preserve">1 Clove Garlic</t>
  </si>
  <si>
    <t xml:space="preserve">1cm Fresh Ginger</t>
  </si>
  <si>
    <t xml:space="preserve">1 Tsp Light Soy Sauce</t>
  </si>
  <si>
    <t xml:space="preserve">Pinch White Pepper</t>
  </si>
  <si>
    <t xml:space="preserve">250g Frozen Peas</t>
  </si>
  <si>
    <t xml:space="preserve">500ml Vegetable Stock</t>
  </si>
  <si>
    <t xml:space="preserve">1 Shallot</t>
  </si>
  <si>
    <t xml:space="preserve">Handful Fresh Mint</t>
  </si>
  <si>
    <t xml:space="preserve">2 Tbsp 0% Fat Greek Yoghurt</t>
  </si>
  <si>
    <t xml:space="preserve">300g Cauliflower Florets</t>
  </si>
  <si>
    <t xml:space="preserve">1.5 Tbsp White Miso Paste</t>
  </si>
  <si>
    <t xml:space="preserve">100g Silken Tofu</t>
  </si>
  <si>
    <t xml:space="preserve">1 Spring Onion</t>
  </si>
  <si>
    <t xml:space="preserve">400g Carrots</t>
  </si>
  <si>
    <t xml:space="preserve">1/2 Tsp Ground Cumin</t>
  </si>
  <si>
    <t xml:space="preserve">60g Halloumi Cheese</t>
  </si>
  <si>
    <t xml:space="preserve">150g Raw King Prawns</t>
  </si>
  <si>
    <t xml:space="preserve">6 Wonton Wrappers</t>
  </si>
  <si>
    <t xml:space="preserve">1/2 Tsp Sesame Oil</t>
  </si>
  <si>
    <t xml:space="preserve">600ml Fish or Chicken Stock</t>
  </si>
  <si>
    <t xml:space="preserve">100g Pak Choi</t>
  </si>
  <si>
    <t xml:space="preserve">130g Lean Beef Sirloin Strips</t>
  </si>
  <si>
    <t xml:space="preserve">1 Tsp Cornflour</t>
  </si>
  <si>
    <t xml:space="preserve">60g Medium Egg Noodles (dry weight)</t>
  </si>
  <si>
    <t xml:space="preserve">600ml Beef Stock</t>
  </si>
  <si>
    <t xml:space="preserve">50g Beansprouts</t>
  </si>
  <si>
    <t xml:space="preserve">50g Pak Choi</t>
  </si>
  <si>
    <t xml:space="preserve">1 Tsp Sesame Oil</t>
  </si>
  <si>
    <t xml:space="preserve">1 Tsp Sesame Seeds</t>
  </si>
  <si>
    <t xml:space="preserve">1/2 Red Chilli</t>
  </si>
  <si>
    <t xml:space="preserve">150g Lean Turkey Mince (5% Fat)</t>
  </si>
  <si>
    <t xml:space="preserve">1 Tbsp Fresh Breadcrumbs</t>
  </si>
  <si>
    <t xml:space="preserve">30g Dried Orzo Pasta</t>
  </si>
  <si>
    <t xml:space="preserve">80g White Fish Fillet (e.g. Cod or Hake)</t>
  </si>
  <si>
    <t xml:space="preserve">100g Mussels (in shell, cleaned)</t>
  </si>
  <si>
    <t xml:space="preserve">1/2 Fennel Bulb</t>
  </si>
  <si>
    <t xml:space="preserve">400ml Fish Stock</t>
  </si>
  <si>
    <t xml:space="preserve">Pinch Saffron</t>
  </si>
  <si>
    <t xml:space="preserve">Strip Orange Zest</t>
  </si>
  <si>
    <t xml:space="preserve">1 Slice Baguette</t>
  </si>
  <si>
    <t xml:space="preserve">130g Chicken Breast (butterflied)</t>
  </si>
  <si>
    <t xml:space="preserve">25g Panko Breadcrumbs</t>
  </si>
  <si>
    <t xml:space="preserve">1 Tbsp Plain Flour</t>
  </si>
  <si>
    <t xml:space="preserve">1 Egg White, beaten</t>
  </si>
  <si>
    <t xml:space="preserve">1 Wholemeal Tortilla Wrap</t>
  </si>
  <si>
    <t xml:space="preserve">3 Tbsp 0% Fat Greek Yoghurt</t>
  </si>
  <si>
    <t xml:space="preserve">1 Tsp Dijon Mustard</t>
  </si>
  <si>
    <t xml:space="preserve">1 Tsp Lemon Juice</t>
  </si>
  <si>
    <t xml:space="preserve">1/2 Clove Garlic, crushed</t>
  </si>
  <si>
    <t xml:space="preserve">10g Parmesan, finely grated</t>
  </si>
  <si>
    <t xml:space="preserve">40g Little Gem Lettuce, shredded</t>
  </si>
  <si>
    <t xml:space="preserve">1 Spray Cooking Oil</t>
  </si>
  <si>
    <t xml:space="preserve">150g Chicken Breast</t>
  </si>
  <si>
    <t xml:space="preserve">2 Tbsp Reduced-Sugar BBQ Sauce</t>
  </si>
  <si>
    <t xml:space="preserve">1 Wholemeal Roll</t>
  </si>
  <si>
    <t xml:space="preserve">60g White Cabbage, finely shredded</t>
  </si>
  <si>
    <t xml:space="preserve">30g Carrot, grated</t>
  </si>
  <si>
    <t xml:space="preserve">1/4 Red Onion, thinly sliced</t>
  </si>
  <si>
    <t xml:space="preserve">1.5 Tbsp 0% Fat Greek Yoghurt</t>
  </si>
  <si>
    <t xml:space="preserve">1 Tsp Cider Vinegar</t>
  </si>
  <si>
    <t xml:space="preserve">130g Chicken Breast</t>
  </si>
  <si>
    <t xml:space="preserve">1/2 Tsp Smoked Paprika</t>
  </si>
  <si>
    <t xml:space="preserve">1/2 Tsp Ground Coriander</t>
  </si>
  <si>
    <t xml:space="preserve">1 Large Wholemeal Tortilla Wrap</t>
  </si>
  <si>
    <t xml:space="preserve">40g Basmati Rice (dry weight), cooked</t>
  </si>
  <si>
    <t xml:space="preserve">60g Black Beans, drained and rinsed</t>
  </si>
  <si>
    <t xml:space="preserve">40g Tomato, diced</t>
  </si>
  <si>
    <t xml:space="preserve">1/4 Red Onion, diced</t>
  </si>
  <si>
    <t xml:space="preserve">Handful Fresh Coriander, chopped</t>
  </si>
  <si>
    <t xml:space="preserve">1/2 Lime, juiced</t>
  </si>
  <si>
    <t xml:space="preserve">15g Reduced-Fat Cheddar, grated</t>
  </si>
  <si>
    <t xml:space="preserve">20g Little Gem Lettuce, shredded</t>
  </si>
  <si>
    <t xml:space="preserve">140g Chicken Breast</t>
  </si>
  <si>
    <t xml:space="preserve">2 Tbsp 0% Fat Greek Yoghurt (for marinade)</t>
  </si>
  <si>
    <t xml:space="preserve">1 Tbsp Tandoori Spice</t>
  </si>
  <si>
    <t xml:space="preserve">1/2 Lemon, juiced</t>
  </si>
  <si>
    <t xml:space="preserve">1 Wholemeal Pitta</t>
  </si>
  <si>
    <t xml:space="preserve">1 Tbsp Low-Sugar Mango Chutney</t>
  </si>
  <si>
    <t xml:space="preserve">3 Tbsp 0% Fat Greek Yoghurt (for raita)</t>
  </si>
  <si>
    <t xml:space="preserve">40g Cucumber, finely diced</t>
  </si>
  <si>
    <t xml:space="preserve">1 Tsp Fresh Mint, chopped</t>
  </si>
  <si>
    <t xml:space="preserve">130g Lean Sirloin Steak, thinly sliced</t>
  </si>
  <si>
    <t xml:space="preserve">1/2 Green Pepper, sliced</t>
  </si>
  <si>
    <t xml:space="preserve">1/2 White Onion, sliced</t>
  </si>
  <si>
    <t xml:space="preserve">60g Thin Wholemeal Baguette (half a baguette)</t>
  </si>
  <si>
    <t xml:space="preserve">30g Reduced-Fat Cheddar, grated</t>
  </si>
  <si>
    <t xml:space="preserve">130g Lean Beef Mince (5% fat) or Turkey Mince</t>
  </si>
  <si>
    <t xml:space="preserve">1 Tsp Dried Oregano</t>
  </si>
  <si>
    <t xml:space="preserve">120g Chopped Tomatoes</t>
  </si>
  <si>
    <t xml:space="preserve">1/2 Clove Garlic, crushed (for sauce)</t>
  </si>
  <si>
    <t xml:space="preserve">Few Fresh Basil Leaves</t>
  </si>
  <si>
    <t xml:space="preserve">1/2 Croissant</t>
  </si>
  <si>
    <t xml:space="preserve">1/2 Light Bread Roll</t>
  </si>
  <si>
    <t xml:space="preserve">15g Mozzarella</t>
  </si>
  <si>
    <t xml:space="preserve">1 Can Tuna in Spring Water (120g drained), drained</t>
  </si>
  <si>
    <t xml:space="preserve">1 Spring Onion, finely sliced</t>
  </si>
  <si>
    <t xml:space="preserve">20g Sweetcorn</t>
  </si>
  <si>
    <t xml:space="preserve">25g Reduced-Fat Cheddar, grated</t>
  </si>
  <si>
    <t xml:space="preserve">130g White Fish Fillet (cod or haddock), cut into strips</t>
  </si>
  <si>
    <t xml:space="preserve">1 Soft Wholemeal Roll</t>
  </si>
  <si>
    <t xml:space="preserve">1 Tsp Chopped Gherkin</t>
  </si>
  <si>
    <t xml:space="preserve">1 Tsp Capers</t>
  </si>
  <si>
    <t xml:space="preserve">30g Hummus</t>
  </si>
  <si>
    <t xml:space="preserve">40g Cucumber, sliced</t>
  </si>
  <si>
    <t xml:space="preserve">40g Tomato, sliced</t>
  </si>
  <si>
    <t xml:space="preserve">10g Feta, crumbled</t>
  </si>
  <si>
    <t xml:space="preserve">1 Tbsp Reduced-Salt Soy Sauce</t>
  </si>
  <si>
    <t xml:space="preserve">1 Tsp Rice Vinegar</t>
  </si>
  <si>
    <t xml:space="preserve">1/2 Tsp Runny Honey</t>
  </si>
  <si>
    <t xml:space="preserve">1/2 Tsp Fresh Ginger, grated</t>
  </si>
  <si>
    <t xml:space="preserve">50g Cucumber, ribboned</t>
  </si>
  <si>
    <t xml:space="preserve">1 Tsp Ground Cumin</t>
  </si>
  <si>
    <t xml:space="preserve">1 Tsp Smoked Paprika</t>
  </si>
  <si>
    <t xml:space="preserve">1/2 Tsp Ground Turmeric</t>
  </si>
  <si>
    <t xml:space="preserve">1 Wholemeal Flatbread</t>
  </si>
  <si>
    <t xml:space="preserve">30g Red Cabbage, finely shredded</t>
  </si>
  <si>
    <t xml:space="preserve">20g Tomato, diced</t>
  </si>
  <si>
    <t xml:space="preserve">1 Tbsp Peri-Peri Marinade</t>
  </si>
  <si>
    <t xml:space="preserve">30g Halloumi Cheese, sliced</t>
  </si>
  <si>
    <t xml:space="preserve">20g Rocket</t>
  </si>
  <si>
    <t xml:space="preserve">1/4 Red Pepper, roasted and sliced</t>
  </si>
  <si>
    <t xml:space="preserve">1 Soft Milk Bun</t>
  </si>
  <si>
    <t xml:space="preserve">50g White Cabbage, finely shredded</t>
  </si>
  <si>
    <t xml:space="preserve">2 Slices Pickled Gherkin</t>
  </si>
  <si>
    <t xml:space="preserve">130g Fresh Tuna Steak</t>
  </si>
  <si>
    <t xml:space="preserve">1/2 Tsp Olive Oil</t>
  </si>
  <si>
    <t xml:space="preserve">2 Small Corn Tortillas</t>
  </si>
  <si>
    <t xml:space="preserve">1/4 Red Onion, finely diced</t>
  </si>
  <si>
    <t xml:space="preserve">1/4 Avocado, sliced</t>
  </si>
  <si>
    <t xml:space="preserve">30g Shredded Cabbage</t>
  </si>
  <si>
    <t xml:space="preserve">160g Raw King Prawns, peeled</t>
  </si>
  <si>
    <t xml:space="preserve">2 Small Soft Corn Tacos</t>
  </si>
  <si>
    <t xml:space="preserve">1 Tbsp 0% Fat Greek Yoghurt</t>
  </si>
  <si>
    <t xml:space="preserve">100g Romaine Lettuce</t>
  </si>
  <si>
    <t xml:space="preserve">15g Wholemeal Bread (cubed, for croutons)</t>
  </si>
  <si>
    <t xml:space="preserve">10g Parmesan (shaved)</t>
  </si>
  <si>
    <t xml:space="preserve">1/2 Tsp Dijon Mustard</t>
  </si>
  <si>
    <t xml:space="preserve">1 Anchovy Fillet</t>
  </si>
  <si>
    <t xml:space="preserve">1/2 Clove Garlic (crushed)</t>
  </si>
  <si>
    <t xml:space="preserve">1 Tsp Parmesan (grated, for dressing)</t>
  </si>
  <si>
    <t xml:space="preserve">60g Pasta (dry weight)</t>
  </si>
  <si>
    <t xml:space="preserve">50g Romaine Lettuce (shredded)</t>
  </si>
  <si>
    <t xml:space="preserve">8g Parmesan (shaved)</t>
  </si>
  <si>
    <t xml:space="preserve">6 Cherry Tomatoes (halved)</t>
  </si>
  <si>
    <t xml:space="preserve">130g Chicken Breast (sliced)</t>
  </si>
  <si>
    <t xml:space="preserve">1 Tsp Fajita Spice</t>
  </si>
  <si>
    <t xml:space="preserve">1/2 Red Pepper (sliced)</t>
  </si>
  <si>
    <t xml:space="preserve">1/2 Green Pepper (sliced)</t>
  </si>
  <si>
    <t xml:space="preserve">1/2 Red Onion (sliced)</t>
  </si>
  <si>
    <t xml:space="preserve">25g Baked Tortilla Chips</t>
  </si>
  <si>
    <t xml:space="preserve">50g Mixed Salad Leaves</t>
  </si>
  <si>
    <t xml:space="preserve">6 Cherry Tomatoes (chopped)</t>
  </si>
  <si>
    <t xml:space="preserve">1 Tbsp Fresh Coriander (chopped)</t>
  </si>
  <si>
    <t xml:space="preserve">80g White Crab Meat</t>
  </si>
  <si>
    <t xml:space="preserve">80g Cooked King Prawns</t>
  </si>
  <si>
    <t xml:space="preserve">50g New Potatoes (boiled, diced)</t>
  </si>
  <si>
    <t xml:space="preserve">1/4 Avocado (sliced)</t>
  </si>
  <si>
    <t xml:space="preserve">60g Mixed Salad Leaves</t>
  </si>
  <si>
    <t xml:space="preserve">5cm Cucumber (sliced)</t>
  </si>
  <si>
    <t xml:space="preserve">1/2 Lime (juiced)</t>
  </si>
  <si>
    <t xml:space="preserve">1 Tbsp Fresh Chives (chopped)</t>
  </si>
  <si>
    <t xml:space="preserve">150g Ribeye Steak (trimmed of visible fat)</t>
  </si>
  <si>
    <t xml:space="preserve">25g Wholemeal Bread (cubed, for croutons)</t>
  </si>
  <si>
    <t xml:space="preserve">1/4 Red Onion (thinly sliced)</t>
  </si>
  <si>
    <t xml:space="preserve">15g Fresh Parsley (finely chopped)</t>
  </si>
  <si>
    <t xml:space="preserve">1 Clove Garlic (crushed)</t>
  </si>
  <si>
    <t xml:space="preserve">1 Tbsp Red Wine Vinegar</t>
  </si>
  <si>
    <t xml:space="preserve">1/4 Tsp Chilli Flakes</t>
  </si>
  <si>
    <t xml:space="preserve">1/2 Tsp Dried Oregano</t>
  </si>
  <si>
    <t xml:space="preserve">150g Beef Cheek, trimmed of fat</t>
  </si>
  <si>
    <t xml:space="preserve">250g Fresh Gnocchi</t>
  </si>
  <si>
    <t xml:space="preserve">200g Chopped Tomatoes (tinned)</t>
  </si>
  <si>
    <t xml:space="preserve">50ml Red Wine</t>
  </si>
  <si>
    <t xml:space="preserve">100ml Beef Stock</t>
  </si>
  <si>
    <t xml:space="preserve">1/2 Onion, finely diced</t>
  </si>
  <si>
    <t xml:space="preserve">1 Carrot, finely diced</t>
  </si>
  <si>
    <t xml:space="preserve">1 Celery Stick, finely diced</t>
  </si>
  <si>
    <t xml:space="preserve">1 Garlic Clove, crushed</t>
  </si>
  <si>
    <t xml:space="preserve">1 Bay Leaf</t>
  </si>
  <si>
    <t xml:space="preserve">10g Parmesan, grated</t>
  </si>
  <si>
    <t xml:space="preserve">150g Lean Turkey Mince (5% fat)</t>
  </si>
  <si>
    <t xml:space="preserve">15g Fresh Breadcrumbs</t>
  </si>
  <si>
    <t xml:space="preserve">1 Tbsp Skimmed Milk</t>
  </si>
  <si>
    <t xml:space="preserve">1/2 Garlic Clove, crushed</t>
  </si>
  <si>
    <t xml:space="preserve">Handful Fresh Basil, chopped</t>
  </si>
  <si>
    <t xml:space="preserve">75g Spaghetti (dry weight)</t>
  </si>
  <si>
    <t xml:space="preserve">200g Tomato Passata</t>
  </si>
  <si>
    <t xml:space="preserve">Fresh Basil Leaves, to serve</t>
  </si>
  <si>
    <t xml:space="preserve">75g Linguine (dry weight)</t>
  </si>
  <si>
    <t xml:space="preserve">300g Mussels, cleaned and debearded</t>
  </si>
  <si>
    <t xml:space="preserve">100g Raw King Prawns, peeled</t>
  </si>
  <si>
    <t xml:space="preserve">100ml White Wine</t>
  </si>
  <si>
    <t xml:space="preserve">150g Chopped Tomatoes (tinned)</t>
  </si>
  <si>
    <t xml:space="preserve">Handful Fresh Parsley, chopped</t>
  </si>
  <si>
    <t xml:space="preserve">1 Tbsp Jerk Seasoning</t>
  </si>
  <si>
    <t xml:space="preserve">75g Fusilli (dry weight)</t>
  </si>
  <si>
    <t xml:space="preserve">100ml Reduced-Fat Coconut Milk</t>
  </si>
  <si>
    <t xml:space="preserve">100ml Chicken Stock</t>
  </si>
  <si>
    <t xml:space="preserve">1/4 Red Pepper, sliced</t>
  </si>
  <si>
    <t xml:space="preserve">1/4 Yellow Pepper, sliced</t>
  </si>
  <si>
    <t xml:space="preserve">1/4 Green Pepper, sliced</t>
  </si>
  <si>
    <t xml:space="preserve">1/2 Onion, sliced</t>
  </si>
  <si>
    <t xml:space="preserve">1 Spring Onion, sliced</t>
  </si>
  <si>
    <t xml:space="preserve">150g Chicken Breast, butterflied</t>
  </si>
  <si>
    <t xml:space="preserve">20g Panko Breadcrumbs</t>
  </si>
  <si>
    <t xml:space="preserve">1 Egg White</t>
  </si>
  <si>
    <t xml:space="preserve">75g Linguine</t>
  </si>
  <si>
    <t xml:space="preserve">20g Nduja Sausage</t>
  </si>
  <si>
    <t xml:space="preserve">100g Mixed Seafood (squid, mussels)</t>
  </si>
  <si>
    <t xml:space="preserve">50ml White Wine</t>
  </si>
  <si>
    <t xml:space="preserve">150g Lamb Neck Fillet, trimmed of fat</t>
  </si>
  <si>
    <t xml:space="preserve">75g Dry Pappardelle (pasta)</t>
  </si>
  <si>
    <t xml:space="preserve">100ml Lamb or Beef Stock</t>
  </si>
  <si>
    <t xml:space="preserve">1 Sprig Rosemary</t>
  </si>
  <si>
    <t xml:space="preserve">150g Raw King Prawns, peeled</t>
  </si>
  <si>
    <t xml:space="preserve">100ml Red Wine</t>
  </si>
  <si>
    <t xml:space="preserve">Pinch Chilli Flakes (optional)</t>
  </si>
  <si>
    <t xml:space="preserve">120g Lean Beef Mince (5% fat)</t>
  </si>
  <si>
    <t xml:space="preserve">50ml Beef Stock</t>
  </si>
  <si>
    <t xml:space="preserve">1/2 Courgette, diced</t>
  </si>
  <si>
    <t xml:space="preserve">4 Sheets Dried Lasagne (approx 50g)</t>
  </si>
  <si>
    <t xml:space="preserve">200ml Skimmed Milk</t>
  </si>
  <si>
    <t xml:space="preserve">10g Butter</t>
  </si>
  <si>
    <t xml:space="preserve">10g Plain Flour</t>
  </si>
  <si>
    <t xml:space="preserve">15g Mature Cheddar, grated</t>
  </si>
  <si>
    <t xml:space="preserve">2 Tbsp Peri Peri Marinade</t>
  </si>
  <si>
    <t xml:space="preserve">75g Penne (dry weight)</t>
  </si>
  <si>
    <t xml:space="preserve">1/2 Red Pepper, diced</t>
  </si>
  <si>
    <t xml:space="preserve">Pinch Chilli Flakes (to taste)</t>
  </si>
  <si>
    <t xml:space="preserve">130g Salmon Fillet</t>
  </si>
  <si>
    <t xml:space="preserve">75g Tagliatelle (dry weight)</t>
  </si>
  <si>
    <t xml:space="preserve">15g Fresh Pesto</t>
  </si>
  <si>
    <t xml:space="preserve">Handful Cherry Tomatoes, halved</t>
  </si>
  <si>
    <t xml:space="preserve">Squeeze Lemon Juice</t>
  </si>
  <si>
    <t xml:space="preserve">75g Macaroni (dry weight)</t>
  </si>
  <si>
    <t xml:space="preserve">60g Cooked Lobster Meat</t>
  </si>
  <si>
    <t xml:space="preserve">80g Raw King Prawns, peeled</t>
  </si>
  <si>
    <t xml:space="preserve">25g Mature Cheddar, grated</t>
  </si>
  <si>
    <t xml:space="preserve">5g Parmesan, grated</t>
  </si>
  <si>
    <t xml:space="preserve">1 Tsp Dijon Mustard (optional)</t>
  </si>
  <si>
    <t xml:space="preserve">100g White Crab Meat</t>
  </si>
  <si>
    <t xml:space="preserve">Pinch Chilli Flakes</t>
  </si>
  <si>
    <t xml:space="preserve">1/2 Red Chilli, finely diced (optional)</t>
  </si>
  <si>
    <t xml:space="preserve">70g Orzo (dry weight)</t>
  </si>
  <si>
    <t xml:space="preserve">1 Egg Yolk</t>
  </si>
  <si>
    <t xml:space="preserve">Black Pepper (generous, to taste)</t>
  </si>
  <si>
    <t xml:space="preserve">2 Onions, thinly sliced</t>
  </si>
  <si>
    <t xml:space="preserve">100ml Vegetable or Chicken Stock</t>
  </si>
  <si>
    <t xml:space="preserve">1 Tsp Balsamic Vinegar</t>
  </si>
  <si>
    <t xml:space="preserve">Handful Fresh Thyme</t>
  </si>
  <si>
    <t xml:space="preserve">50g Spinach</t>
  </si>
  <si>
    <t xml:space="preserve">30g Low-Fat Crème Fraîche</t>
  </si>
  <si>
    <t xml:space="preserve">1 Sundried Tomato, chopped (optional)</t>
  </si>
  <si>
    <t xml:space="preserve">150g Chicken Breast, diced</t>
  </si>
  <si>
    <t xml:space="preserve">150ml Chicken Stock</t>
  </si>
  <si>
    <t xml:space="preserve">100g Chopped Tomatoes (tinned)</t>
  </si>
  <si>
    <t xml:space="preserve">15g Sundried Tomatoes, chopped</t>
  </si>
  <si>
    <t xml:space="preserve">100ml Skimmed Milk</t>
  </si>
  <si>
    <t xml:space="preserve">1 Large Wholemeal Tortilla Wrap (70g)</t>
  </si>
  <si>
    <t xml:space="preserve">100g Chicken Breast, diced</t>
  </si>
  <si>
    <t xml:space="preserve">40g Fage Total 0% Greek Yoghurt</t>
  </si>
  <si>
    <t xml:space="preserve">1 tsp Tandoori Spice Mix</t>
  </si>
  <si>
    <t xml:space="preserve">1/2 tsp Smoked Paprika</t>
  </si>
  <si>
    <t xml:space="preserve">40g Passata</t>
  </si>
  <si>
    <t xml:space="preserve">20g Red Onion, thinly sliced</t>
  </si>
  <si>
    <t xml:space="preserve">15g Mango Chutney</t>
  </si>
  <si>
    <t xml:space="preserve">25g Reduced-Fat Mozzarella, grated</t>
  </si>
  <si>
    <t xml:space="preserve">Fresh Coriander, chopped</t>
  </si>
  <si>
    <t xml:space="preserve">1 Lemon Wedge, to serve</t>
  </si>
  <si>
    <t xml:space="preserve">90g Lamb Leg Steak, all visible fat trimmed, thinly sliced</t>
  </si>
  <si>
    <t xml:space="preserve">1/2 tsp Chinese Five Spice</t>
  </si>
  <si>
    <t xml:space="preserve">25g Hoisin Sauce</t>
  </si>
  <si>
    <t xml:space="preserve">30g Cucumber, ribboned</t>
  </si>
  <si>
    <t xml:space="preserve">15g Spring Onion, sliced</t>
  </si>
  <si>
    <t xml:space="preserve">5g Sesame Seeds</t>
  </si>
  <si>
    <t xml:space="preserve">80g Lean Beef Mince (5% fat)</t>
  </si>
  <si>
    <t xml:space="preserve">10g Wholemeal Breadcrumbs</t>
  </si>
  <si>
    <t xml:space="preserve">1 tbsp Egg White</t>
  </si>
  <si>
    <t xml:space="preserve">1/2 tsp Dried Oregano</t>
  </si>
  <si>
    <t xml:space="preserve">100g Passata</t>
  </si>
  <si>
    <t xml:space="preserve">Fresh Basil, torn</t>
  </si>
  <si>
    <t xml:space="preserve">60g Passata</t>
  </si>
  <si>
    <t xml:space="preserve">1 Red Chilli, finely chopped</t>
  </si>
  <si>
    <t xml:space="preserve">40g Sweetcorn</t>
  </si>
  <si>
    <t xml:space="preserve">1 tsp Chilli Oil</t>
  </si>
  <si>
    <t xml:space="preserve">1/2 Lime, zest and juice</t>
  </si>
  <si>
    <t xml:space="preserve">1/4 Red Onion, finely sliced</t>
  </si>
  <si>
    <t xml:space="preserve">70g Cooked Chicken Breast, shredded (or lean cooked Beef Brisket)</t>
  </si>
  <si>
    <t xml:space="preserve">50g Reduced-Sugar BBQ Sauce</t>
  </si>
  <si>
    <t xml:space="preserve">30g Sweetcorn</t>
  </si>
  <si>
    <t xml:space="preserve">1/2 Jalapeño, sliced</t>
  </si>
  <si>
    <t xml:space="preserve">80g Lean Lamb Mince (10% fat)</t>
  </si>
  <si>
    <t xml:space="preserve">1 tsp Garam Masala</t>
  </si>
  <si>
    <t xml:space="preserve">1/2 tsp Ground Cumin</t>
  </si>
  <si>
    <t xml:space="preserve">1/2 tsp Turmeric</t>
  </si>
  <si>
    <t xml:space="preserve">1cm piece Ginger, grated</t>
  </si>
  <si>
    <t xml:space="preserve">30g Onion, finely diced</t>
  </si>
  <si>
    <t xml:space="preserve">25g Frozen Peas</t>
  </si>
  <si>
    <t xml:space="preserve">20g Potato, finely diced and par-cooked</t>
  </si>
  <si>
    <t xml:space="preserve">15g Reduced-Fat Mozzarella, grated</t>
  </si>
  <si>
    <t xml:space="preserve">100g Lean Beef Mince (5% Fat)</t>
  </si>
  <si>
    <t xml:space="preserve">1 Burger Bun</t>
  </si>
  <si>
    <t xml:space="preserve">30g Reduced-Fat Cheddar, sliced</t>
  </si>
  <si>
    <t xml:space="preserve">20g Tomato Relish</t>
  </si>
  <si>
    <t xml:space="preserve">2 Little Gem Lettuce leaves</t>
  </si>
  <si>
    <t xml:space="preserve">2 slices Beef Tomato</t>
  </si>
  <si>
    <t xml:space="preserve">2 slices Red Onion</t>
  </si>
  <si>
    <t xml:space="preserve">Salt and black pepper, to season</t>
  </si>
  <si>
    <t xml:space="preserve">120g Raw King Prawns, peeled and deveined</t>
  </si>
  <si>
    <t xml:space="preserve">15g Panko Breadcrumbs</t>
  </si>
  <si>
    <t xml:space="preserve">1 tsp Cajun Seasoning</t>
  </si>
  <si>
    <t xml:space="preserve">Low-calorie cooking spray</t>
  </si>
  <si>
    <t xml:space="preserve">80g Coleslaw Mix (white cabbage, carrot, red onion)</t>
  </si>
  <si>
    <t xml:space="preserve">20g Light Mayonnaise</t>
  </si>
  <si>
    <t xml:space="preserve">1 Lime wedge</t>
  </si>
  <si>
    <t xml:space="preserve">90g Chicken Breast, butterflied and flattened</t>
  </si>
  <si>
    <t xml:space="preserve">1 Egg, beaten</t>
  </si>
  <si>
    <t xml:space="preserve">20g Light Mozzarella, sliced</t>
  </si>
  <si>
    <t xml:space="preserve">10g Basil Pesto</t>
  </si>
  <si>
    <t xml:space="preserve">Handful Rocket Leaves</t>
  </si>
  <si>
    <t xml:space="preserve">90g Chicken Breast, flattened</t>
  </si>
  <si>
    <t xml:space="preserve">15g Cornflake Crumb (or Panko), mixed with paprika and cayenne pepper</t>
  </si>
  <si>
    <t xml:space="preserve">20g Light Mayonnaise, mixed with a dash of hot sauce</t>
  </si>
  <si>
    <t xml:space="preserve">Little Gem Lettuce, shredded</t>
  </si>
  <si>
    <t xml:space="preserve">150g Beef Cheek, trimmed of visible fat</t>
  </si>
  <si>
    <t xml:space="preserve">20g Reduced-Sugar BBQ Sauce</t>
  </si>
  <si>
    <t xml:space="preserve">10g Light Mayonnaise</t>
  </si>
  <si>
    <t xml:space="preserve">Sliced Pickles</t>
  </si>
  <si>
    <t xml:space="preserve">Shredded Lettuce</t>
  </si>
  <si>
    <t xml:space="preserve">90g Chicken Breast</t>
  </si>
  <si>
    <t xml:space="preserve">25g Buffalo Hot Sauce</t>
  </si>
  <si>
    <t xml:space="preserve">25g Fage Total 0% Greek Yoghurt</t>
  </si>
  <si>
    <t xml:space="preserve">15g Light Mayonnaise</t>
  </si>
  <si>
    <t xml:space="preserve">1/2 tsp each Garlic Powder, Chopped Chives and Dill (for the ranch)</t>
  </si>
  <si>
    <t xml:space="preserve">Little Gem Lettuce</t>
  </si>
  <si>
    <t xml:space="preserve">70g Lean Beef Mince (5% Fat), for the patty</t>
  </si>
  <si>
    <t xml:space="preserve">35g Lean Beef Mince (5% Fat), for the chilli</t>
  </si>
  <si>
    <t xml:space="preserve">30g Kidney Beans (canned, drained)</t>
  </si>
  <si>
    <t xml:space="preserve">30g Chopped Tomatoes</t>
  </si>
  <si>
    <t xml:space="preserve">20g Onion, finely diced</t>
  </si>
  <si>
    <t xml:space="preserve">1/2 tsp each Chilli Powder, Cumin and Smoked Paprika</t>
  </si>
  <si>
    <t xml:space="preserve">130g Raw King Prawns, peeled and deveined</t>
  </si>
  <si>
    <t xml:space="preserve">30g Fage Total 0% Greek Yoghurt (for marinade)</t>
  </si>
  <si>
    <t xml:space="preserve">1 tsp Tandoori Masala Spice Mix</t>
  </si>
  <si>
    <t xml:space="preserve">1.5 tsp Rapeseed Oil</t>
  </si>
  <si>
    <t xml:space="preserve">40g Onion, finely diced</t>
  </si>
  <si>
    <t xml:space="preserve">2 cloves Garlic, crushed</t>
  </si>
  <si>
    <t xml:space="preserve">1cm Fresh Ginger, grated</t>
  </si>
  <si>
    <t xml:space="preserve">100g Tinned Chopped Tomatoes</t>
  </si>
  <si>
    <t xml:space="preserve">1 tsp Ground Cumin</t>
  </si>
  <si>
    <t xml:space="preserve">1/2 tsp Ground Turmeric</t>
  </si>
  <si>
    <t xml:space="preserve">1/2 tsp Chilli Powder</t>
  </si>
  <si>
    <t xml:space="preserve">20g Fage Total 0% Greek Yoghurt (stirred through at the end)</t>
  </si>
  <si>
    <t xml:space="preserve">35g Basmati Rice (dry weight)</t>
  </si>
  <si>
    <t xml:space="preserve">Fresh Coriander, to garnish</t>
  </si>
  <si>
    <t xml:space="preserve">1/4 Lemon, to serve</t>
  </si>
  <si>
    <t xml:space="preserve">100g Lean Lamb Leg, diced (visible fat trimmed)</t>
  </si>
  <si>
    <t xml:space="preserve">200g Frozen Spinach, thawed (or fresh spinach, wilted)</t>
  </si>
  <si>
    <t xml:space="preserve">40g Onion, finely chopped</t>
  </si>
  <si>
    <t xml:space="preserve">1 tsp Rapeseed Oil (ghee replacement)</t>
  </si>
  <si>
    <t xml:space="preserve">1 tsp Ground Coriander</t>
  </si>
  <si>
    <t xml:space="preserve">1/2 tsp Garam Masala</t>
  </si>
  <si>
    <t xml:space="preserve">1/4 tsp Ground Turmeric</t>
  </si>
  <si>
    <t xml:space="preserve">Pinch Chilli Powder</t>
  </si>
  <si>
    <t xml:space="preserve">30g Fage Total 0% Greek Yoghurt</t>
  </si>
  <si>
    <t xml:space="preserve">30g Basmati Rice (dry weight)</t>
  </si>
  <si>
    <t xml:space="preserve">Fresh Coriander, to serve</t>
  </si>
  <si>
    <t xml:space="preserve">120g Chicken Breast, butterflied or cubed for skewers</t>
  </si>
  <si>
    <t xml:space="preserve">50g Fage Total 0% Greek Yoghurt (marinade)</t>
  </si>
  <si>
    <t xml:space="preserve">1 tbsp Tandoori Spice Mix</t>
  </si>
  <si>
    <t xml:space="preserve">1 clove Garlic, crushed</t>
  </si>
  <si>
    <t xml:space="preserve">1 tsp Rapeseed Oil (for basting/grilling)</t>
  </si>
  <si>
    <t xml:space="preserve">50g Cucumber, sliced</t>
  </si>
  <si>
    <t xml:space="preserve">30g Fage Total 0% Greek Yoghurt (for raita)</t>
  </si>
  <si>
    <t xml:space="preserve">Pinch Fresh Mint, chopped</t>
  </si>
  <si>
    <t xml:space="preserve">180g Monkfish Tail, cubed (or substitute firm white fish)</t>
  </si>
  <si>
    <t xml:space="preserve">120ml Light Coconut Milk</t>
  </si>
  <si>
    <t xml:space="preserve">1.5 tbsp Thai Green Curry Paste</t>
  </si>
  <si>
    <t xml:space="preserve">1 tsp Fish Sauce</t>
  </si>
  <si>
    <t xml:space="preserve">50g Green Beans, trimmed and halved</t>
  </si>
  <si>
    <t xml:space="preserve">50g Red Pepper, sliced</t>
  </si>
  <si>
    <t xml:space="preserve">30g Bamboo Shoots (tinned, drained)</t>
  </si>
  <si>
    <t xml:space="preserve">1 Kaffir Lime Leaf (or zest of 1/4 Lime)</t>
  </si>
  <si>
    <t xml:space="preserve">Handful of Thai Basil</t>
  </si>
  <si>
    <t xml:space="preserve">25g Basmati or Jasmine Rice (dry weight)</t>
  </si>
  <si>
    <t xml:space="preserve">1/4 Lime, to serve</t>
  </si>
  <si>
    <t xml:space="preserve">160g Cod Fillet, skinned and cubed</t>
  </si>
  <si>
    <t xml:space="preserve">1.5 tbsp Thai Red Curry Paste</t>
  </si>
  <si>
    <t xml:space="preserve">50g Mangetout</t>
  </si>
  <si>
    <t xml:space="preserve">30g Red Pepper, sliced</t>
  </si>
  <si>
    <t xml:space="preserve">1 Kaffir Lime Leaf (optional)</t>
  </si>
  <si>
    <t xml:space="preserve">Handful of Fresh Coriander</t>
  </si>
  <si>
    <t xml:space="preserve">25g Jasmine Rice (dry weight)</t>
  </si>
  <si>
    <t xml:space="preserve">140g Chicken Thighs, skinless and boneless</t>
  </si>
  <si>
    <t xml:space="preserve">2 tbsp Light Soy Sauce</t>
  </si>
  <si>
    <t xml:space="preserve">1 tsp Honey</t>
  </si>
  <si>
    <t xml:space="preserve">100ml Chicken Stock (low salt)</t>
  </si>
  <si>
    <t xml:space="preserve">1 Star Anise (optional)</t>
  </si>
  <si>
    <t xml:space="preserve">1 tsp Sesame Oil</t>
  </si>
  <si>
    <t xml:space="preserve">1 tsp Sesame Seeds</t>
  </si>
  <si>
    <t xml:space="preserve">120g Lean Chicken Breast Mince</t>
  </si>
  <si>
    <t xml:space="preserve">15g Wholemeal Breadcrumbs</t>
  </si>
  <si>
    <t xml:space="preserve">1 tbsp Egg White (or 1/4 Egg, beaten)</t>
  </si>
  <si>
    <t xml:space="preserve">1.5 tbsp Thai Yellow Curry Paste</t>
  </si>
  <si>
    <t xml:space="preserve">40g Carrot, julienned or diced</t>
  </si>
  <si>
    <t xml:space="preserve">30g Frozen Peas</t>
  </si>
  <si>
    <t xml:space="preserve">Handful Fresh Coriander</t>
  </si>
  <si>
    <t xml:space="preserve">20g Jasmine Rice (dry weight)</t>
  </si>
  <si>
    <t xml:space="preserve">140g Lamb Loin Chops, well-trimmed of visible fat (bone-in weight)</t>
  </si>
  <si>
    <t xml:space="preserve">1/4 tsp Chilli Powder</t>
  </si>
  <si>
    <t xml:space="preserve">Pinch Salt</t>
  </si>
  <si>
    <t xml:space="preserve">150g Cauliflower, cut into small florets</t>
  </si>
  <si>
    <t xml:space="preserve">100g Potato, peeled and cubed</t>
  </si>
  <si>
    <t xml:space="preserve">20g Onion, finely sliced</t>
  </si>
  <si>
    <t xml:space="preserve">20g Frozen Peas</t>
  </si>
  <si>
    <t xml:space="preserve">1 tsp Rapeseed Oil (or oil spray)</t>
  </si>
  <si>
    <t xml:space="preserve">1/2 tsp Cumin Seeds</t>
  </si>
  <si>
    <t xml:space="preserve">1/2 tsp Mustard Seeds</t>
  </si>
  <si>
    <t xml:space="preserve">110g Lean Lamb Leg, diced (fat trimmed)</t>
  </si>
  <si>
    <t xml:space="preserve">30g Fage Total 0% Greek Yoghurt (marinade)</t>
  </si>
  <si>
    <t xml:space="preserve">1 tsp Biryani Spice Mix (or Garam Masala)</t>
  </si>
  <si>
    <t xml:space="preserve">55g Basmati Rice (dry weight)</t>
  </si>
  <si>
    <t xml:space="preserve">1.5 tsp Rapeseed Oil (ghee alternative)</t>
  </si>
  <si>
    <t xml:space="preserve">40g Onion, thinly sliced</t>
  </si>
  <si>
    <t xml:space="preserve">10g Raisins</t>
  </si>
  <si>
    <t xml:space="preserve">2 Green Cardamom Pods</t>
  </si>
  <si>
    <t xml:space="preserve">1 Cinnamon Stick</t>
  </si>
  <si>
    <t xml:space="preserve">2 Cloves (whole spice)</t>
  </si>
  <si>
    <t xml:space="preserve">Pinch Saffron strands soaked in 1 tbsp warm water (or turmeric for colour)</t>
  </si>
  <si>
    <t xml:space="preserve">Fresh Coriander and Mint, chopped, to layer and garnish</t>
  </si>
  <si>
    <t xml:space="preserve">110g Lean Minced Lamb (5% fat)</t>
  </si>
  <si>
    <t xml:space="preserve">80g Tomato, finely chopped (or tinned chopped tomatoes)</t>
  </si>
  <si>
    <t xml:space="preserve">1 Soft Bread Roll (Pau/Bun), approx. 75g, halved</t>
  </si>
  <si>
    <t xml:space="preserve">110g Lean Lamb Leg or Shoulder, diced (fat trimmed)</t>
  </si>
  <si>
    <t xml:space="preserve">1.5 tbsp Massaman Curry Paste</t>
  </si>
  <si>
    <t xml:space="preserve">130g Potato, peeled and cubed</t>
  </si>
  <si>
    <t xml:space="preserve">30g Onion, sliced</t>
  </si>
  <si>
    <t xml:space="preserve">5g Crushed Roasted Peanuts</t>
  </si>
  <si>
    <t xml:space="preserve">5g Palm Sugar (or Light Brown Sugar)</t>
  </si>
  <si>
    <t xml:space="preserve">1 tsp Tamarind Paste</t>
  </si>
  <si>
    <t xml:space="preserve">1 Bay Leaf or Cinnamon Stick (optional)</t>
  </si>
  <si>
    <t xml:space="preserve">130g Lean Beef Strips (rump or sirloin, trimmed)</t>
  </si>
  <si>
    <t xml:space="preserve">15g Cornflour</t>
  </si>
  <si>
    <t xml:space="preserve">2 tbsp Reduced-Sugar Sweet Chilli Sauce</t>
  </si>
  <si>
    <t xml:space="preserve">1 Red Chilli, finely sliced</t>
  </si>
  <si>
    <t xml:space="preserve">1 Garlic Clove, minced</t>
  </si>
  <si>
    <t xml:space="preserve">1cm Ginger, grated</t>
  </si>
  <si>
    <t xml:space="preserve">2 Spring Onions, sliced</t>
  </si>
  <si>
    <t xml:space="preserve">30g Jasmine Rice (dry weight)</t>
  </si>
  <si>
    <t xml:space="preserve">70g Duck Breast, skin removed and trimmed of fat</t>
  </si>
  <si>
    <t xml:space="preserve">55g Jasmine Rice (dry weight), cooked and cooled</t>
  </si>
  <si>
    <t xml:space="preserve">50g Frozen Peas &amp; Sweetcorn Mix</t>
  </si>
  <si>
    <t xml:space="preserve">1 tbsp Light Soy Sauce</t>
  </si>
  <si>
    <t xml:space="preserve">100g Lamb Breast, trimmed of visible fat, thinly sliced</t>
  </si>
  <si>
    <t xml:space="preserve">4 Chinese Pancakes (approx. 70g total)</t>
  </si>
  <si>
    <t xml:space="preserve">2 tbsp Reduced-Sugar Hoisin Sauce</t>
  </si>
  <si>
    <t xml:space="preserve">1/4 Cucumber, cut into matchsticks</t>
  </si>
  <si>
    <t xml:space="preserve">2 Spring Onions, shredded</t>
  </si>
  <si>
    <t xml:space="preserve">170g King Prawns, raw and peeled</t>
  </si>
  <si>
    <t xml:space="preserve">1/2 Red Pepper, chopped</t>
  </si>
  <si>
    <t xml:space="preserve">1/4 Onion, chopped</t>
  </si>
  <si>
    <t xml:space="preserve">80g Pineapple Chunks in Juice</t>
  </si>
  <si>
    <t xml:space="preserve">1 tbsp Tomato Ketchup</t>
  </si>
  <si>
    <t xml:space="preserve">1 tsp Light Brown Sugar</t>
  </si>
  <si>
    <t xml:space="preserve">1 tsp Cornflour</t>
  </si>
  <si>
    <t xml:space="preserve">1 tbsp Rice Wine Vinegar</t>
  </si>
  <si>
    <t xml:space="preserve">1 1/2 tsp Vegetable Oil</t>
  </si>
  <si>
    <t xml:space="preserve">120g Beef Cheek, trimmed of visible fat</t>
  </si>
  <si>
    <t xml:space="preserve">65g Udon Noodles (dry weight)</t>
  </si>
  <si>
    <t xml:space="preserve">300ml Low-Sodium Beef Stock</t>
  </si>
  <si>
    <t xml:space="preserve">1 tsp Mirin</t>
  </si>
  <si>
    <t xml:space="preserve">50g Pak Choi, halved</t>
  </si>
  <si>
    <t xml:space="preserve">1cm Ginger, sliced</t>
  </si>
  <si>
    <t xml:space="preserve">85g Beef Short Rib</t>
  </si>
  <si>
    <t xml:space="preserve">2 Steamed Bao Buns (approx. 80g total)</t>
  </si>
  <si>
    <t xml:space="preserve">2 1/2 tbsp Reduced-Sugar Hoisin Sauce</t>
  </si>
  <si>
    <t xml:space="preserve">1 Spring Onion, shredded</t>
  </si>
  <si>
    <t xml:space="preserve">130g Lean Lamb Leg Steak, trimmed and cut into strips</t>
  </si>
  <si>
    <t xml:space="preserve">1/2 tsp Vegetable Oil</t>
  </si>
  <si>
    <t xml:space="preserve">1/2 Red Pepper, sliced</t>
  </si>
  <si>
    <t xml:space="preserve">1/4 Onion, sliced</t>
  </si>
  <si>
    <t xml:space="preserve">40g Mangetout</t>
  </si>
  <si>
    <t xml:space="preserve">1/2 tsp Szechuan Peppercorns, crushed</t>
  </si>
  <si>
    <t xml:space="preserve">1 Red Chilli, sliced</t>
  </si>
  <si>
    <t xml:space="preserve">1 Slice White Bread (30g), crusts removed</t>
  </si>
  <si>
    <t xml:space="preserve">25g Raw Prawns, peeled</t>
  </si>
  <si>
    <t xml:space="preserve">1 1/2 tsp Sesame Seeds</t>
  </si>
  <si>
    <t xml:space="preserve">1/2 tsp Sesame Oil</t>
  </si>
  <si>
    <t xml:space="preserve">1 Spring Onion, finely chopped</t>
  </si>
  <si>
    <t xml:space="preserve">1/2 tsp Ginger, grated</t>
  </si>
  <si>
    <t xml:space="preserve">120g Chicken Breast, cut into bite-size pieces</t>
  </si>
  <si>
    <t xml:space="preserve">22g Jasmine Rice (dry weight)</t>
  </si>
  <si>
    <t xml:space="preserve">10g Cornflour, for coating</t>
  </si>
  <si>
    <t xml:space="preserve">1 tsp Cornflour, mixed with water, for the glaze</t>
  </si>
  <si>
    <t xml:space="preserve">1 tbsp Honey</t>
  </si>
  <si>
    <t xml:space="preserve">150g Monkfish Tail (skin removed, cubed)</t>
  </si>
  <si>
    <t xml:space="preserve">100g Mixed Peppers (red &amp; yellow), sliced</t>
  </si>
  <si>
    <t xml:space="preserve">50g Red Onion, sliced</t>
  </si>
  <si>
    <t xml:space="preserve">2 Corn Tortillas (small, approx. 30g each)</t>
  </si>
  <si>
    <t xml:space="preserve">1 tsp Olive Oil</t>
  </si>
  <si>
    <t xml:space="preserve">1 tsp Fajita Spice Mix (cumin, smoked paprika, chilli powder, garlic powder)</t>
  </si>
  <si>
    <t xml:space="preserve">1/4 Lime</t>
  </si>
  <si>
    <t xml:space="preserve">120g Lean Beef Brisket or Shin, trimmed of visible fat, cubed</t>
  </si>
  <si>
    <t xml:space="preserve">1/2 Onion, chopped</t>
  </si>
  <si>
    <t xml:space="preserve">2 Garlic Cloves, crushed</t>
  </si>
  <si>
    <t xml:space="preserve">2 Dried Ancho or Guajillo Chillies, rehydrated and blended (or 1 tbsp Chipotle Paste)</t>
  </si>
  <si>
    <t xml:space="preserve">200ml Beef Stock</t>
  </si>
  <si>
    <t xml:space="preserve">1 Corn Tortilla, to serve</t>
  </si>
  <si>
    <t xml:space="preserve">100g Lean Beef Shin, trimmed of visible fat, diced</t>
  </si>
  <si>
    <t xml:space="preserve">1/2 Onion, diced</t>
  </si>
  <si>
    <t xml:space="preserve">150g Black Beans (tinned, drained weight) or mixed black/kidney beans</t>
  </si>
  <si>
    <t xml:space="preserve">150g Tinned Chopped Tomatoes</t>
  </si>
  <si>
    <t xml:space="preserve">1 tsp Smoked Paprika</t>
  </si>
  <si>
    <t xml:space="preserve">120g Lean Beef Brisket or Chuck, trimmed of visible fat, cubed</t>
  </si>
  <si>
    <t xml:space="preserve">2 tsp Chipotle Paste (chipotle in adobo)</t>
  </si>
  <si>
    <t xml:space="preserve">Juice of 1/2 Orange</t>
  </si>
  <si>
    <t xml:space="preserve">2 Corn Tortillas, to serve</t>
  </si>
  <si>
    <t xml:space="preserve">2 Corn Tortillas (approx. 65g total), cut into triangles</t>
  </si>
  <si>
    <t xml:space="preserve">Cooking Oil Spray</t>
  </si>
  <si>
    <t xml:space="preserve">60g Lean Beef Mince (5% fat) or Chicken Breast, cooked and seasoned</t>
  </si>
  <si>
    <t xml:space="preserve">1 tsp Taco Seasoning (cumin, paprika, garlic powder, chilli powder)</t>
  </si>
  <si>
    <t xml:space="preserve">40g Black Beans (tinned, drained weight)</t>
  </si>
  <si>
    <t xml:space="preserve">20g Reduced-Fat Cheddar, grated</t>
  </si>
  <si>
    <t xml:space="preserve">40g Fresh Tomato Salsa</t>
  </si>
  <si>
    <t xml:space="preserve">1/4 Jalapeño, sliced</t>
  </si>
  <si>
    <t xml:space="preserve">1 Chicken Breast (approx. 100g), skin removed, butterflied/flattened</t>
  </si>
  <si>
    <t xml:space="preserve">Juice of 1/2 Lemon</t>
  </si>
  <si>
    <t xml:space="preserve">1/2 tsp Chilli Flakes</t>
  </si>
  <si>
    <t xml:space="preserve">100g Sweetcorn Kernels (or 1 Corn on the Cob)</t>
  </si>
  <si>
    <t xml:space="preserve">100g Mixed Salad Leaves, Tomato and Cucumber</t>
  </si>
  <si>
    <t xml:space="preserve">1/4 Avocado</t>
  </si>
  <si>
    <t xml:space="preserve">130g Chicken Breast (skinless)</t>
  </si>
  <si>
    <t xml:space="preserve">40g Long Grain Rice (dry weight)</t>
  </si>
  <si>
    <t xml:space="preserve">20g Kidney Beans (canned, drained)</t>
  </si>
  <si>
    <t xml:space="preserve">30ml Light Coconut Milk</t>
  </si>
  <si>
    <t xml:space="preserve">1 tsp Rapeseed Oil</t>
  </si>
  <si>
    <t xml:space="preserve">1/2 Scotch Bonnet Chilli, deseeded</t>
  </si>
  <si>
    <t xml:space="preserve">1 clove Garlic</t>
  </si>
  <si>
    <t xml:space="preserve">1 tsp Fresh Ginger, grated</t>
  </si>
  <si>
    <t xml:space="preserve">1/2 tsp Ground Allspice</t>
  </si>
  <si>
    <t xml:space="preserve">1/2 tsp Dried Thyme</t>
  </si>
  <si>
    <t xml:space="preserve">130g Lean Beef Rump Steak (trimmed), cubed</t>
  </si>
  <si>
    <t xml:space="preserve">140g Sweet Potato, cut into wedges</t>
  </si>
  <si>
    <t xml:space="preserve">10g Ground Roasted Peanuts</t>
  </si>
  <si>
    <t xml:space="preserve">1/2 tsp Paprika</t>
  </si>
  <si>
    <t xml:space="preserve">1/2 tsp Cayenne Pepper</t>
  </si>
  <si>
    <t xml:space="preserve">1/2 tsp Ground Ginger</t>
  </si>
  <si>
    <t xml:space="preserve">1/2 tsp Garlic Powder</t>
  </si>
  <si>
    <t xml:space="preserve">1/4 tsp Stock Powder/Bouillon</t>
  </si>
  <si>
    <t xml:space="preserve">1/4 Onion, cut into wedges</t>
  </si>
  <si>
    <t xml:space="preserve">130g Goat Meat (diced, bone-in, excess fat trimmed)</t>
  </si>
  <si>
    <t xml:space="preserve">65g Yam (or White Potato), peeled and cubed</t>
  </si>
  <si>
    <t xml:space="preserve">400ml Chicken or Vegetable Stock (low salt)</t>
  </si>
  <si>
    <t xml:space="preserve">1/2 Scotch Bonnet Chilli</t>
  </si>
  <si>
    <t xml:space="preserve">1/2 tsp Ground Calabash Nutmeg (or Nutmeg)</t>
  </si>
  <si>
    <t xml:space="preserve">1/4 tsp Ground Uda (or Cayenne Pepper)</t>
  </si>
  <si>
    <t xml:space="preserve">Handful Scent Leaf or Basil, to serve</t>
  </si>
  <si>
    <t xml:space="preserve">1/2 Lime, to serve</t>
  </si>
  <si>
    <t xml:space="preserve">115g Chicken Breast (skinless)</t>
  </si>
  <si>
    <t xml:space="preserve">55g Long Grain Rice (dry weight)</t>
  </si>
  <si>
    <t xml:space="preserve">80g Tomato Passata (or Chopped Tomatoes)</t>
  </si>
  <si>
    <t xml:space="preserve">1/4 Onion, finely diced</t>
  </si>
  <si>
    <t xml:space="preserve">1/4 Scotch Bonnet Chilli</t>
  </si>
  <si>
    <t xml:space="preserve">1/4 Chicken Stock Cube</t>
  </si>
  <si>
    <t xml:space="preserve">150g King Prawns (raw, peeled)</t>
  </si>
  <si>
    <t xml:space="preserve">50g Basmati Rice (dry weight)</t>
  </si>
  <si>
    <t xml:space="preserve">95ml Light Coconut Milk</t>
  </si>
  <si>
    <t xml:space="preserve">1 tsp Curry Powder</t>
  </si>
  <si>
    <t xml:space="preserve">135g Goat Meat (leg, trimmed of visible fat), diced</t>
  </si>
  <si>
    <t xml:space="preserve">45g Long Grain Rice (dry weight)</t>
  </si>
  <si>
    <t xml:space="preserve">55ml Light Coconut Milk</t>
  </si>
  <si>
    <t xml:space="preserve">50g Salt Fish (dried salted cod), soaked and flaked</t>
  </si>
  <si>
    <t xml:space="preserve">20g Self-Raising Flour</t>
  </si>
  <si>
    <t xml:space="preserve">1/4 Egg, beaten</t>
  </si>
  <si>
    <t xml:space="preserve">1/4 tsp Dried Thyme</t>
  </si>
  <si>
    <t xml:space="preserve">1/4 Scotch Bonnet Chilli, finely chopped</t>
  </si>
  <si>
    <t xml:space="preserve">1/2 tsp Rapeseed Oil (for baking spray)</t>
  </si>
  <si>
    <t xml:space="preserve">20g Mango, finely diced (or Pineapple)</t>
  </si>
  <si>
    <t xml:space="preserve">1/2 Scotch Bonnet Chilli, deseeded and finely chopped</t>
  </si>
  <si>
    <t xml:space="preserve">5g Fresh Ginger, grated</t>
  </si>
  <si>
    <t xml:space="preserve">1 tsp Soft Brown Sugar</t>
  </si>
  <si>
    <t xml:space="preserve">1 tbsp Cider Vinegar</t>
  </si>
  <si>
    <t xml:space="preserve">Juice of 1/4 Lime</t>
  </si>
  <si>
    <t xml:space="preserve">Pinch of Salt</t>
  </si>
  <si>
    <t xml:space="preserve">115g Chicken Breast (skinless), butterflied/flattened</t>
  </si>
  <si>
    <t xml:space="preserve">25g Plain Flour</t>
  </si>
  <si>
    <t xml:space="preserve">1 tsp Rapeseed Oil (for baking spray)</t>
  </si>
  <si>
    <t xml:space="preserve">1/4 tsp Ground Allspice</t>
  </si>
  <si>
    <t xml:space="preserve">1/4 tsp Garlic Powder</t>
  </si>
  <si>
    <t xml:space="preserve">1/4 tsp Onion Powder</t>
  </si>
  <si>
    <t xml:space="preserve">Pinch of Cayenne Pepper</t>
  </si>
  <si>
    <t xml:space="preserve">100g Chicken Breast, cubed</t>
  </si>
  <si>
    <t xml:space="preserve">1 1/2 tsp Olive Oil</t>
  </si>
  <si>
    <t xml:space="preserve">1/2 Lemon (juiced)</t>
  </si>
  <si>
    <t xml:space="preserve">1 Pitta Bread</t>
  </si>
  <si>
    <t xml:space="preserve">50g Cucumber (30g grated for tzatziki, 20g sliced for salad)</t>
  </si>
  <si>
    <t xml:space="preserve">1 tsp Fresh Dill, chopped</t>
  </si>
  <si>
    <t xml:space="preserve">40g Cherry Tomatoes, halved</t>
  </si>
  <si>
    <t xml:space="preserve">20g Red Onion, sliced</t>
  </si>
  <si>
    <t xml:space="preserve">100g Lamb Leg Steak, thinly sliced</t>
  </si>
  <si>
    <t xml:space="preserve">1 Greek Flatbread</t>
  </si>
  <si>
    <t xml:space="preserve">50g Fage Total 0% Greek Yoghurt</t>
  </si>
  <si>
    <t xml:space="preserve">20g Cucumber, grated</t>
  </si>
  <si>
    <t xml:space="preserve">1 tsp Fresh Mint or Dill, chopped</t>
  </si>
  <si>
    <t xml:space="preserve">20g Tomato, sliced</t>
  </si>
  <si>
    <t xml:space="preserve">120g Lamb Shoulder, lean-trimmed, cubed</t>
  </si>
  <si>
    <t xml:space="preserve">200g Potatoes, peeled and cut into chunks</t>
  </si>
  <si>
    <t xml:space="preserve">30g Tomato, chopped</t>
  </si>
  <si>
    <t xml:space="preserve">1/2 Lemon (juice and zest)</t>
  </si>
  <si>
    <t xml:space="preserve">60g Raw King Prawns, peeled</t>
  </si>
  <si>
    <t xml:space="preserve">35g Mussels, cooked (meat only)</t>
  </si>
  <si>
    <t xml:space="preserve">55g Orzo Pasta (dry weight)</t>
  </si>
  <si>
    <t xml:space="preserve">25g Onion, finely diced</t>
  </si>
  <si>
    <t xml:space="preserve">1 tbsp Fresh Parsley, chopped</t>
  </si>
  <si>
    <t xml:space="preserve">1/4 Lemon (juice)</t>
  </si>
  <si>
    <t xml:space="preserve">50ml Fish or Vegetable Stock</t>
  </si>
  <si>
    <t xml:space="preserve">140g Lamb Shoulder, lean-trimmed</t>
  </si>
  <si>
    <t xml:space="preserve">100g Potato, peeled</t>
  </si>
  <si>
    <t xml:space="preserve">1 tbsp Semi-Skimmed Milk (for the mash)</t>
  </si>
  <si>
    <t xml:space="preserve">80g Carrot, cut into batons</t>
  </si>
  <si>
    <t xml:space="preserve">1 sprig Rosemary</t>
  </si>
  <si>
    <t xml:space="preserve">50ml Red Wine (optional, for the jus)</t>
  </si>
  <si>
    <t xml:space="preserve">1 large Baking Potato (220g)</t>
  </si>
  <si>
    <t xml:space="preserve">50g Chicken Breast, cooked and shredded</t>
  </si>
  <si>
    <t xml:space="preserve">20g Mature Cheddar, grated</t>
  </si>
  <si>
    <t xml:space="preserve">1 tsp Chives, chopped</t>
  </si>
  <si>
    <t xml:space="preserve">Black Pepper, to season</t>
  </si>
  <si>
    <t xml:space="preserve">70g Frozen Peas</t>
  </si>
  <si>
    <t xml:space="preserve">5g Toasted Pumpkin Seeds</t>
  </si>
  <si>
    <t xml:space="preserve">Small handful Fresh Mint, finely chopped</t>
  </si>
  <si>
    <t xml:space="preserve">50ml Vegetable Stock</t>
  </si>
  <si>
    <t xml:space="preserve">Black Pepper, to taste</t>
  </si>
  <si>
    <t xml:space="preserve">150g Tenderstem Broccoli</t>
  </si>
  <si>
    <t xml:space="preserve">4g Flaked Almonds, toasted</t>
  </si>
  <si>
    <t xml:space="preserve">1/4 Lemon, zest and juice</t>
  </si>
  <si>
    <t xml:space="preserve">Sea Salt, to taste</t>
  </si>
  <si>
    <t xml:space="preserve">120g Green Beans, trimmed</t>
  </si>
  <si>
    <t xml:space="preserve">8g Parmesan, finely shaved</t>
  </si>
  <si>
    <t xml:space="preserve">Pinch of Sea Salt</t>
  </si>
  <si>
    <t xml:space="preserve">200g Cauliflower, cut into florets</t>
  </si>
  <si>
    <t xml:space="preserve">10g Cornflour</t>
  </si>
  <si>
    <t xml:space="preserve">Low-calorie Olive Oil Spray</t>
  </si>
  <si>
    <t xml:space="preserve">20g Fage Total 0% Greek Yoghurt</t>
  </si>
  <si>
    <t xml:space="preserve">1 Tsp Sriracha (or hot sauce)</t>
  </si>
  <si>
    <t xml:space="preserve">1/4 Tsp Smoked Paprika</t>
  </si>
  <si>
    <t xml:space="preserve">1/4 Tsp Garlic Powder</t>
  </si>
  <si>
    <t xml:space="preserve">1 Spring Onion, sliced, to garnish</t>
  </si>
  <si>
    <t xml:space="preserve">150g Tomatoes, finely diced</t>
  </si>
  <si>
    <t xml:space="preserve">20g Red Onion, finely diced</t>
  </si>
  <si>
    <t xml:space="preserve">1/4 Lime, juice</t>
  </si>
  <si>
    <t xml:space="preserve">Small handful Fresh Coriander, chopped</t>
  </si>
  <si>
    <t xml:space="preserve">120g Potato, peeled and cubed</t>
  </si>
  <si>
    <t xml:space="preserve">1 Tsp Vegetable Oil</t>
  </si>
  <si>
    <t xml:space="preserve">1/2 Tsp Mustard Seeds</t>
  </si>
  <si>
    <t xml:space="preserve">1/2 Tsp Cumin Seeds</t>
  </si>
  <si>
    <t xml:space="preserve">1/4 Tsp Turmeric</t>
  </si>
  <si>
    <t xml:space="preserve">1/4 Tsp Chilli Powder</t>
  </si>
  <si>
    <t xml:space="preserve">Few Curry Leaves</t>
  </si>
  <si>
    <t xml:space="preserve">200g Spinach, fresh</t>
  </si>
  <si>
    <t xml:space="preserve">1/4 Onion, finely chopped</t>
  </si>
  <si>
    <t xml:space="preserve">1/2 Tsp Garam Masala</t>
  </si>
  <si>
    <t xml:space="preserve">Pinch of Chilli Powder</t>
  </si>
  <si>
    <t xml:space="preserve">1 Tbsp Fage Total 0% Greek Yoghurt</t>
  </si>
  <si>
    <t xml:space="preserve">150g Carrots, halved lengthways</t>
  </si>
  <si>
    <t xml:space="preserve">Few Thyme Sprigs</t>
  </si>
  <si>
    <t xml:space="preserve">Sea Salt and Black Pepper</t>
  </si>
  <si>
    <t xml:space="preserve">140g Baby Potatoes</t>
  </si>
  <si>
    <t xml:space="preserve">Few Rosemary Sprigs</t>
  </si>
  <si>
    <t xml:space="preserve">90g Potato, peeled and chopped</t>
  </si>
  <si>
    <t xml:space="preserve">50g Carrot, peeled and chopped</t>
  </si>
  <si>
    <t xml:space="preserve">20ml Skimmed Milk</t>
  </si>
  <si>
    <t xml:space="preserve">Pinch of White Pepper</t>
  </si>
  <si>
    <t xml:space="preserve">Chives, chopped, to garnish</t>
  </si>
  <si>
    <t xml:space="preserve">50g Chickpeas, cooked and drained</t>
  </si>
  <si>
    <t xml:space="preserve">10g Tahini</t>
  </si>
  <si>
    <t xml:space="preserve">1/4 Lemon, juice</t>
  </si>
  <si>
    <t xml:space="preserve">1/4 Tsp Ground Cumin</t>
  </si>
  <si>
    <t xml:space="preserve">Splash of Cold Water, to loosen</t>
  </si>
  <si>
    <t xml:space="preserve">1 Corn on the Cob (approx. 125g kernels)</t>
  </si>
  <si>
    <t xml:space="preserve">30g Cucumber, sliced</t>
  </si>
  <si>
    <t xml:space="preserve">1/4 Tsp Olive Oil</t>
  </si>
  <si>
    <t xml:space="preserve">65g Avocado (approx. 1/2 medium)</t>
  </si>
  <si>
    <t xml:space="preserve">20g Tomato, deseeded and finely diced</t>
  </si>
  <si>
    <t xml:space="preserve">10g Red Onion, finely diced</t>
  </si>
  <si>
    <t xml:space="preserve">250g Chicken Breast Mini Fillets</t>
  </si>
  <si>
    <t xml:space="preserve">1 cup Oats (~90g)</t>
  </si>
  <si>
    <t xml:space="preserve">1 tbsp Milk, Semi-Skimmed</t>
  </si>
  <si>
    <t xml:space="preserve">2 tsp Paprika/Cajun/Fajita Spice</t>
  </si>
  <si>
    <t xml:space="preserve">1 tbsp Olive Oil</t>
  </si>
  <si>
    <t xml:space="preserve">2 handfuls Lambs Lettuce/Spinach</t>
  </si>
  <si>
    <t xml:space="preserve">1 handful Cherry Tomatoes, chopped</t>
  </si>
  <si>
    <t xml:space="preserve">2 medium Sweet Potatoes</t>
  </si>
  <si>
    <t xml:space="preserve">2 cups Oats</t>
  </si>
  <si>
    <t xml:space="preserve">1 cup Vanilla Whey Protein</t>
  </si>
  <si>
    <t xml:space="preserve">1/2 cup Semi-Skimmed Milk</t>
  </si>
  <si>
    <t xml:space="preserve">1.5 tbsp Honey</t>
  </si>
  <si>
    <t xml:space="preserve">2 tbsp Peanut Butter</t>
  </si>
  <si>
    <t xml:space="preserve">1 tbsp Dried Fruit (Raisins)</t>
  </si>
  <si>
    <t xml:space="preserve">3 tbsp Mixed Nuts, chopped</t>
  </si>
  <si>
    <t xml:space="preserve">1 cup Desiccated Coconut</t>
  </si>
  <si>
    <t xml:space="preserve">1 Salmon Darne, baked</t>
  </si>
  <si>
    <t xml:space="preserve">1 Sweetcorn on the Cob, boiled</t>
  </si>
  <si>
    <t xml:space="preserve">1 Sweet Potato, sliced</t>
  </si>
  <si>
    <t xml:space="preserve">1 pinch Chilli Flakes</t>
  </si>
  <si>
    <t xml:space="preserve">1 tsp Extra Virgin Olive Oil</t>
  </si>
  <si>
    <t xml:space="preserve">1/2 tsp Cumin</t>
  </si>
  <si>
    <t xml:space="preserve">1 Lemon, juiced</t>
  </si>
  <si>
    <t xml:space="preserve">300g Prawns, raw</t>
  </si>
  <si>
    <t xml:space="preserve">100g Noodles, dry</t>
  </si>
  <si>
    <t xml:space="preserve">1 cup Beansprouts</t>
  </si>
  <si>
    <t xml:space="preserve">1 cup Red Cabbage, sliced thinly</t>
  </si>
  <si>
    <t xml:space="preserve">2 Carrots, ribboned</t>
  </si>
  <si>
    <t xml:space="preserve">1 Pepper, sliced thinly</t>
  </si>
  <si>
    <t xml:space="preserve">2 handfuls Spinach</t>
  </si>
  <si>
    <t xml:space="preserve">1 tbsp Peanut Butter</t>
  </si>
  <si>
    <t xml:space="preserve">2 tbsp Soy Sauce</t>
  </si>
  <si>
    <t xml:space="preserve">1/2 Chilli, diced</t>
  </si>
  <si>
    <t xml:space="preserve">1 tbsp Sesame Oil</t>
  </si>
  <si>
    <t xml:space="preserve">2 tbsp Boiling Water</t>
  </si>
  <si>
    <t xml:space="preserve">1 handful Coriander</t>
  </si>
  <si>
    <t xml:space="preserve">1 handful Mint</t>
  </si>
  <si>
    <t xml:space="preserve">4 tbsp Low Fat Greek/Natural Yoghurt</t>
  </si>
  <si>
    <t xml:space="preserve">2 tbsp Honey</t>
  </si>
  <si>
    <t xml:space="preserve">1 tbsp Coconut Oil</t>
  </si>
  <si>
    <t xml:space="preserve">1 tbsp Cinnamon</t>
  </si>
  <si>
    <t xml:space="preserve">1 Banana, peeled</t>
  </si>
  <si>
    <t xml:space="preserve">1 Kiwi, peeled</t>
  </si>
  <si>
    <t xml:space="preserve">1/2 cup Mixed Berries, frozen</t>
  </si>
  <si>
    <t xml:space="preserve">250ml Almond Milk</t>
  </si>
  <si>
    <t xml:space="preserve">30g Vanilla Whey or Plant Protein</t>
  </si>
  <si>
    <t xml:space="preserve">500g Turkey Mince</t>
  </si>
  <si>
    <t xml:space="preserve">1 tbsp Extra Virgin Olive Oil</t>
  </si>
  <si>
    <t xml:space="preserve">1 Onion, chopped</t>
  </si>
  <si>
    <t xml:space="preserve">2 Celery Stalks, chopped</t>
  </si>
  <si>
    <t xml:space="preserve">2 Carrots, diced</t>
  </si>
  <si>
    <t xml:space="preserve">2 Tins of Chopped Tomatoes</t>
  </si>
  <si>
    <t xml:space="preserve">2 tbsp Tomato Puree</t>
  </si>
  <si>
    <t xml:space="preserve">2 tsp Oregano, dried</t>
  </si>
  <si>
    <t xml:space="preserve">1 tsp Worcestershire Sauce</t>
  </si>
  <si>
    <t xml:space="preserve">500g Spaghetti, uncooked</t>
  </si>
  <si>
    <t xml:space="preserve">2 tbsp Parmesan Cheese, grated</t>
  </si>
  <si>
    <t xml:space="preserve">30g Choc Whey or Plant Protein (1 Scoop)</t>
  </si>
  <si>
    <t xml:space="preserve">1.5 Bananas</t>
  </si>
  <si>
    <t xml:space="preserve">1 tsp Coconut Oil</t>
  </si>
  <si>
    <t xml:space="preserve">1 tbsp Chocolate Chips</t>
  </si>
  <si>
    <t xml:space="preserve">1 handful Blueberries</t>
  </si>
  <si>
    <t xml:space="preserve">1 Onion, diced</t>
  </si>
  <si>
    <t xml:space="preserve">75g Oats</t>
  </si>
  <si>
    <t xml:space="preserve">400g Turkey Mince</t>
  </si>
  <si>
    <t xml:space="preserve">75g Dried Apricots, diced</t>
  </si>
  <si>
    <t xml:space="preserve">1 Carrot, grated</t>
  </si>
  <si>
    <t xml:space="preserve">5 Lettuce leaves</t>
  </si>
  <si>
    <t xml:space="preserve">1.5 Tomato, sliced</t>
  </si>
  <si>
    <t xml:space="preserve">2.5 tbsp Tomato Relish</t>
  </si>
  <si>
    <t xml:space="preserve">1.5 Avocado, mashed</t>
  </si>
  <si>
    <t xml:space="preserve">5 Wholemeal Burger Buns</t>
  </si>
  <si>
    <t xml:space="preserve">50g Low Fat Greek Yogurt</t>
  </si>
  <si>
    <t xml:space="preserve">50g Rolled Oats</t>
  </si>
  <si>
    <t xml:space="preserve">20g Walnuts, crushed</t>
  </si>
  <si>
    <t xml:space="preserve">20g Sultanas</t>
  </si>
  <si>
    <t xml:space="preserve">1/2 Carrot, grated</t>
  </si>
  <si>
    <t xml:space="preserve">1 tsp Cinnamon, ground</t>
  </si>
  <si>
    <t xml:space="preserve">1 tsp Nutmeg, ground</t>
  </si>
  <si>
    <t xml:space="preserve">3 Medium Eggs</t>
  </si>
  <si>
    <t xml:space="preserve">1 Medium Tomato, chopped</t>
  </si>
  <si>
    <t xml:space="preserve">5 Low Fat Feta Cheese Cubes</t>
  </si>
  <si>
    <t xml:space="preserve">1/2 tsp Mixed Herbs, dried</t>
  </si>
  <si>
    <t xml:space="preserve">2 cups Tofu, Raw</t>
  </si>
  <si>
    <t xml:space="preserve">2 Tins Chickpeas, drained</t>
  </si>
  <si>
    <t xml:space="preserve">1 Low Fat Coconut Milk can (400g)</t>
  </si>
  <si>
    <t xml:space="preserve">4 tsp Green Curry Paste</t>
  </si>
  <si>
    <t xml:space="preserve">3 Red Chilli Peppers</t>
  </si>
  <si>
    <t xml:space="preserve">1 Ginger (Thumb)</t>
  </si>
  <si>
    <t xml:space="preserve">1 tbsp Soy Sauce, reduced sodium</t>
  </si>
  <si>
    <t xml:space="preserve">1 tbsp Lime Juice</t>
  </si>
  <si>
    <t xml:space="preserve">2 tbsp Olive Oil</t>
  </si>
  <si>
    <t xml:space="preserve">2 tbsp Peanut Butter, wholegrain</t>
  </si>
  <si>
    <t xml:space="preserve">1 tsp Cayenne Pepper</t>
  </si>
  <si>
    <t xml:space="preserve">190g Basmati Rice, uncooked</t>
  </si>
  <si>
    <t xml:space="preserve">150g Lamb Chops</t>
  </si>
  <si>
    <t xml:space="preserve">200g Sweet Potato, peeled and cubed</t>
  </si>
  <si>
    <t xml:space="preserve">1/2 tsp Ground Cinnamon</t>
  </si>
  <si>
    <t xml:space="preserve">1 tbsp Greek Yogurt</t>
  </si>
  <si>
    <t xml:space="preserve">1 cup Steamed Green Beans</t>
  </si>
  <si>
    <t xml:space="preserve">1 Salmon Fillet</t>
  </si>
  <si>
    <t xml:space="preserve">Jasmine or Basmati Rice, uncooked</t>
  </si>
  <si>
    <t xml:space="preserve">Mixed Vegetables</t>
  </si>
  <si>
    <t xml:space="preserve">1 tsp Sesame Oil, for stir-frying</t>
  </si>
  <si>
    <t xml:space="preserve">1 tsp Soy Sauce, for glaze</t>
  </si>
  <si>
    <t xml:space="preserve">1/2 tsp Fresh Ginger, grated</t>
  </si>
  <si>
    <t xml:space="preserve">1 small Garlic Clove, minced</t>
  </si>
  <si>
    <t xml:space="preserve">1 tsp Rice Vinegar</t>
  </si>
  <si>
    <t xml:space="preserve">1/2 tsp Sesame Seeds, for garnish</t>
  </si>
  <si>
    <t xml:space="preserve">1 Lime Wedge, for serving</t>
  </si>
  <si>
    <t xml:space="preserve">1 Lamb Steak</t>
  </si>
  <si>
    <t xml:space="preserve">100g Potatoes, cut into wedges</t>
  </si>
  <si>
    <t xml:space="preserve">1 clove Garlic, minced</t>
  </si>
  <si>
    <t xml:space="preserve">1 tsp Mixed Dried Herbs</t>
  </si>
  <si>
    <t xml:space="preserve">1/2 cup Mixed Roasted Vegetables</t>
  </si>
  <si>
    <t xml:space="preserve">1/2 cup Steamed Green Vegetables</t>
  </si>
  <si>
    <t xml:space="preserve">Lemon Wedge, for serving</t>
  </si>
  <si>
    <t xml:space="preserve">1 medium Sweet Potato, washed and cut into wedges</t>
  </si>
  <si>
    <t xml:space="preserve">1.5 tbsp Olive Oil</t>
  </si>
  <si>
    <t xml:space="preserve">3/4 tbsp Lemon Juice</t>
  </si>
  <si>
    <t xml:space="preserve">1/2 tsp Black Pepper</t>
  </si>
  <si>
    <t xml:space="preserve">1/4 tsp Salt</t>
  </si>
  <si>
    <t xml:space="preserve">100-150g Mixed Vegetables</t>
  </si>
  <si>
    <t xml:space="preserve">1 large Chicken Breast</t>
  </si>
  <si>
    <t xml:space="preserve">50g Cous Cous, uncooked</t>
  </si>
  <si>
    <t xml:space="preserve">Jamaican Jerk Seasoning</t>
  </si>
  <si>
    <t xml:space="preserve">1/2 Courgette</t>
  </si>
  <si>
    <t xml:space="preserve">500g Mince Lamb</t>
  </si>
  <si>
    <t xml:space="preserve">1 can Chopped Tomatoes</t>
  </si>
  <si>
    <t xml:space="preserve">1/2 cup Chopped Parsley</t>
  </si>
  <si>
    <t xml:space="preserve">1/2 Lemon, juice</t>
  </si>
  <si>
    <t xml:space="preserve">1 cup Fresh Coriander</t>
  </si>
  <si>
    <t xml:space="preserve">1 tbsp Paprika</t>
  </si>
  <si>
    <t xml:space="preserve">1 tbsp Ground Cumin</t>
  </si>
  <si>
    <t xml:space="preserve">2 tsp Chilli Flakes</t>
  </si>
  <si>
    <t xml:space="preserve">240g Basmati Rice, dried</t>
  </si>
  <si>
    <t xml:space="preserve">1 scoop Vanilla Whey (batch tested)</t>
  </si>
  <si>
    <t xml:space="preserve">100g 0% Greek Yoghurt</t>
  </si>
  <si>
    <t xml:space="preserve">50g Avocado</t>
  </si>
  <si>
    <t xml:space="preserve">handful Spinach</t>
  </si>
  <si>
    <t xml:space="preserve">100ml Unsweetened Almond Milk</t>
  </si>
  <si>
    <t xml:space="preserve">Ice cubes</t>
  </si>
  <si>
    <t xml:space="preserve">1 scoop Chocolate Whey (batch tested)</t>
  </si>
  <si>
    <t xml:space="preserve">1 tbsp Natural Smooth Peanut Butter</t>
  </si>
  <si>
    <t xml:space="preserve">1 tsp Unsweetened Cocoa Powder</t>
  </si>
  <si>
    <t xml:space="preserve">50g Frozen Raspberries</t>
  </si>
  <si>
    <t xml:space="preserve">1 tbsp Chia Seeds</t>
  </si>
  <si>
    <t xml:space="preserve">1 Salmon Fillet, raw</t>
  </si>
  <si>
    <t xml:space="preserve">1 handful Rocket</t>
  </si>
  <si>
    <t xml:space="preserve">1 tbsp Fresh Mint, chopped</t>
  </si>
  <si>
    <t xml:space="preserve">1/2 Chilli, diced &amp; deseeded</t>
  </si>
  <si>
    <t xml:space="preserve">1/2 Lime, juice</t>
  </si>
  <si>
    <t xml:space="preserve">1/2 tbsp Balsamic Glaze</t>
  </si>
  <si>
    <t xml:space="preserve">1/2 Butternut Squash, cubed</t>
  </si>
  <si>
    <t xml:space="preserve">1 Red Pepper, sliced</t>
  </si>
  <si>
    <t xml:space="preserve">1 Tin Chickpeas, drained</t>
  </si>
  <si>
    <t xml:space="preserve">1/2 Tin Chopped Tomatoes</t>
  </si>
  <si>
    <t xml:space="preserve">180g Quinoa, uncooked</t>
  </si>
  <si>
    <t xml:space="preserve">1.5 cups Vegetable Stock</t>
  </si>
  <si>
    <t xml:space="preserve">1 tbsp Moroccan Spice Blend</t>
  </si>
  <si>
    <t xml:space="preserve">5 Dried Apricots, chopped</t>
  </si>
  <si>
    <t xml:space="preserve">2 tbsp Tahini</t>
  </si>
  <si>
    <t xml:space="preserve">1 tbsp Lemon Juice</t>
  </si>
  <si>
    <t xml:space="preserve">1 handful Flaked Almonds</t>
  </si>
  <si>
    <t xml:space="preserve">30g Rolled Oats</t>
  </si>
  <si>
    <t xml:space="preserve">100g 0% Greek Yogurt</t>
  </si>
  <si>
    <t xml:space="preserve">10g Peanut Butter</t>
  </si>
  <si>
    <t xml:space="preserve">40g Mixed Berries, fresh or frozen</t>
  </si>
  <si>
    <t xml:space="preserve">1/2 tsp Vanilla Extract</t>
  </si>
  <si>
    <t xml:space="preserve">1/2 tsp Cinnamon</t>
  </si>
  <si>
    <t xml:space="preserve">12 Almonds</t>
  </si>
  <si>
    <t xml:space="preserve">4 tbsp Mixed Berries</t>
  </si>
  <si>
    <t xml:space="preserve">2 tbsp Oats</t>
  </si>
  <si>
    <t xml:space="preserve">4 tbsp 0% Greek Yoghurt</t>
  </si>
  <si>
    <t xml:space="preserve">150ml Apple Juice</t>
  </si>
  <si>
    <t xml:space="preserve">3 tbsp Blueberries</t>
  </si>
  <si>
    <t xml:space="preserve">handful Kale &amp; Spinach</t>
  </si>
  <si>
    <t xml:space="preserve">2 tbsp Raspberries</t>
  </si>
  <si>
    <t xml:space="preserve">1 Medium Banana, ripe</t>
  </si>
  <si>
    <t xml:space="preserve">1 dessert spoon Peanut Butter</t>
  </si>
  <si>
    <t xml:space="preserve">3 Weetabix Protein biscuits</t>
  </si>
  <si>
    <t xml:space="preserve">250ml Full Fat Milk</t>
  </si>
  <si>
    <t xml:space="preserve">1 tsp Chia Seeds</t>
  </si>
  <si>
    <t xml:space="preserve">2 High Protein Pancakes, M&amp;S</t>
  </si>
  <si>
    <t xml:space="preserve">150g White Fish (Haddock)</t>
  </si>
  <si>
    <t xml:space="preserve">White Rice, cooked (~277g / 110g dry)</t>
  </si>
  <si>
    <t xml:space="preserve">75g Edamame Beans, cooked</t>
  </si>
  <si>
    <t xml:space="preserve">50g Spinach, lightly sautéed</t>
  </si>
  <si>
    <t xml:space="preserve">60g Greek Yogurt, for the sauce</t>
  </si>
  <si>
    <t xml:space="preserve">1 tsp Turmeric</t>
  </si>
  <si>
    <t xml:space="preserve">150g Sirloin Steak, grilled</t>
  </si>
  <si>
    <t xml:space="preserve">Quinoa, cooked (~185g / 75g dry)</t>
  </si>
  <si>
    <t xml:space="preserve">150g Sweet Potatoes, roasted</t>
  </si>
  <si>
    <t xml:space="preserve">100g Broccoli, steamed</t>
  </si>
  <si>
    <t xml:space="preserve">150g Chicken Breast, grilled</t>
  </si>
  <si>
    <t xml:space="preserve">White Rice, cooked (~185g / 75g dry)</t>
  </si>
  <si>
    <t xml:space="preserve">50g Kimchi</t>
  </si>
  <si>
    <t xml:space="preserve">50g Spinach, steamed</t>
  </si>
  <si>
    <t xml:space="preserve">1 tbsp Gochujang Sauce</t>
  </si>
  <si>
    <t xml:space="preserve">1 tsp Sesame Seeds, to top</t>
  </si>
  <si>
    <t xml:space="preserve">150g Salmon, grilled</t>
  </si>
  <si>
    <t xml:space="preserve">200g Sweet Potatoes, roasted</t>
  </si>
  <si>
    <t xml:space="preserve">100g Beetroot, roasted</t>
  </si>
  <si>
    <t xml:space="preserve">50g Rocket, fresh</t>
  </si>
  <si>
    <t xml:space="preserve">100g Spinach, sautéed with garlic</t>
  </si>
  <si>
    <t xml:space="preserve">2 tsp Olive Oil</t>
  </si>
  <si>
    <t xml:space="preserve">1 Whole-Grain Bread Roll</t>
  </si>
  <si>
    <t xml:space="preserve">250g Rhubarb, chopped</t>
  </si>
  <si>
    <t xml:space="preserve">200g Pears, peeled and diced</t>
  </si>
  <si>
    <t xml:space="preserve">100g Strawberries, hulled and halved</t>
  </si>
  <si>
    <t xml:space="preserve">1 tbsp Honey or Maple Syrup</t>
  </si>
  <si>
    <t xml:space="preserve">1 tsp Vanilla Extract, fruit base</t>
  </si>
  <si>
    <t xml:space="preserve">1 tbsp Cornflour, fruit base</t>
  </si>
  <si>
    <t xml:space="preserve">30g Ground Almonds</t>
  </si>
  <si>
    <t xml:space="preserve">10g Ground Flaxseeds</t>
  </si>
  <si>
    <t xml:space="preserve">15g Light Brown Sugar</t>
  </si>
  <si>
    <t xml:space="preserve">1 tsp Cinnamon</t>
  </si>
  <si>
    <t xml:space="preserve">2 tbsp Low-Fat Greek Yogurt</t>
  </si>
  <si>
    <t xml:space="preserve">1 tsp Vanilla Extract, custard</t>
  </si>
  <si>
    <t xml:space="preserve">1 tbsp Cornflour, custard</t>
  </si>
  <si>
    <t xml:space="preserve">2 Egg Yolks</t>
  </si>
  <si>
    <t xml:space="preserve">1 tbsp Sugar</t>
  </si>
  <si>
    <t xml:space="preserve">Beef</t>
  </si>
  <si>
    <t xml:space="preserve">Udon Noodles, cooked (~100g / 50g dry)</t>
  </si>
  <si>
    <t xml:space="preserve">White Rice, cooked (~90g / 35g dry)</t>
  </si>
  <si>
    <t xml:space="preserve">Sweet Potatoes, cooked</t>
  </si>
  <si>
    <t xml:space="preserve">Bell Peppers</t>
  </si>
  <si>
    <t xml:space="preserve">Carrots</t>
  </si>
  <si>
    <t xml:space="preserve">Edamame</t>
  </si>
  <si>
    <t xml:space="preserve">2 tbsp Teriyaki Sauce</t>
  </si>
  <si>
    <t xml:space="preserve">1 tbsp Soy Sauce</t>
  </si>
  <si>
    <t xml:space="preserve">Leafy Greens</t>
  </si>
  <si>
    <t xml:space="preserve">1 Chicken Breast, cut into strips</t>
  </si>
  <si>
    <t xml:space="preserve">Brown Rice, cooked (~1/2 cup / 45g dry)</t>
  </si>
  <si>
    <t xml:space="preserve">1 cup Mixed Colourful Vegetables</t>
  </si>
  <si>
    <t xml:space="preserve">1/2 tsp Grated Ginger</t>
  </si>
  <si>
    <t xml:space="preserve">100g Turkey Breast, thinly sliced</t>
  </si>
  <si>
    <t xml:space="preserve">60g Dry Rice Noodles</t>
  </si>
  <si>
    <t xml:space="preserve">1 cup Colourful Vegetables (peppers, mangetout, mushrooms, carrots, broccoli)</t>
  </si>
  <si>
    <t xml:space="preserve">2 Garlic Cloves, minced</t>
  </si>
  <si>
    <t xml:space="preserve">1 tbsp Oyster Sauce</t>
  </si>
  <si>
    <t xml:space="preserve">1 Chicken Breast</t>
  </si>
  <si>
    <t xml:space="preserve">Quinoa, cooked (~1/2 cup / 45g dry)</t>
  </si>
  <si>
    <t xml:space="preserve">1 cup Mixed Colourful Vegetables (peppers, broccoli, mushrooms, mangetout, carrots)</t>
  </si>
  <si>
    <t xml:space="preserve">1 can Tuna in Spring Water, drained</t>
  </si>
  <si>
    <t xml:space="preserve">2 large Lettuce Leaves (Romaine or Baby Gem)</t>
  </si>
  <si>
    <t xml:space="preserve">1 tbsp 0% Greek Yogurt</t>
  </si>
  <si>
    <t xml:space="preserve">1 tbsp Red Onion, diced</t>
  </si>
  <si>
    <t xml:space="preserve">1 tbsp Celery, diced</t>
  </si>
  <si>
    <t xml:space="preserve">1 tsp Dijon Mustard</t>
  </si>
  <si>
    <t xml:space="preserve">160g Porridge Oats</t>
  </si>
  <si>
    <t xml:space="preserve">20g Chia Seeds</t>
  </si>
  <si>
    <t xml:space="preserve">60g Vanilla Whey (2 Scoops)</t>
  </si>
  <si>
    <t xml:space="preserve">100g Banana</t>
  </si>
  <si>
    <t xml:space="preserve">80g Blueberries, fresh or frozen</t>
  </si>
  <si>
    <t xml:space="preserve">24g Goji Berries, dried</t>
  </si>
  <si>
    <t xml:space="preserve">100g 70% Dark Chocolate</t>
  </si>
  <si>
    <t xml:space="preserve">100g Mixed Nuts</t>
  </si>
  <si>
    <t xml:space="preserve">3 tbsp Honey</t>
  </si>
  <si>
    <t xml:space="preserve">3 tsp Goji Berries</t>
  </si>
  <si>
    <t xml:space="preserve">80g Chickpeas, canned, drained</t>
  </si>
  <si>
    <t xml:space="preserve">60ml Light Coconut Milk</t>
  </si>
  <si>
    <t xml:space="preserve">50g Onion, diced</t>
  </si>
  <si>
    <t xml:space="preserve">Basmati Rice, cooked (~1/2 cup / 30g dry)</t>
  </si>
  <si>
    <t xml:space="preserve">70g Spaghetti, dry</t>
  </si>
  <si>
    <t xml:space="preserve">100g Chicken Breast, cooked</t>
  </si>
  <si>
    <t xml:space="preserve">1 large Egg Yolk</t>
  </si>
  <si>
    <t xml:space="preserve">15g Parmesan Cheese, grated</t>
  </si>
  <si>
    <t xml:space="preserve">30g Light Cream (15% fat)</t>
  </si>
  <si>
    <t xml:space="preserve">5g Olive Oil</t>
  </si>
  <si>
    <t xml:space="preserve">40g Peas, cooked</t>
  </si>
  <si>
    <t xml:space="preserve">1/2 Onion, finely chopped</t>
  </si>
  <si>
    <t xml:space="preserve">100g Chestnut Mushrooms, sliced</t>
  </si>
  <si>
    <t xml:space="preserve">1/2 tsp Dijon Mustard</t>
  </si>
  <si>
    <t xml:space="preserve">100g Low-Fat Greek Yoghurt</t>
  </si>
  <si>
    <t xml:space="preserve">70g White Rice, dry weight</t>
  </si>
  <si>
    <t xml:space="preserve">100g Linguini, dried weight</t>
  </si>
  <si>
    <t xml:space="preserve">100g Chicken Breast, sliced</t>
  </si>
  <si>
    <t xml:space="preserve">30ml Cream</t>
  </si>
  <si>
    <t xml:space="preserve">4 large Eggs</t>
  </si>
  <si>
    <t xml:space="preserve">50ml Unsweetened Almond Milk</t>
  </si>
  <si>
    <t xml:space="preserve">30g Shredded Cheese (Cheddar)</t>
  </si>
  <si>
    <t xml:space="preserve">50g Fresh Spinach, chopped</t>
  </si>
  <si>
    <t xml:space="preserve">1/4 tsp Black Pepper</t>
  </si>
  <si>
    <t xml:space="preserve">1/2 tsp Olive Oil, for greasing</t>
  </si>
  <si>
    <t xml:space="preserve">1 Tilapia Fillet</t>
  </si>
  <si>
    <t xml:space="preserve">1/2 small Red Onion, sliced</t>
  </si>
  <si>
    <t xml:space="preserve">1/2 Red Bell Pepper, sliced</t>
  </si>
  <si>
    <t xml:space="preserve">1/2 Yellow Bell Pepper, sliced</t>
  </si>
  <si>
    <t xml:space="preserve">1/2 small Courgette, sliced</t>
  </si>
  <si>
    <t xml:space="preserve">1/2 tsp Dried Basil</t>
  </si>
  <si>
    <t xml:space="preserve">1/2 tsp Lemon Juice</t>
  </si>
  <si>
    <t xml:space="preserve">200g Chopped Tomatoes, tinned</t>
  </si>
  <si>
    <t xml:space="preserve">1/2 tsp Balsamic Vinegar</t>
  </si>
  <si>
    <t xml:space="preserve">110g Sweet Potato, peeled and diced</t>
  </si>
  <si>
    <t xml:space="preserve">1 Mackerel Fillet</t>
  </si>
  <si>
    <t xml:space="preserve">2 cups Mixed Salad Leaves</t>
  </si>
  <si>
    <t xml:space="preserve">1/2 Avocado, diced</t>
  </si>
  <si>
    <t xml:space="preserve">1/4 Red Pepper, thinly sliced</t>
  </si>
  <si>
    <t xml:space="preserve">Cucumber, a few slices</t>
  </si>
  <si>
    <t xml:space="preserve">Red Onion, 2-3 thin slices (optional)</t>
  </si>
  <si>
    <t xml:space="preserve">1/4 tsp Turmeric Powder</t>
  </si>
  <si>
    <t xml:space="preserve">1 tsp Apple Cider Vinegar</t>
  </si>
  <si>
    <t xml:space="preserve">1 tsp Extra Virgin Olive Oil, for dressing</t>
  </si>
  <si>
    <t xml:space="preserve">300g Baby Potatoes, sliced into wedges</t>
  </si>
  <si>
    <t xml:space="preserve">1 tbsp Olive Oil, for wedges</t>
  </si>
  <si>
    <t xml:space="preserve">1/4 tsp Salt &amp; Black Pepper</t>
  </si>
  <si>
    <t xml:space="preserve">1 Salmon fillet (120-150g)</t>
  </si>
  <si>
    <t xml:space="preserve">1 tbsp Fresh Ginger, grated</t>
  </si>
  <si>
    <t xml:space="preserve">1/2 tbsp Olive Oil, for salmon</t>
  </si>
  <si>
    <t xml:space="preserve">1/2 tsp Sesame Seeds</t>
  </si>
  <si>
    <t xml:space="preserve">2 cups Spinach or Kale</t>
  </si>
  <si>
    <t xml:space="preserve">1 tsp Olive Oil, for greens</t>
  </si>
  <si>
    <t xml:space="preserve">1 Garlic Clove, minced, for greens</t>
  </si>
  <si>
    <t xml:space="preserve">1 tsp Lemon Juice, for greens</t>
  </si>
  <si>
    <t xml:space="preserve">1 pinch Salt &amp; Pepper, for greens</t>
  </si>
  <si>
    <t xml:space="preserve">1 Lamb Chop</t>
  </si>
  <si>
    <t xml:space="preserve">1 tsp Olive Oil, for lamb</t>
  </si>
  <si>
    <t xml:space="preserve">1/2 tsp Dried Rosemary</t>
  </si>
  <si>
    <t xml:space="preserve">100g Sweet Potato, peeled and cut into wedges</t>
  </si>
  <si>
    <t xml:space="preserve">1/2 tsp Olive Oil, for sweet potato</t>
  </si>
  <si>
    <t xml:space="preserve">50g Red Bell Pepper, deseeded and sliced</t>
  </si>
  <si>
    <t xml:space="preserve">50g Broccoli Florets</t>
  </si>
  <si>
    <t xml:space="preserve">1/2 tsp Olive Oil, for veggies</t>
  </si>
  <si>
    <t xml:space="preserve">Cod Fillet, grilled</t>
  </si>
  <si>
    <t xml:space="preserve">1 tbsp Butter</t>
  </si>
  <si>
    <t xml:space="preserve">100g Steamed Broccoli &amp; Carrots</t>
  </si>
  <si>
    <t xml:space="preserve">Quinoa, cooked (~100g / 40g dry)</t>
  </si>
  <si>
    <t xml:space="preserve">30g Oats</t>
  </si>
  <si>
    <t xml:space="preserve">50g Fat Free Skyr Yogurt</t>
  </si>
  <si>
    <t xml:space="preserve">25g Peanut Butter</t>
  </si>
  <si>
    <t xml:space="preserve">1 can Black Beans, drained</t>
  </si>
  <si>
    <t xml:space="preserve">2 Chicken Breasts</t>
  </si>
  <si>
    <t xml:space="preserve">1 tin Sweetcorn, drained</t>
  </si>
  <si>
    <t xml:space="preserve">1 Red Pepper</t>
  </si>
  <si>
    <t xml:space="preserve">2 Tortillas</t>
  </si>
  <si>
    <t xml:space="preserve">20g Low Fat Cheddar Cheese</t>
  </si>
  <si>
    <t xml:space="preserve">1 Lime Wedge</t>
  </si>
  <si>
    <t xml:space="preserve">1 tsp Paprika</t>
  </si>
  <si>
    <t xml:space="preserve">1 tsp Oregano</t>
  </si>
  <si>
    <t xml:space="preserve">300g Chicken Breast</t>
  </si>
  <si>
    <t xml:space="preserve">200g White Basmati Rice, raw</t>
  </si>
  <si>
    <t xml:space="preserve">2 Broccoli heads</t>
  </si>
  <si>
    <t xml:space="preserve">1/2 can Black Beans, drained</t>
  </si>
  <si>
    <t xml:space="preserve">1 Corn on the Cob</t>
  </si>
  <si>
    <t xml:space="preserve">1 tbsp Sriracha Seasoning</t>
  </si>
  <si>
    <t xml:space="preserve">1 slice Sourdough Toast</t>
  </si>
  <si>
    <t xml:space="preserve">2 slices Smoked Salmon</t>
  </si>
  <si>
    <t xml:space="preserve">1 Smoked Mackerel fillet</t>
  </si>
  <si>
    <t xml:space="preserve">1/2 can Tuna, in brine or spring water</t>
  </si>
  <si>
    <t xml:space="preserve">1 medium Egg</t>
  </si>
  <si>
    <t xml:space="preserve">small slice Seeded Bread</t>
  </si>
  <si>
    <t xml:space="preserve">1/2 tbsp Reduced Fat Cottage Cheese</t>
  </si>
  <si>
    <t xml:space="preserve">1/2 tbsp Red Pepper Sauce</t>
  </si>
  <si>
    <t xml:space="preserve">1/2 tbsp Vegetable Oil</t>
  </si>
  <si>
    <t xml:space="preserve">1/2 cup fresh Coriander</t>
  </si>
  <si>
    <t xml:space="preserve">1/2 tsp Smooth Mustard</t>
  </si>
  <si>
    <t xml:space="preserve">1 pinch Black Pepper</t>
  </si>
  <si>
    <t xml:space="preserve">Colourful salad of your choice</t>
  </si>
  <si>
    <t xml:space="preserve">150g Chicken Breast, shredded</t>
  </si>
  <si>
    <t xml:space="preserve">300ml Bone Broth</t>
  </si>
  <si>
    <t xml:space="preserve">Onion</t>
  </si>
  <si>
    <t xml:space="preserve">30g Quinoa</t>
  </si>
  <si>
    <t xml:space="preserve">1 Salmon fillet</t>
  </si>
  <si>
    <t xml:space="preserve">50g ripe Avocado, diced</t>
  </si>
  <si>
    <t xml:space="preserve">25g Red Onion, finely chopped</t>
  </si>
  <si>
    <t xml:space="preserve">50g Tomato, deseeded and diced</t>
  </si>
  <si>
    <t xml:space="preserve">fresh Coriander leaves, a few</t>
  </si>
  <si>
    <t xml:space="preserve">1 pinch Salt &amp; Pepper (salsa)</t>
  </si>
  <si>
    <t xml:space="preserve">150g Cauliflower Rice</t>
  </si>
  <si>
    <t xml:space="preserve">1 tsp Olive Oil or Coconut Oil</t>
  </si>
  <si>
    <t xml:space="preserve">1 pinch Salt &amp; Pepper (cauliflower rice)</t>
  </si>
  <si>
    <t xml:space="preserve">1 tsp Dried Mixed Herbs (or fresh rosemary)</t>
  </si>
  <si>
    <t xml:space="preserve">50g Carrots, peeled and sliced</t>
  </si>
  <si>
    <t xml:space="preserve">50g Green Beans, trimmed</t>
  </si>
  <si>
    <t xml:space="preserve">1 tsp Olive Oil, for veg</t>
  </si>
  <si>
    <t xml:space="preserve">100g New/Baby Potatoes, halved or quartered</t>
  </si>
  <si>
    <t xml:space="preserve">1 tsp Olive Oil, for potatoes</t>
  </si>
  <si>
    <t xml:space="preserve">150g Chicken Breast, sliced</t>
  </si>
  <si>
    <t xml:space="preserve">1 medium Red Bell Pepper</t>
  </si>
  <si>
    <t xml:space="preserve">1 medium Green Bell Pepper</t>
  </si>
  <si>
    <t xml:space="preserve">1 small Onion</t>
  </si>
  <si>
    <t xml:space="preserve">1 large Flour Tortilla</t>
  </si>
  <si>
    <t xml:space="preserve">1 tsp Fajita Seasoning</t>
  </si>
  <si>
    <t xml:space="preserve">1 tbsp Salsa</t>
  </si>
  <si>
    <t xml:space="preserve">1 tbsp Low-Fat Greek Yogurt or Guacamole</t>
  </si>
  <si>
    <t xml:space="preserve">500g Extra Lean Beef Mince</t>
  </si>
  <si>
    <t xml:space="preserve">400g Spaghetti, dried</t>
  </si>
  <si>
    <t xml:space="preserve">1 tin Chopped Tomatoes</t>
  </si>
  <si>
    <t xml:space="preserve">2 whole Roasted Red Peppers</t>
  </si>
  <si>
    <t xml:space="preserve">4 sprigs Fresh Basil</t>
  </si>
  <si>
    <t xml:space="preserve">1 tbsp Tomato Puree</t>
  </si>
  <si>
    <t xml:space="preserve">1 tsp Smooth Mustard</t>
  </si>
  <si>
    <t xml:space="preserve">1 tsp Black Pepper</t>
  </si>
  <si>
    <t xml:space="preserve">150ml semi-skimmed milk</t>
  </si>
  <si>
    <t xml:space="preserve">3 tablespoons mixed berries</t>
  </si>
  <si>
    <t xml:space="preserve">1 scoop vanilla whey protein</t>
  </si>
  <si>
    <t xml:space="preserve">1 tablespoon oats</t>
  </si>
  <si>
    <t xml:space="preserve">6 chunks ice</t>
  </si>
  <si>
    <t xml:space="preserve">150ml apple juice</t>
  </si>
  <si>
    <t xml:space="preserve">1 scoop chocolate whey protein</t>
  </si>
  <si>
    <t xml:space="preserve">2 tablespoons Greek Yoghurt</t>
  </si>
  <si>
    <t xml:space="preserve">3 tablespoons berries</t>
  </si>
  <si>
    <t xml:space="preserve">1 medium pear</t>
  </si>
  <si>
    <t xml:space="preserve">6 chunks of ice</t>
  </si>
  <si>
    <t xml:space="preserve">1 dessert spoon Wyldsson nut butter (hazelnut &amp; cocoa)</t>
  </si>
  <si>
    <t xml:space="preserve">3 tablespoons blueberries</t>
  </si>
  <si>
    <t xml:space="preserve">3 tablespoons raspberries</t>
  </si>
  <si>
    <t xml:space="preserve">2 tablespoons Greek yoghurt</t>
  </si>
  <si>
    <t xml:space="preserve">1 tablespoon almonds</t>
  </si>
  <si>
    <t xml:space="preserve">1 tablespoon raisins</t>
  </si>
  <si>
    <t xml:space="preserve">¼ teaspoon ground cinnamon</t>
  </si>
  <si>
    <t xml:space="preserve">5 large strawberries</t>
  </si>
  <si>
    <t xml:space="preserve">1 scoop strawberry whey protein</t>
  </si>
  <si>
    <t xml:space="preserve">2 tablespoons blueberries</t>
  </si>
  <si>
    <t xml:space="preserve">3 large strawberries</t>
  </si>
  <si>
    <t xml:space="preserve">1 decent handful spinach</t>
  </si>
  <si>
    <t xml:space="preserve">Small piece of ginger</t>
  </si>
  <si>
    <t xml:space="preserve">2 teaspoons honey</t>
  </si>
  <si>
    <t xml:space="preserve">1 medium banana</t>
  </si>
  <si>
    <t xml:space="preserve">1 tablespoon Greek Yoghurt</t>
  </si>
  <si>
    <t xml:space="preserve">1 dessert spoon Wyldsson nut butter</t>
  </si>
  <si>
    <t xml:space="preserve">40g oats</t>
  </si>
  <si>
    <t xml:space="preserve">1 banana</t>
  </si>
  <si>
    <t xml:space="preserve">2 tablespoons Wyldsson Nutella</t>
  </si>
  <si>
    <t xml:space="preserve">3 tablespoons Greek Yoghurt</t>
  </si>
  <si>
    <t xml:space="preserve">1 large banana</t>
  </si>
  <si>
    <t xml:space="preserve">150ml full-fat milk</t>
  </si>
  <si>
    <t xml:space="preserve">2 desert spoons Wyldsson nut butter</t>
  </si>
  <si>
    <t xml:space="preserve">1 desert spoon Wyldsson nut butter</t>
  </si>
  <si>
    <t xml:space="preserve">1 teaspoon honey</t>
  </si>
  <si>
    <t xml:space="preserve">2 tablespoons oats</t>
  </si>
  <si>
    <t xml:space="preserve">2 tablespoons raspberries</t>
  </si>
  <si>
    <t xml:space="preserve">1 handful spinach</t>
  </si>
  <si>
    <t xml:space="preserve">1 sachet 'Cherry Active'</t>
  </si>
  <si>
    <t xml:space="preserve">1 large peach</t>
  </si>
  <si>
    <t xml:space="preserve">1 chunk of ginger</t>
  </si>
  <si>
    <t xml:space="preserve">2 tablespoons cranberries (dried)</t>
  </si>
  <si>
    <t xml:space="preserve">150ml water</t>
  </si>
  <si>
    <t xml:space="preserve">1 kiwi fruit</t>
  </si>
  <si>
    <t xml:space="preserve">150ml orange juice</t>
  </si>
  <si>
    <t xml:space="preserve">40g chia seeds</t>
  </si>
  <si>
    <t xml:space="preserve">250ml unsweetened almond milk</t>
  </si>
  <si>
    <t xml:space="preserve">1 scoop (~25g) unflavoured or vanilla protein powder</t>
  </si>
  <si>
    <t xml:space="preserve">½ tsp vanilla extract</t>
  </si>
  <si>
    <t xml:space="preserve">¼ tsp cinnamon</t>
  </si>
  <si>
    <t xml:space="preserve">1 tsp flaxseeds</t>
  </si>
  <si>
    <t xml:space="preserve">50g rolled oats</t>
  </si>
  <si>
    <t xml:space="preserve">200ml unsweetened almond milk</t>
  </si>
  <si>
    <t xml:space="preserve">1 tbsp chia seeds</t>
  </si>
  <si>
    <t xml:space="preserve">½ tsp cinnamon</t>
  </si>
  <si>
    <t xml:space="preserve">1 tsp ground flaxseeds</t>
  </si>
  <si>
    <t xml:space="preserve">4 large eggs</t>
  </si>
  <si>
    <t xml:space="preserve">50ml unsweetened almond milk</t>
  </si>
  <si>
    <t xml:space="preserve">30g shredded cheese</t>
  </si>
  <si>
    <t xml:space="preserve">50g fresh spinach, chopped</t>
  </si>
  <si>
    <t xml:space="preserve">¼ tsp salt</t>
  </si>
  <si>
    <t xml:space="preserve">¼ tsp black pepper</t>
  </si>
  <si>
    <t xml:space="preserve">¼ tsp garlic powder</t>
  </si>
  <si>
    <t xml:space="preserve">½ tsp olive oil or non-stick spray</t>
  </si>
  <si>
    <t xml:space="preserve">1 small egg</t>
  </si>
  <si>
    <t xml:space="preserve">¼ cup apple sauce</t>
  </si>
  <si>
    <t xml:space="preserve">¼ cup stevia</t>
  </si>
  <si>
    <t xml:space="preserve">½ cup whole-wheat flour</t>
  </si>
  <si>
    <t xml:space="preserve">½ cup plain flour</t>
  </si>
  <si>
    <t xml:space="preserve">⅛ cup milk</t>
  </si>
  <si>
    <t xml:space="preserve">2 tsp baking powder</t>
  </si>
  <si>
    <t xml:space="preserve">1 tablespoon chocolate chips</t>
  </si>
  <si>
    <t xml:space="preserve">1 ½ digestive biscuits</t>
  </si>
  <si>
    <t xml:space="preserve">3 tablespoons 0% Total Fage Greek yoghurt</t>
  </si>
  <si>
    <t xml:space="preserve">1 tsp honey</t>
  </si>
  <si>
    <t xml:space="preserve">400g beetroot (pre-cooked)</t>
  </si>
  <si>
    <t xml:space="preserve">200g dark chocolate (70% cocoa)</t>
  </si>
  <si>
    <t xml:space="preserve">150g honey</t>
  </si>
  <si>
    <t xml:space="preserve">100g oats</t>
  </si>
  <si>
    <t xml:space="preserve">90g butter</t>
  </si>
  <si>
    <t xml:space="preserve">3 eggs</t>
  </si>
  <si>
    <t xml:space="preserve">25g cocoa powder</t>
  </si>
  <si>
    <t xml:space="preserve">1 teaspoon vanilla essence</t>
  </si>
  <si>
    <t xml:space="preserve">½ teaspoon baking powder</t>
  </si>
  <si>
    <t xml:space="preserve">500g Greek Yoghurt</t>
  </si>
  <si>
    <t xml:space="preserve">4 Tbsp Pumpkin Seeds</t>
  </si>
  <si>
    <t xml:space="preserve">6 Tbsp Raisins</t>
  </si>
  <si>
    <t xml:space="preserve">1 Tbsp Ground Cinnamon</t>
  </si>
  <si>
    <t xml:space="preserve">1 Tbsp Baking soda</t>
  </si>
  <si>
    <t xml:space="preserve">1 Tbsp Flax Seeds</t>
  </si>
  <si>
    <t xml:space="preserve">½ Tsp Salt</t>
  </si>
  <si>
    <t xml:space="preserve">½ tsp Ground Cinnamon</t>
  </si>
  <si>
    <t xml:space="preserve">60g (2 Scoops) Vanilla Whey</t>
  </si>
  <si>
    <t xml:space="preserve">80g Blueberries</t>
  </si>
  <si>
    <t xml:space="preserve">24g Goji Berries</t>
  </si>
  <si>
    <t xml:space="preserve">3 Ripe Bananas</t>
  </si>
  <si>
    <t xml:space="preserve">4 Tbsp 0% Fat Greek Yoghurt</t>
  </si>
  <si>
    <t xml:space="preserve">1 Tbsp Coconut Oil</t>
  </si>
  <si>
    <t xml:space="preserve">1 Tbsp Cinnamon</t>
  </si>
  <si>
    <t xml:space="preserve">3 Tbsp Honey</t>
  </si>
  <si>
    <t xml:space="preserve">2 Tbsp Walnuts</t>
  </si>
  <si>
    <t xml:space="preserve">400g Apples</t>
  </si>
  <si>
    <t xml:space="preserve">2 tsp Honey</t>
  </si>
  <si>
    <t xml:space="preserve">35g Wholemeal Flour</t>
  </si>
  <si>
    <t xml:space="preserve">35g Oats</t>
  </si>
  <si>
    <t xml:space="preserve">10g Caster sugar</t>
  </si>
  <si>
    <t xml:space="preserve">35g Butter</t>
  </si>
  <si>
    <t xml:space="preserve">1 chicken breast, cut into strips</t>
  </si>
  <si>
    <t xml:space="preserve">½ cup brown rice (dry weight)</t>
  </si>
  <si>
    <t xml:space="preserve">1 cup chopped mixed colourful vegetables</t>
  </si>
  <si>
    <t xml:space="preserve">1 clove garlic, minced</t>
  </si>
  <si>
    <t xml:space="preserve">1 tablespoon soy sauce</t>
  </si>
  <si>
    <t xml:space="preserve">1 teaspoon sesame oil</t>
  </si>
  <si>
    <t xml:space="preserve">1 teaspoon olive oil</t>
  </si>
  <si>
    <t xml:space="preserve">½ teaspoon grated ginger</t>
  </si>
  <si>
    <t xml:space="preserve">Salt and pepper to taste</t>
  </si>
  <si>
    <t xml:space="preserve">2 tbsp olive oil</t>
  </si>
  <si>
    <t xml:space="preserve">1 onion</t>
  </si>
  <si>
    <t xml:space="preserve">2 tablespoons Patak's korma paste</t>
  </si>
  <si>
    <t xml:space="preserve">1 tsp chopped garlic</t>
  </si>
  <si>
    <t xml:space="preserve">1 tsp chopped ginger</t>
  </si>
  <si>
    <t xml:space="preserve">3 large chicken breasts, diced</t>
  </si>
  <si>
    <t xml:space="preserve">100g Total Fage 0% Greek Yoghurt</t>
  </si>
  <si>
    <t xml:space="preserve">½ fresh red chilli pepper</t>
  </si>
  <si>
    <t xml:space="preserve">Toasted flaked almonds</t>
  </si>
  <si>
    <t xml:space="preserve">50ml coconut milk</t>
  </si>
  <si>
    <t xml:space="preserve">Sweet red peppers</t>
  </si>
  <si>
    <t xml:space="preserve">Spinach</t>
  </si>
  <si>
    <t xml:space="preserve">Wild or basmati rice (140g per person)</t>
  </si>
  <si>
    <t xml:space="preserve">10g butter</t>
  </si>
  <si>
    <t xml:space="preserve">½ red chili pepper</t>
  </si>
  <si>
    <t xml:space="preserve">2 slices bacon</t>
  </si>
  <si>
    <t xml:space="preserve">1 finely chopped onion</t>
  </si>
  <si>
    <t xml:space="preserve">1 clove garlic</t>
  </si>
  <si>
    <t xml:space="preserve">1 teaspoon thyme leaves</t>
  </si>
  <si>
    <t xml:space="preserve">1 large peeled and chopped sweet potato</t>
  </si>
  <si>
    <t xml:space="preserve">3 chopped chicken breasts</t>
  </si>
  <si>
    <t xml:space="preserve">250g frozen sweetcorn</t>
  </si>
  <si>
    <t xml:space="preserve">2 pints chicken stock</t>
  </si>
  <si>
    <t xml:space="preserve">Black pepper to taste</t>
  </si>
  <si>
    <t xml:space="preserve">150g salmon fillet</t>
  </si>
  <si>
    <t xml:space="preserve">200g baby new potatoes</t>
  </si>
  <si>
    <t xml:space="preserve">50g peas</t>
  </si>
  <si>
    <t xml:space="preserve">50g broad beans</t>
  </si>
  <si>
    <t xml:space="preserve">50g steamed carrots</t>
  </si>
  <si>
    <t xml:space="preserve">1 tbsp honey</t>
  </si>
  <si>
    <t xml:space="preserve">1 tbsp wholegrain mustard</t>
  </si>
  <si>
    <t xml:space="preserve">1 tbsp Worcestershire sauce</t>
  </si>
  <si>
    <t xml:space="preserve">½ tbsp apple cider vinegar</t>
  </si>
  <si>
    <t xml:space="preserve">½ tsp smoked paprika</t>
  </si>
  <si>
    <t xml:space="preserve">Salt &amp; olive oil</t>
  </si>
  <si>
    <t xml:space="preserve">1 tsp butter</t>
  </si>
  <si>
    <t xml:space="preserve">1 tbsp fresh parsley</t>
  </si>
  <si>
    <t xml:space="preserve">½ tsp dried thyme</t>
  </si>
  <si>
    <t xml:space="preserve">½ tsp fresh mint</t>
  </si>
  <si>
    <t xml:space="preserve">½ can Tuna, in brine or spring water</t>
  </si>
  <si>
    <t xml:space="preserve">½ Red Onion</t>
  </si>
  <si>
    <t xml:space="preserve">½ tbsp Reduced Fat Cottage Cheese</t>
  </si>
  <si>
    <t xml:space="preserve">½ tbsp Red Pepper Sauce</t>
  </si>
  <si>
    <t xml:space="preserve">½ tbsp Vegetable Oil</t>
  </si>
  <si>
    <t xml:space="preserve">½ cup fresh Coriander</t>
  </si>
  <si>
    <t xml:space="preserve">½ tsp Smooth Mustard</t>
  </si>
  <si>
    <t xml:space="preserve">3 Slices of Ham</t>
  </si>
  <si>
    <t xml:space="preserve">30g Mozzarella</t>
  </si>
  <si>
    <t xml:space="preserve">½ Pepper</t>
  </si>
  <si>
    <t xml:space="preserve">¼ Onion</t>
  </si>
  <si>
    <t xml:space="preserve">1 Tortilla Wrap</t>
  </si>
  <si>
    <t xml:space="preserve">20ml Semi Skimmed Milk</t>
  </si>
  <si>
    <t xml:space="preserve">1 teaspoon Olive Oil</t>
  </si>
  <si>
    <t xml:space="preserve">Salt</t>
  </si>
  <si>
    <t xml:space="preserve">Pepper</t>
  </si>
  <si>
    <t xml:space="preserve">2 cups basmati rice</t>
  </si>
  <si>
    <t xml:space="preserve">2 tsp coconut oil</t>
  </si>
  <si>
    <t xml:space="preserve">500g rump steak, cut into thin strips</t>
  </si>
  <si>
    <t xml:space="preserve">2 teaspoons freshly cracked black pepper</t>
  </si>
  <si>
    <t xml:space="preserve">1 fresh garlic clove</t>
  </si>
  <si>
    <t xml:space="preserve">1 fresh red chilli pepper</t>
  </si>
  <si>
    <t xml:space="preserve">3 spring onions, sliced</t>
  </si>
  <si>
    <t xml:space="preserve">Vegetables of your choice, sliced (e.g. broccoli)</t>
  </si>
  <si>
    <t xml:space="preserve">3 tablespoons Oyster Sauce</t>
  </si>
  <si>
    <t xml:space="preserve">Handful of fresh coriander leaves</t>
  </si>
  <si>
    <t xml:space="preserve">85g fresh cod fillet</t>
  </si>
  <si>
    <t xml:space="preserve">120ml fish or vegetable stock</t>
  </si>
  <si>
    <t xml:space="preserve">1 tbsp fresh lemon juice</t>
  </si>
  <si>
    <t xml:space="preserve">Pinch of salt</t>
  </si>
  <si>
    <t xml:space="preserve">Pinch of white pepper</t>
  </si>
  <si>
    <t xml:space="preserve">¼ tsp dried parsley or dill</t>
  </si>
  <si>
    <t xml:space="preserve">1 medium Maris Piper potato (150g), peeled and cut into wedges</t>
  </si>
  <si>
    <t xml:space="preserve">½ tbsp olive oil</t>
  </si>
  <si>
    <t xml:space="preserve">¼ cup (30g) peeled, steamed carrots</t>
  </si>
  <si>
    <t xml:space="preserve">¼ cup (30g) peeled, steamed courgette</t>
  </si>
  <si>
    <t xml:space="preserve">4 slices prosciutto</t>
  </si>
  <si>
    <t xml:space="preserve">2 egg whites</t>
  </si>
  <si>
    <t xml:space="preserve">1 whole egg</t>
  </si>
  <si>
    <t xml:space="preserve">3 tablespoons Greek yoghurt (0%)</t>
  </si>
  <si>
    <t xml:space="preserve">1 tablespoon black olives</t>
  </si>
  <si>
    <t xml:space="preserve">½ teaspoon rosemary</t>
  </si>
  <si>
    <t xml:space="preserve">1 chicken breast</t>
  </si>
  <si>
    <t xml:space="preserve">200g cooked white rice</t>
  </si>
  <si>
    <t xml:space="preserve">1 tbsp light soy sauce</t>
  </si>
  <si>
    <t xml:space="preserve">½ tsp grated fresh ginger</t>
  </si>
  <si>
    <t xml:space="preserve">1 tbsp butter</t>
  </si>
  <si>
    <t xml:space="preserve">¼ cup carrots</t>
  </si>
  <si>
    <t xml:space="preserve">¼ cup courgette</t>
  </si>
  <si>
    <t xml:space="preserve">1 tbsp mild honey</t>
  </si>
  <si>
    <t xml:space="preserve">Salt &amp; white pepper to taste</t>
  </si>
  <si>
    <t xml:space="preserve">1 can tuna in spring water, drained</t>
  </si>
  <si>
    <t xml:space="preserve">2 large lettuce leaves (Romaine or 4x Baby Gem)</t>
  </si>
  <si>
    <t xml:space="preserve">1 tablespoon 0% Greek Yogurt</t>
  </si>
  <si>
    <t xml:space="preserve">1 tablespoon diced red onion</t>
  </si>
  <si>
    <t xml:space="preserve">1 tablespoon diced celery</t>
  </si>
  <si>
    <t xml:space="preserve">1 tablespoon chopped fresh parsley</t>
  </si>
  <si>
    <t xml:space="preserve">1 teaspoon Dijon mustard</t>
  </si>
  <si>
    <t xml:space="preserve">450g minced turkey breast</t>
  </si>
  <si>
    <t xml:space="preserve">¼ cup dried bread crumbs</t>
  </si>
  <si>
    <t xml:space="preserve">¼ cup chopped onion</t>
  </si>
  <si>
    <t xml:space="preserve">2 tablespoons fresh parsley, chopped</t>
  </si>
  <si>
    <t xml:space="preserve">1 ½ tablespoons Worcestershire sauce</t>
  </si>
  <si>
    <t xml:space="preserve">1 teaspoon Tabasco sauce</t>
  </si>
  <si>
    <t xml:space="preserve">4 whole-grain buns</t>
  </si>
  <si>
    <t xml:space="preserve">4 slices tomato</t>
  </si>
  <si>
    <t xml:space="preserve">4 slices red onion</t>
  </si>
  <si>
    <t xml:space="preserve">Lettuce leaves</t>
  </si>
  <si>
    <t xml:space="preserve">4 tablespoons ketchup</t>
  </si>
  <si>
    <t xml:space="preserve">4 large sweet potatoes</t>
  </si>
  <si>
    <t xml:space="preserve">100g turkey breast, thinly sliced</t>
  </si>
  <si>
    <t xml:space="preserve">2 eggs</t>
  </si>
  <si>
    <t xml:space="preserve">50g rice noodles</t>
  </si>
  <si>
    <t xml:space="preserve">1 cup colourful vegetables</t>
  </si>
  <si>
    <t xml:space="preserve">2 cloves garlic, minced</t>
  </si>
  <si>
    <t xml:space="preserve">2 tablespoons soy sauce</t>
  </si>
  <si>
    <t xml:space="preserve">1 tablespoon oyster sauce</t>
  </si>
  <si>
    <t xml:space="preserve">1 tablespoon sesame oil</t>
  </si>
  <si>
    <t xml:space="preserve">1 tablespoon olive oil</t>
  </si>
  <si>
    <t xml:space="preserve">½ teaspoon chilli flakes</t>
  </si>
  <si>
    <t xml:space="preserve">1 scoop Vanilla Whey</t>
  </si>
  <si>
    <t xml:space="preserve">Handful Fresh berries</t>
  </si>
  <si>
    <t xml:space="preserve">2 tablespoons Greek yoghurt (0%)</t>
  </si>
  <si>
    <t xml:space="preserve">1 teaspoon coconut oil</t>
  </si>
  <si>
    <t xml:space="preserve">1 scoop (30g) NX Big Whey (Vanilla or Strawberry)</t>
  </si>
  <si>
    <t xml:space="preserve">Recipe name</t>
  </si>
  <si>
    <t xml:space="preserve">Slot</t>
  </si>
  <si>
    <t xml:space="preserve">Servings</t>
  </si>
  <si>
    <t xml:space="preserve">Published kcal</t>
  </si>
  <si>
    <t xml:space="preserve">Kcal from ingredients</t>
  </si>
  <si>
    <t xml:space="preserve">Difference</t>
  </si>
  <si>
    <t xml:space="preserve">% out</t>
  </si>
  <si>
    <t xml:space="preserve">Protein (g)</t>
  </si>
  <si>
    <t xml:space="preserve">Carbs (g)</t>
  </si>
  <si>
    <t xml:space="preserve">Fat (g)</t>
  </si>
  <si>
    <t xml:space="preserve">Severity</t>
  </si>
  <si>
    <t xml:space="preserve">Existing QA note</t>
  </si>
  <si>
    <t xml:space="preserve">Graeme's decision</t>
  </si>
  <si>
    <t xml:space="preserve">What changed</t>
  </si>
  <si>
    <t xml:space="preserve">Food name</t>
  </si>
  <si>
    <t xml:space="preserve">Carbs</t>
  </si>
  <si>
    <t xml:space="preserve">Stated kcal</t>
  </si>
  <si>
    <t xml:space="preserve">kcal from macros</t>
  </si>
  <si>
    <t xml:space="preserve">Issue</t>
  </si>
  <si>
    <t xml:space="preserve">kcal and macros disagree by +210 (often fine - fibre or alcohol)</t>
  </si>
  <si>
    <t xml:space="preserve">published value is ~884 kcal/100g</t>
  </si>
  <si>
    <t xml:space="preserve">kcal and macros disagree by +64 (often fine - fibre or alcohol)</t>
  </si>
  <si>
    <t xml:space="preserve">macros total 101.4g per 100g - impossible</t>
  </si>
  <si>
    <t xml:space="preserve">kcal and macros disagree by -40 (often fine - fibre or alcohol)</t>
  </si>
  <si>
    <t xml:space="preserve">kcal and macros disagree by +27 (often fine - fibre or alcohol)</t>
  </si>
  <si>
    <t xml:space="preserve">kcal and macros disagree by -53 (often fine - fibre or alcohol)</t>
  </si>
  <si>
    <t xml:space="preserve">kcal and macros disagree by -71 (often fine - fibre or alcohol)</t>
  </si>
  <si>
    <t xml:space="preserve">kcal and macros disagree by -112 (often fine - fibre or alcohol)</t>
  </si>
  <si>
    <t xml:space="preserve">kcal and macros disagree by -33 (often fine - fibre or alcohol)</t>
  </si>
  <si>
    <t xml:space="preserve">kcal and macros disagree by +30 (often fine - fibre or alcohol)</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</si>
</sst>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s>
  <fills count="6">
    <fill>
      <patternFill patternType="none"/>
    </fill>
    <fill>
      <patternFill patternType="gray125"/>
    </fill>
    <fill>
      <patternFill patternType="solid">
        <fgColor rgb="FF1B4332"/>
        <bgColor rgb="FF333300"/>
      </patternFill>
    </fill>
    <fill>
      <patternFill patternType="solid">
        <fgColor rgb="FFFFD6CC"/>
        <bgColor rgb="FFFFF0CC"/>
      </patternFill>
    </fill>
    <fill>
      <patternFill patternType="solid">
        <fgColor rgb="FFFFFF99"/>
        <bgColor rgb="FFFFF0CC"/>
      </patternFill>
    </fill>
    <fill>
      <patternFill patternType="solid">
        <fgColor rgb="FFFFF0CC"/>
        <bgColor rgb="FFFFD6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4332"/>
          <bgColor rgb="FF000000"/>
        </patternFill>
      </fill>
    </dxf>
    <dxf>
      <fill>
        <patternFill patternType="solid">
          <bgColor rgb="FF000000"/>
        </patternFill>
      </fill>
    </dxf>
    <dxf>
      <fill>
        <patternFill patternType="solid">
          <fgColor rgb="FFFFFFFF"/>
          <bgColor rgb="FF000000"/>
        </patternFill>
      </fill>
    </dxf>
    <dxf>
      <fill>
        <patternFill patternType="solid">
          <fgColor rgb="FFFFD6CC"/>
          <bgColor rgb="FF000000"/>
        </patternFill>
      </fill>
    </dxf>
    <dxf>
      <fill>
        <patternFill patternType="solid">
          <fgColor rgb="FFFFF0CC"/>
          <bgColor rgb="FF000000"/>
        </patternFill>
      </fill>
    </dxf>
    <dxf>
      <fill>
        <patternFill patternType="solid">
          <fgColor rgb="FFFFFF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0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6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6"/>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row>
    <row r="28" customFormat="false" ht="15" hidden="false" customHeight="false" outlineLevel="0" collapsed="false">
      <c r="A28" s="3" t="s">
        <v>22</v>
      </c>
    </row>
    <row r="29" customFormat="false" ht="1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row r="32" customFormat="false" ht="15" hidden="false" customHeight="false" outlineLevel="0" collapsed="false">
      <c r="A32" s="2" t="s">
        <v>26</v>
      </c>
    </row>
    <row r="33" customFormat="false" ht="15" hidden="false" customHeight="false" outlineLevel="0" collapsed="false">
      <c r="A33" s="2" t="s">
        <v>27</v>
      </c>
    </row>
    <row r="34" customFormat="false" ht="15" hidden="false" customHeight="false" outlineLevel="0" collapsed="false">
      <c r="A34" s="2" t="s">
        <v>28</v>
      </c>
    </row>
    <row r="35" customFormat="false" ht="15" hidden="false" customHeight="false" outlineLevel="0" collapsed="false">
      <c r="A35" s="2" t="s">
        <v>29</v>
      </c>
    </row>
    <row r="36" customFormat="false" ht="15" hidden="false" customHeight="false" outlineLevel="0" collapsed="false">
      <c r="A36" s="2"/>
    </row>
    <row r="37" customFormat="false" ht="15" hidden="false" customHeight="false" outlineLevel="0" collapsed="false">
      <c r="A37" s="2" t="s">
        <v>30</v>
      </c>
    </row>
    <row r="38" customFormat="false" ht="15" hidden="false" customHeight="false" outlineLevel="0" collapsed="false">
      <c r="A38" s="2" t="s">
        <v>31</v>
      </c>
    </row>
    <row r="39" customFormat="false" ht="15" hidden="false" customHeight="false" outlineLevel="0" collapsed="false">
      <c r="A39" s="2"/>
    </row>
    <row r="40" customFormat="false" ht="15" hidden="false" customHeight="false" outlineLevel="0" collapsed="false">
      <c r="A40" s="3" t="s">
        <v>32</v>
      </c>
    </row>
    <row r="41" customFormat="false" ht="15" hidden="false" customHeight="false" outlineLevel="0" collapsed="false">
      <c r="A41" s="2" t="s">
        <v>33</v>
      </c>
    </row>
    <row r="42" customFormat="false" ht="15" hidden="false" customHeight="false" outlineLevel="0" collapsed="false">
      <c r="A42" s="2" t="s">
        <v>34</v>
      </c>
    </row>
    <row r="43" customFormat="false" ht="15" hidden="false" customHeight="false" outlineLevel="0" collapsed="false">
      <c r="A43" s="2" t="s">
        <v>35</v>
      </c>
    </row>
    <row r="44" customFormat="false" ht="15" hidden="false" customHeight="false" outlineLevel="0" collapsed="false">
      <c r="A44"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4"/>
    <col collapsed="false" customWidth="true" hidden="false" outlineLevel="0" max="4" min="4" style="0" width="12"/>
    <col collapsed="false" customWidth="true" hidden="false" outlineLevel="0" max="6" min="5" style="0" width="11"/>
    <col collapsed="false" customWidth="true" hidden="false" outlineLevel="0" max="7" min="7" style="0" width="14"/>
    <col collapsed="false" customWidth="true" hidden="false" outlineLevel="0" max="8" min="8" style="0" width="13"/>
    <col collapsed="false" customWidth="true" hidden="false" outlineLevel="0" max="10" min="9" style="0" width="12"/>
    <col collapsed="false" customWidth="true" hidden="false" outlineLevel="0" max="11" min="11" style="0" width="19"/>
    <col collapsed="false" customWidth="true" hidden="false" outlineLevel="0" max="12" min="12" style="0" width="12"/>
    <col collapsed="false" customWidth="true" hidden="false" outlineLevel="0" max="13" min="13" style="0" width="14"/>
    <col collapsed="false" customWidth="true" hidden="false" outlineLevel="0" max="14" min="14" style="0" width="46"/>
    <col collapsed="false" customWidth="true" hidden="false" outlineLevel="0" max="15" min="15" style="0" width="11"/>
  </cols>
  <sheetData>
    <row r="1" customFormat="false" ht="15" hidden="false" customHeight="false" outlineLevel="0" collapsed="false">
      <c r="A1" s="4" t="s">
        <v>37</v>
      </c>
      <c r="B1" s="4" t="s">
        <v>38</v>
      </c>
      <c r="C1" s="4" t="s">
        <v>39</v>
      </c>
      <c r="D1" s="4" t="s">
        <v>40</v>
      </c>
      <c r="E1" s="4" t="s">
        <v>41</v>
      </c>
      <c r="F1" s="4" t="s">
        <v>42</v>
      </c>
      <c r="G1" s="4" t="s">
        <v>43</v>
      </c>
      <c r="H1" s="4" t="s">
        <v>44</v>
      </c>
      <c r="I1" s="4" t="s">
        <v>45</v>
      </c>
      <c r="J1" s="4" t="s">
        <v>46</v>
      </c>
      <c r="K1" s="4" t="s">
        <v>47</v>
      </c>
      <c r="L1" s="4" t="s">
        <v>48</v>
      </c>
      <c r="M1" s="4" t="s">
        <v>49</v>
      </c>
      <c r="N1" s="4" t="s">
        <v>50</v>
      </c>
      <c r="O1" s="4" t="s">
        <v>51</v>
      </c>
    </row>
    <row r="2" customFormat="false" ht="15" hidden="false" customHeight="false" outlineLevel="0" collapsed="false">
      <c r="A2" s="2" t="s">
        <v>52</v>
      </c>
      <c r="B2" s="2" t="s">
        <v>53</v>
      </c>
      <c r="C2" s="2" t="n">
        <v>1.1</v>
      </c>
      <c r="D2" s="2" t="n">
        <v>22.88</v>
      </c>
      <c r="E2" s="2" t="n">
        <v>0.34</v>
      </c>
      <c r="F2" s="2" t="n">
        <v>89</v>
      </c>
      <c r="G2" s="2" t="s">
        <v>54</v>
      </c>
      <c r="H2" s="2" t="n">
        <v>118</v>
      </c>
      <c r="I2" s="2" t="s">
        <v>55</v>
      </c>
      <c r="J2" s="2" t="s">
        <v>56</v>
      </c>
      <c r="K2" s="2" t="n">
        <v>0.5</v>
      </c>
      <c r="L2" s="2"/>
      <c r="M2" s="2" t="s">
        <v>57</v>
      </c>
      <c r="N2" s="2" t="s">
        <v>58</v>
      </c>
      <c r="O2" s="5" t="b">
        <f aca="false">FALSE()</f>
        <v>0</v>
      </c>
    </row>
    <row r="3" customFormat="false" ht="15" hidden="false" customHeight="false" outlineLevel="0" collapsed="false">
      <c r="A3" s="2" t="s">
        <v>59</v>
      </c>
      <c r="B3" s="2" t="s">
        <v>60</v>
      </c>
      <c r="C3" s="2" t="n">
        <v>0.7</v>
      </c>
      <c r="D3" s="2" t="n">
        <v>14</v>
      </c>
      <c r="E3" s="2" t="n">
        <v>0.3</v>
      </c>
      <c r="F3" s="2" t="n">
        <v>57</v>
      </c>
      <c r="G3" s="2" t="s">
        <v>54</v>
      </c>
      <c r="H3" s="2"/>
      <c r="I3" s="2"/>
      <c r="J3" s="2" t="s">
        <v>61</v>
      </c>
      <c r="K3" s="2" t="n">
        <v>5</v>
      </c>
      <c r="L3" s="2"/>
      <c r="M3" s="2" t="s">
        <v>62</v>
      </c>
      <c r="N3" s="2" t="s">
        <v>63</v>
      </c>
      <c r="O3" s="5" t="b">
        <f aca="false">FALSE()</f>
        <v>0</v>
      </c>
    </row>
    <row r="4" customFormat="false" ht="15" hidden="false" customHeight="false" outlineLevel="0" collapsed="false">
      <c r="A4" s="2" t="s">
        <v>64</v>
      </c>
      <c r="B4" s="2" t="s">
        <v>65</v>
      </c>
      <c r="C4" s="2" t="n">
        <v>1.2</v>
      </c>
      <c r="D4" s="2" t="n">
        <v>12</v>
      </c>
      <c r="E4" s="2" t="n">
        <v>0.7</v>
      </c>
      <c r="F4" s="2" t="n">
        <v>52</v>
      </c>
      <c r="G4" s="2" t="s">
        <v>54</v>
      </c>
      <c r="H4" s="2"/>
      <c r="I4" s="2"/>
      <c r="J4" s="2" t="s">
        <v>61</v>
      </c>
      <c r="K4" s="2" t="n">
        <v>5</v>
      </c>
      <c r="L4" s="2"/>
      <c r="M4" s="2" t="s">
        <v>66</v>
      </c>
      <c r="N4" s="2" t="s">
        <v>63</v>
      </c>
      <c r="O4" s="5" t="b">
        <f aca="false">FALSE()</f>
        <v>0</v>
      </c>
    </row>
    <row r="5" customFormat="false" ht="15" hidden="false" customHeight="false" outlineLevel="0" collapsed="false">
      <c r="A5" s="2" t="s">
        <v>67</v>
      </c>
      <c r="B5" s="2" t="s">
        <v>68</v>
      </c>
      <c r="C5" s="2" t="n">
        <v>10.3</v>
      </c>
      <c r="D5" s="2" t="n">
        <v>3</v>
      </c>
      <c r="E5" s="2" t="n">
        <v>0</v>
      </c>
      <c r="F5" s="2" t="n">
        <v>54</v>
      </c>
      <c r="G5" s="2" t="s">
        <v>54</v>
      </c>
      <c r="H5" s="2"/>
      <c r="I5" s="2"/>
      <c r="J5" s="2" t="s">
        <v>61</v>
      </c>
      <c r="K5" s="2" t="n">
        <v>5</v>
      </c>
      <c r="L5" s="2" t="s">
        <v>69</v>
      </c>
      <c r="M5" s="2"/>
      <c r="N5" s="2" t="s">
        <v>70</v>
      </c>
      <c r="O5" s="5" t="b">
        <f aca="false">FALSE()</f>
        <v>0</v>
      </c>
    </row>
    <row r="6" customFormat="false" ht="15" hidden="false" customHeight="false" outlineLevel="0" collapsed="false">
      <c r="A6" s="2" t="s">
        <v>71</v>
      </c>
      <c r="B6" s="2" t="s">
        <v>72</v>
      </c>
      <c r="C6" s="2" t="n">
        <v>76.67</v>
      </c>
      <c r="D6" s="2" t="n">
        <v>7.4</v>
      </c>
      <c r="E6" s="2" t="n">
        <v>5.8</v>
      </c>
      <c r="F6" s="2" t="n">
        <v>396.7</v>
      </c>
      <c r="G6" s="2" t="s">
        <v>54</v>
      </c>
      <c r="H6" s="2"/>
      <c r="I6" s="2"/>
      <c r="J6" s="2" t="s">
        <v>61</v>
      </c>
      <c r="K6" s="2" t="n">
        <v>5</v>
      </c>
      <c r="L6" s="2" t="s">
        <v>69</v>
      </c>
      <c r="M6" s="2"/>
      <c r="N6" s="2" t="s">
        <v>73</v>
      </c>
      <c r="O6" s="5" t="b">
        <f aca="false">FALSE()</f>
        <v>0</v>
      </c>
    </row>
    <row r="7" customFormat="false" ht="15" hidden="false" customHeight="false" outlineLevel="0" collapsed="false">
      <c r="A7" s="2" t="s">
        <v>74</v>
      </c>
      <c r="B7" s="2" t="s">
        <v>75</v>
      </c>
      <c r="C7" s="2" t="n">
        <v>3.4</v>
      </c>
      <c r="D7" s="2" t="n">
        <v>4.7</v>
      </c>
      <c r="E7" s="2" t="n">
        <v>1.7</v>
      </c>
      <c r="F7" s="2" t="n">
        <v>46</v>
      </c>
      <c r="G7" s="2" t="s">
        <v>76</v>
      </c>
      <c r="H7" s="2"/>
      <c r="I7" s="2"/>
      <c r="J7" s="2" t="s">
        <v>61</v>
      </c>
      <c r="K7" s="2" t="n">
        <v>5</v>
      </c>
      <c r="L7" s="2" t="s">
        <v>69</v>
      </c>
      <c r="M7" s="2"/>
      <c r="N7" s="2" t="s">
        <v>63</v>
      </c>
      <c r="O7" s="5" t="b">
        <f aca="false">FALSE()</f>
        <v>0</v>
      </c>
    </row>
    <row r="8" customFormat="false" ht="15" hidden="false" customHeight="false" outlineLevel="0" collapsed="false">
      <c r="A8" s="2" t="s">
        <v>77</v>
      </c>
      <c r="B8" s="2" t="s">
        <v>78</v>
      </c>
      <c r="C8" s="2" t="n">
        <v>23</v>
      </c>
      <c r="D8" s="2" t="n">
        <v>6.8</v>
      </c>
      <c r="E8" s="2" t="n">
        <v>53</v>
      </c>
      <c r="F8" s="2" t="n">
        <v>610</v>
      </c>
      <c r="G8" s="2" t="s">
        <v>54</v>
      </c>
      <c r="H8" s="2"/>
      <c r="I8" s="2"/>
      <c r="J8" s="2" t="s">
        <v>61</v>
      </c>
      <c r="K8" s="2" t="n">
        <v>5</v>
      </c>
      <c r="L8" s="2" t="s">
        <v>79</v>
      </c>
      <c r="M8" s="2"/>
      <c r="N8" s="2" t="s">
        <v>80</v>
      </c>
      <c r="O8" s="5" t="b">
        <f aca="false">FALSE()</f>
        <v>0</v>
      </c>
    </row>
    <row r="9" customFormat="false" ht="15" hidden="false" customHeight="false" outlineLevel="0" collapsed="false">
      <c r="A9" s="2" t="s">
        <v>81</v>
      </c>
      <c r="B9" s="2" t="s">
        <v>82</v>
      </c>
      <c r="C9" s="2" t="n">
        <v>11</v>
      </c>
      <c r="D9" s="2" t="n">
        <v>60</v>
      </c>
      <c r="E9" s="2" t="n">
        <v>7</v>
      </c>
      <c r="F9" s="2" t="n">
        <v>375</v>
      </c>
      <c r="G9" s="2" t="s">
        <v>54</v>
      </c>
      <c r="H9" s="2"/>
      <c r="I9" s="2"/>
      <c r="J9" s="2" t="s">
        <v>61</v>
      </c>
      <c r="K9" s="2" t="n">
        <v>5</v>
      </c>
      <c r="L9" s="2" t="s">
        <v>83</v>
      </c>
      <c r="M9" s="2"/>
      <c r="N9" s="2" t="s">
        <v>84</v>
      </c>
      <c r="O9" s="5" t="b">
        <f aca="false">FALSE()</f>
        <v>0</v>
      </c>
    </row>
    <row r="10" customFormat="false" ht="15" hidden="false" customHeight="false" outlineLevel="0" collapsed="false">
      <c r="A10" s="2" t="s">
        <v>85</v>
      </c>
      <c r="B10" s="2" t="s">
        <v>86</v>
      </c>
      <c r="C10" s="2" t="n">
        <v>26.4</v>
      </c>
      <c r="D10" s="2" t="n">
        <v>11.9</v>
      </c>
      <c r="E10" s="2" t="n">
        <v>48.2</v>
      </c>
      <c r="F10" s="2" t="n">
        <v>605</v>
      </c>
      <c r="G10" s="2" t="s">
        <v>54</v>
      </c>
      <c r="H10" s="2"/>
      <c r="I10" s="2"/>
      <c r="J10" s="2" t="s">
        <v>61</v>
      </c>
      <c r="K10" s="2" t="n">
        <v>5</v>
      </c>
      <c r="L10" s="2" t="s">
        <v>87</v>
      </c>
      <c r="M10" s="2"/>
      <c r="N10" s="2" t="s">
        <v>88</v>
      </c>
      <c r="O10" s="5" t="b">
        <f aca="false">FALSE()</f>
        <v>0</v>
      </c>
    </row>
    <row r="11" customFormat="false" ht="15" hidden="false" customHeight="false" outlineLevel="0" collapsed="false">
      <c r="A11" s="2" t="s">
        <v>89</v>
      </c>
      <c r="B11" s="2" t="s">
        <v>90</v>
      </c>
      <c r="C11" s="2" t="n">
        <v>17</v>
      </c>
      <c r="D11" s="2" t="n">
        <v>42</v>
      </c>
      <c r="E11" s="2" t="n">
        <v>31</v>
      </c>
      <c r="F11" s="2" t="n">
        <v>486</v>
      </c>
      <c r="G11" s="2" t="s">
        <v>54</v>
      </c>
      <c r="H11" s="2"/>
      <c r="I11" s="2"/>
      <c r="J11" s="2" t="s">
        <v>61</v>
      </c>
      <c r="K11" s="2" t="n">
        <v>2</v>
      </c>
      <c r="L11" s="2"/>
      <c r="M11" s="2"/>
      <c r="N11" s="2" t="s">
        <v>63</v>
      </c>
      <c r="O11" s="5" t="b">
        <f aca="false">FALSE()</f>
        <v>0</v>
      </c>
    </row>
    <row r="12" customFormat="false" ht="15" hidden="false" customHeight="false" outlineLevel="0" collapsed="false">
      <c r="A12" s="2" t="s">
        <v>91</v>
      </c>
      <c r="B12" s="2" t="s">
        <v>92</v>
      </c>
      <c r="C12" s="2" t="n">
        <v>0.3</v>
      </c>
      <c r="D12" s="2" t="n">
        <v>76</v>
      </c>
      <c r="E12" s="2" t="n">
        <v>0</v>
      </c>
      <c r="F12" s="2" t="n">
        <v>304</v>
      </c>
      <c r="G12" s="2" t="s">
        <v>54</v>
      </c>
      <c r="H12" s="2"/>
      <c r="I12" s="2"/>
      <c r="J12" s="2" t="s">
        <v>61</v>
      </c>
      <c r="K12" s="2" t="n">
        <v>5</v>
      </c>
      <c r="L12" s="2"/>
      <c r="M12" s="2"/>
      <c r="N12" s="2" t="s">
        <v>63</v>
      </c>
      <c r="O12" s="5" t="b">
        <f aca="false">FALSE()</f>
        <v>0</v>
      </c>
    </row>
    <row r="13" customFormat="false" ht="15" hidden="false" customHeight="false" outlineLevel="0" collapsed="false">
      <c r="A13" s="2" t="s">
        <v>93</v>
      </c>
      <c r="B13" s="2" t="s">
        <v>94</v>
      </c>
      <c r="C13" s="2" t="n">
        <v>5</v>
      </c>
      <c r="D13" s="2" t="n">
        <v>47</v>
      </c>
      <c r="E13" s="2" t="n">
        <v>35</v>
      </c>
      <c r="F13" s="2" t="n">
        <v>550</v>
      </c>
      <c r="G13" s="2" t="s">
        <v>54</v>
      </c>
      <c r="H13" s="2"/>
      <c r="I13" s="2"/>
      <c r="J13" s="2" t="s">
        <v>61</v>
      </c>
      <c r="K13" s="2" t="n">
        <v>5</v>
      </c>
      <c r="L13" s="2"/>
      <c r="M13" s="2" t="s">
        <v>95</v>
      </c>
      <c r="N13" s="2" t="s">
        <v>96</v>
      </c>
      <c r="O13" s="5" t="b">
        <f aca="false">FALSE()</f>
        <v>0</v>
      </c>
    </row>
    <row r="14" customFormat="false" ht="15" hidden="false" customHeight="false" outlineLevel="0" collapsed="false">
      <c r="A14" s="2" t="s">
        <v>97</v>
      </c>
      <c r="B14" s="2" t="s">
        <v>98</v>
      </c>
      <c r="C14" s="2" t="n">
        <v>20</v>
      </c>
      <c r="D14" s="2" t="n">
        <v>58</v>
      </c>
      <c r="E14" s="2" t="n">
        <v>14</v>
      </c>
      <c r="F14" s="2" t="n">
        <v>228</v>
      </c>
      <c r="G14" s="2" t="s">
        <v>54</v>
      </c>
      <c r="H14" s="2"/>
      <c r="I14" s="2"/>
      <c r="J14" s="2" t="s">
        <v>61</v>
      </c>
      <c r="K14" s="2" t="n">
        <v>2</v>
      </c>
      <c r="L14" s="2"/>
      <c r="M14" s="2"/>
      <c r="N14" s="2" t="s">
        <v>63</v>
      </c>
      <c r="O14" s="5" t="b">
        <f aca="false">FALSE()</f>
        <v>0</v>
      </c>
    </row>
    <row r="15" customFormat="false" ht="15" hidden="false" customHeight="false" outlineLevel="0" collapsed="false">
      <c r="A15" s="2" t="s">
        <v>99</v>
      </c>
      <c r="B15" s="2" t="s">
        <v>100</v>
      </c>
      <c r="C15" s="2" t="n">
        <v>0</v>
      </c>
      <c r="D15" s="2" t="n">
        <v>0</v>
      </c>
      <c r="E15" s="2" t="n">
        <v>0</v>
      </c>
      <c r="F15" s="2" t="n">
        <v>0</v>
      </c>
      <c r="G15" s="2" t="s">
        <v>54</v>
      </c>
      <c r="H15" s="2"/>
      <c r="I15" s="2"/>
      <c r="J15" s="2" t="s">
        <v>61</v>
      </c>
      <c r="K15" s="2" t="n">
        <v>1</v>
      </c>
      <c r="L15" s="2"/>
      <c r="M15" s="2"/>
      <c r="N15" s="2" t="s">
        <v>101</v>
      </c>
      <c r="O15" s="5" t="b">
        <f aca="false">FALSE()</f>
        <v>0</v>
      </c>
    </row>
    <row r="16" customFormat="false" ht="15" hidden="false" customHeight="false" outlineLevel="0" collapsed="false">
      <c r="A16" s="2" t="s">
        <v>102</v>
      </c>
      <c r="B16" s="2" t="s">
        <v>103</v>
      </c>
      <c r="C16" s="2" t="n">
        <v>7.5</v>
      </c>
      <c r="D16" s="2" t="n">
        <v>20</v>
      </c>
      <c r="E16" s="2" t="n">
        <v>2.6</v>
      </c>
      <c r="F16" s="2" t="n">
        <v>139</v>
      </c>
      <c r="G16" s="2" t="s">
        <v>54</v>
      </c>
      <c r="H16" s="2"/>
      <c r="I16" s="2"/>
      <c r="J16" s="2" t="s">
        <v>61</v>
      </c>
      <c r="K16" s="2" t="n">
        <v>10</v>
      </c>
      <c r="L16" s="2"/>
      <c r="M16" s="2" t="s">
        <v>104</v>
      </c>
      <c r="N16" s="2" t="s">
        <v>63</v>
      </c>
      <c r="O16" s="5" t="b">
        <f aca="false">FALSE()</f>
        <v>0</v>
      </c>
    </row>
    <row r="17" customFormat="false" ht="15" hidden="false" customHeight="false" outlineLevel="0" collapsed="false">
      <c r="A17" s="2" t="s">
        <v>105</v>
      </c>
      <c r="B17" s="2" t="s">
        <v>106</v>
      </c>
      <c r="C17" s="2" t="n">
        <v>0</v>
      </c>
      <c r="D17" s="2" t="n">
        <v>67</v>
      </c>
      <c r="E17" s="2" t="n">
        <v>0.2</v>
      </c>
      <c r="F17" s="2" t="n">
        <v>260</v>
      </c>
      <c r="G17" s="2" t="s">
        <v>54</v>
      </c>
      <c r="H17" s="2"/>
      <c r="I17" s="2"/>
      <c r="J17" s="2" t="s">
        <v>61</v>
      </c>
      <c r="K17" s="2" t="n">
        <v>5</v>
      </c>
      <c r="L17" s="2"/>
      <c r="M17" s="2"/>
      <c r="N17" s="2" t="s">
        <v>63</v>
      </c>
      <c r="O17" s="5" t="b">
        <f aca="false">FALSE()</f>
        <v>0</v>
      </c>
    </row>
    <row r="18" customFormat="false" ht="15" hidden="false" customHeight="false" outlineLevel="0" collapsed="false">
      <c r="A18" s="2" t="s">
        <v>107</v>
      </c>
      <c r="B18" s="2" t="s">
        <v>108</v>
      </c>
      <c r="C18" s="2" t="n">
        <v>0</v>
      </c>
      <c r="D18" s="2" t="n">
        <v>0</v>
      </c>
      <c r="E18" s="2" t="n">
        <v>0</v>
      </c>
      <c r="F18" s="2" t="n">
        <v>0</v>
      </c>
      <c r="G18" s="2" t="s">
        <v>54</v>
      </c>
      <c r="H18" s="2"/>
      <c r="I18" s="2"/>
      <c r="J18" s="2" t="s">
        <v>61</v>
      </c>
      <c r="K18" s="2" t="n">
        <v>1</v>
      </c>
      <c r="L18" s="2"/>
      <c r="M18" s="2"/>
      <c r="N18" s="2" t="s">
        <v>109</v>
      </c>
      <c r="O18" s="5" t="b">
        <f aca="false">FALSE()</f>
        <v>0</v>
      </c>
    </row>
    <row r="19" customFormat="false" ht="15" hidden="false" customHeight="false" outlineLevel="0" collapsed="false">
      <c r="A19" s="2" t="s">
        <v>110</v>
      </c>
      <c r="B19" s="2" t="s">
        <v>111</v>
      </c>
      <c r="C19" s="2" t="n">
        <v>11.38</v>
      </c>
      <c r="D19" s="2" t="n">
        <v>1.03</v>
      </c>
      <c r="E19" s="2" t="n">
        <v>9.48</v>
      </c>
      <c r="F19" s="2" t="n">
        <v>134.5</v>
      </c>
      <c r="G19" s="2" t="s">
        <v>54</v>
      </c>
      <c r="H19" s="2" t="n">
        <v>58</v>
      </c>
      <c r="I19" s="2" t="s">
        <v>55</v>
      </c>
      <c r="J19" s="2" t="s">
        <v>56</v>
      </c>
      <c r="K19" s="2" t="n">
        <v>1</v>
      </c>
      <c r="L19" s="2" t="s">
        <v>112</v>
      </c>
      <c r="M19" s="2"/>
      <c r="N19" s="2" t="s">
        <v>113</v>
      </c>
      <c r="O19" s="5" t="b">
        <f aca="false">FALSE()</f>
        <v>0</v>
      </c>
    </row>
    <row r="20" customFormat="false" ht="15" hidden="false" customHeight="false" outlineLevel="0" collapsed="false">
      <c r="A20" s="2" t="s">
        <v>114</v>
      </c>
      <c r="B20" s="2" t="s">
        <v>115</v>
      </c>
      <c r="C20" s="2" t="n">
        <v>10.91</v>
      </c>
      <c r="D20" s="2" t="n">
        <v>0.61</v>
      </c>
      <c r="E20" s="2" t="n">
        <v>0.15</v>
      </c>
      <c r="F20" s="2" t="n">
        <v>51.5</v>
      </c>
      <c r="G20" s="2" t="s">
        <v>54</v>
      </c>
      <c r="H20" s="2" t="n">
        <v>33</v>
      </c>
      <c r="I20" s="2" t="s">
        <v>55</v>
      </c>
      <c r="J20" s="2" t="s">
        <v>56</v>
      </c>
      <c r="K20" s="2" t="n">
        <v>1</v>
      </c>
      <c r="L20" s="2" t="s">
        <v>112</v>
      </c>
      <c r="M20" s="2"/>
      <c r="N20" s="2" t="s">
        <v>116</v>
      </c>
      <c r="O20" s="5" t="b">
        <f aca="false">FALSE()</f>
        <v>0</v>
      </c>
    </row>
    <row r="21" customFormat="false" ht="15" hidden="false" customHeight="false" outlineLevel="0" collapsed="false">
      <c r="A21" s="2" t="s">
        <v>117</v>
      </c>
      <c r="B21" s="2" t="s">
        <v>118</v>
      </c>
      <c r="C21" s="2" t="n">
        <v>2</v>
      </c>
      <c r="D21" s="2" t="n">
        <v>8.5</v>
      </c>
      <c r="E21" s="2" t="n">
        <v>14.67</v>
      </c>
      <c r="F21" s="2" t="n">
        <v>160</v>
      </c>
      <c r="G21" s="2" t="s">
        <v>54</v>
      </c>
      <c r="H21" s="2" t="n">
        <v>150</v>
      </c>
      <c r="I21" s="2" t="s">
        <v>55</v>
      </c>
      <c r="J21" s="2" t="s">
        <v>56</v>
      </c>
      <c r="K21" s="2" t="n">
        <v>0.25</v>
      </c>
      <c r="L21" s="2"/>
      <c r="M21" s="2" t="s">
        <v>119</v>
      </c>
      <c r="N21" s="2" t="s">
        <v>120</v>
      </c>
      <c r="O21" s="5" t="b">
        <f aca="false">FALSE()</f>
        <v>0</v>
      </c>
    </row>
    <row r="22" customFormat="false" ht="15" hidden="false" customHeight="false" outlineLevel="0" collapsed="false">
      <c r="A22" s="2" t="s">
        <v>121</v>
      </c>
      <c r="B22" s="2" t="s">
        <v>122</v>
      </c>
      <c r="C22" s="2" t="n">
        <v>9.5</v>
      </c>
      <c r="D22" s="2" t="n">
        <v>50</v>
      </c>
      <c r="E22" s="2" t="n">
        <v>2</v>
      </c>
      <c r="F22" s="2" t="n">
        <v>290</v>
      </c>
      <c r="G22" s="2" t="s">
        <v>54</v>
      </c>
      <c r="H22" s="2" t="n">
        <v>40</v>
      </c>
      <c r="I22" s="2" t="s">
        <v>123</v>
      </c>
      <c r="J22" s="2" t="s">
        <v>56</v>
      </c>
      <c r="K22" s="2" t="n">
        <v>1</v>
      </c>
      <c r="L22" s="2" t="s">
        <v>83</v>
      </c>
      <c r="M22" s="2"/>
      <c r="N22" s="2" t="s">
        <v>124</v>
      </c>
      <c r="O22" s="5" t="b">
        <f aca="false">FALSE()</f>
        <v>0</v>
      </c>
    </row>
    <row r="23" customFormat="false" ht="15" hidden="false" customHeight="false" outlineLevel="0" collapsed="false">
      <c r="A23" s="2" t="s">
        <v>125</v>
      </c>
      <c r="B23" s="2" t="s">
        <v>126</v>
      </c>
      <c r="C23" s="2" t="n">
        <v>18</v>
      </c>
      <c r="D23" s="2" t="n">
        <v>0</v>
      </c>
      <c r="E23" s="2" t="n">
        <v>4.67</v>
      </c>
      <c r="F23" s="2" t="n">
        <v>120</v>
      </c>
      <c r="G23" s="2" t="s">
        <v>54</v>
      </c>
      <c r="H23" s="2" t="n">
        <v>15</v>
      </c>
      <c r="I23" s="2" t="s">
        <v>123</v>
      </c>
      <c r="J23" s="2" t="s">
        <v>56</v>
      </c>
      <c r="K23" s="2" t="n">
        <v>1</v>
      </c>
      <c r="L23" s="2" t="s">
        <v>127</v>
      </c>
      <c r="M23" s="2"/>
      <c r="N23" s="2" t="s">
        <v>128</v>
      </c>
      <c r="O23" s="5" t="b">
        <f aca="false">FALSE()</f>
        <v>0</v>
      </c>
    </row>
    <row r="24" customFormat="false" ht="15" hidden="false" customHeight="false" outlineLevel="0" collapsed="false">
      <c r="A24" s="2" t="s">
        <v>129</v>
      </c>
      <c r="B24" s="2" t="s">
        <v>130</v>
      </c>
      <c r="C24" s="2" t="n">
        <v>0</v>
      </c>
      <c r="D24" s="2" t="n">
        <v>0</v>
      </c>
      <c r="E24" s="2" t="n">
        <v>91.6</v>
      </c>
      <c r="F24" s="2" t="n">
        <v>824</v>
      </c>
      <c r="G24" s="2" t="s">
        <v>54</v>
      </c>
      <c r="H24" s="2"/>
      <c r="I24" s="2"/>
      <c r="J24" s="2" t="s">
        <v>61</v>
      </c>
      <c r="K24" s="2" t="n">
        <v>2</v>
      </c>
      <c r="L24" s="2"/>
      <c r="M24" s="2"/>
      <c r="N24" s="2" t="s">
        <v>63</v>
      </c>
      <c r="O24" s="5" t="b">
        <f aca="false">FALSE()</f>
        <v>0</v>
      </c>
    </row>
    <row r="25" customFormat="false" ht="15" hidden="false" customHeight="false" outlineLevel="0" collapsed="false">
      <c r="A25" s="2" t="s">
        <v>131</v>
      </c>
      <c r="B25" s="2" t="s">
        <v>132</v>
      </c>
      <c r="C25" s="2" t="n">
        <v>0</v>
      </c>
      <c r="D25" s="2" t="n">
        <v>0</v>
      </c>
      <c r="E25" s="2" t="n">
        <v>0</v>
      </c>
      <c r="F25" s="2" t="n">
        <v>0</v>
      </c>
      <c r="G25" s="2" t="s">
        <v>54</v>
      </c>
      <c r="H25" s="2"/>
      <c r="I25" s="2"/>
      <c r="J25" s="2" t="s">
        <v>61</v>
      </c>
      <c r="K25" s="2" t="n">
        <v>1</v>
      </c>
      <c r="L25" s="2"/>
      <c r="M25" s="2"/>
      <c r="N25" s="2" t="s">
        <v>133</v>
      </c>
      <c r="O25" s="5" t="b">
        <f aca="false">FALSE()</f>
        <v>0</v>
      </c>
    </row>
    <row r="26" customFormat="false" ht="15" hidden="false" customHeight="false" outlineLevel="0" collapsed="false">
      <c r="A26" s="2" t="s">
        <v>134</v>
      </c>
      <c r="B26" s="2" t="s">
        <v>135</v>
      </c>
      <c r="C26" s="2" t="n">
        <v>16</v>
      </c>
      <c r="D26" s="2" t="n">
        <v>3</v>
      </c>
      <c r="E26" s="2" t="n">
        <v>4</v>
      </c>
      <c r="F26" s="2" t="n">
        <v>110</v>
      </c>
      <c r="G26" s="2" t="s">
        <v>54</v>
      </c>
      <c r="H26" s="2" t="n">
        <v>50</v>
      </c>
      <c r="I26" s="2" t="s">
        <v>55</v>
      </c>
      <c r="J26" s="2" t="s">
        <v>56</v>
      </c>
      <c r="K26" s="2" t="n">
        <v>1</v>
      </c>
      <c r="L26" s="2" t="s">
        <v>83</v>
      </c>
      <c r="M26" s="2"/>
      <c r="N26" s="2" t="s">
        <v>136</v>
      </c>
      <c r="O26" s="5" t="b">
        <f aca="false">FALSE()</f>
        <v>0</v>
      </c>
    </row>
    <row r="27" customFormat="false" ht="15" hidden="false" customHeight="false" outlineLevel="0" collapsed="false">
      <c r="A27" s="2" t="s">
        <v>137</v>
      </c>
      <c r="B27" s="2" t="s">
        <v>138</v>
      </c>
      <c r="C27" s="2" t="n">
        <v>4.7</v>
      </c>
      <c r="D27" s="2" t="n">
        <v>14.5</v>
      </c>
      <c r="E27" s="2" t="n">
        <v>0.4</v>
      </c>
      <c r="F27" s="2" t="n">
        <v>80</v>
      </c>
      <c r="G27" s="2" t="s">
        <v>54</v>
      </c>
      <c r="H27" s="2"/>
      <c r="I27" s="2"/>
      <c r="J27" s="2" t="s">
        <v>61</v>
      </c>
      <c r="K27" s="2" t="n">
        <v>10</v>
      </c>
      <c r="L27" s="2"/>
      <c r="M27" s="2"/>
      <c r="N27" s="2" t="s">
        <v>139</v>
      </c>
      <c r="O27" s="5" t="b">
        <f aca="false">FALSE()</f>
        <v>0</v>
      </c>
    </row>
    <row r="28" customFormat="false" ht="15" hidden="false" customHeight="false" outlineLevel="0" collapsed="false">
      <c r="A28" s="2" t="s">
        <v>140</v>
      </c>
      <c r="B28" s="2" t="s">
        <v>141</v>
      </c>
      <c r="C28" s="2" t="n">
        <v>9.14</v>
      </c>
      <c r="D28" s="2" t="n">
        <v>40</v>
      </c>
      <c r="E28" s="2" t="n">
        <v>3.43</v>
      </c>
      <c r="F28" s="2" t="n">
        <v>251.4</v>
      </c>
      <c r="G28" s="2" t="s">
        <v>54</v>
      </c>
      <c r="H28" s="2" t="n">
        <v>35</v>
      </c>
      <c r="I28" s="2" t="s">
        <v>123</v>
      </c>
      <c r="J28" s="2" t="s">
        <v>56</v>
      </c>
      <c r="K28" s="2" t="n">
        <v>1</v>
      </c>
      <c r="L28" s="2" t="s">
        <v>83</v>
      </c>
      <c r="M28" s="2"/>
      <c r="N28" s="2" t="s">
        <v>142</v>
      </c>
      <c r="O28" s="5" t="b">
        <f aca="false">FALSE()</f>
        <v>0</v>
      </c>
    </row>
    <row r="29" customFormat="false" ht="15" hidden="false" customHeight="false" outlineLevel="0" collapsed="false">
      <c r="A29" s="2" t="s">
        <v>143</v>
      </c>
      <c r="B29" s="2" t="s">
        <v>144</v>
      </c>
      <c r="C29" s="2" t="n">
        <v>0</v>
      </c>
      <c r="D29" s="2" t="n">
        <v>0</v>
      </c>
      <c r="E29" s="2" t="n">
        <v>0</v>
      </c>
      <c r="F29" s="2" t="n">
        <v>0</v>
      </c>
      <c r="G29" s="2" t="s">
        <v>76</v>
      </c>
      <c r="H29" s="2"/>
      <c r="I29" s="2"/>
      <c r="J29" s="2" t="s">
        <v>61</v>
      </c>
      <c r="K29" s="2" t="n">
        <v>10</v>
      </c>
      <c r="L29" s="2"/>
      <c r="M29" s="2"/>
      <c r="N29" s="2" t="s">
        <v>145</v>
      </c>
      <c r="O29" s="5" t="b">
        <f aca="false">FALSE()</f>
        <v>0</v>
      </c>
    </row>
    <row r="30" customFormat="false" ht="15" hidden="false" customHeight="false" outlineLevel="0" collapsed="false">
      <c r="A30" s="2" t="s">
        <v>146</v>
      </c>
      <c r="B30" s="2" t="s">
        <v>147</v>
      </c>
      <c r="C30" s="2" t="n">
        <v>0</v>
      </c>
      <c r="D30" s="2" t="n">
        <v>0</v>
      </c>
      <c r="E30" s="2" t="n">
        <v>0</v>
      </c>
      <c r="F30" s="2" t="n">
        <v>0</v>
      </c>
      <c r="G30" s="2" t="s">
        <v>54</v>
      </c>
      <c r="H30" s="2"/>
      <c r="I30" s="2"/>
      <c r="J30" s="2" t="s">
        <v>56</v>
      </c>
      <c r="K30" s="2" t="n">
        <v>1</v>
      </c>
      <c r="L30" s="2"/>
      <c r="M30" s="2"/>
      <c r="N30" s="2" t="s">
        <v>145</v>
      </c>
      <c r="O30" s="5" t="b">
        <f aca="false">FALSE()</f>
        <v>0</v>
      </c>
    </row>
    <row r="31" customFormat="false" ht="15" hidden="false" customHeight="false" outlineLevel="0" collapsed="false">
      <c r="A31" s="2" t="s">
        <v>148</v>
      </c>
      <c r="B31" s="2" t="s">
        <v>149</v>
      </c>
      <c r="C31" s="2" t="n">
        <v>9.5</v>
      </c>
      <c r="D31" s="2" t="n">
        <v>3.6</v>
      </c>
      <c r="E31" s="2" t="n">
        <v>0.2</v>
      </c>
      <c r="F31" s="2" t="n">
        <v>56</v>
      </c>
      <c r="G31" s="2" t="s">
        <v>54</v>
      </c>
      <c r="H31" s="2"/>
      <c r="I31" s="2"/>
      <c r="J31" s="2" t="s">
        <v>61</v>
      </c>
      <c r="K31" s="2" t="n">
        <v>5</v>
      </c>
      <c r="L31" s="2" t="s">
        <v>69</v>
      </c>
      <c r="M31" s="2"/>
      <c r="N31" s="2" t="s">
        <v>150</v>
      </c>
      <c r="O31" s="5" t="b">
        <f aca="false">FALSE()</f>
        <v>0</v>
      </c>
    </row>
    <row r="32" customFormat="false" ht="15" hidden="false" customHeight="false" outlineLevel="0" collapsed="false">
      <c r="A32" s="2" t="s">
        <v>151</v>
      </c>
      <c r="B32" s="2" t="s">
        <v>152</v>
      </c>
      <c r="C32" s="2" t="n">
        <v>21</v>
      </c>
      <c r="D32" s="2" t="n">
        <v>7</v>
      </c>
      <c r="E32" s="2" t="n">
        <v>56</v>
      </c>
      <c r="F32" s="2" t="n">
        <v>614</v>
      </c>
      <c r="G32" s="2" t="s">
        <v>54</v>
      </c>
      <c r="H32" s="2"/>
      <c r="I32" s="2"/>
      <c r="J32" s="2" t="s">
        <v>61</v>
      </c>
      <c r="K32" s="2" t="n">
        <v>5</v>
      </c>
      <c r="L32" s="2" t="s">
        <v>79</v>
      </c>
      <c r="M32" s="2"/>
      <c r="N32" s="2" t="s">
        <v>153</v>
      </c>
      <c r="O32" s="5" t="b">
        <f aca="false">FALSE()</f>
        <v>0</v>
      </c>
    </row>
    <row r="33" customFormat="false" ht="15" hidden="false" customHeight="false" outlineLevel="0" collapsed="false">
      <c r="A33" s="2" t="s">
        <v>154</v>
      </c>
      <c r="B33" s="2" t="s">
        <v>155</v>
      </c>
      <c r="C33" s="2" t="n">
        <v>21</v>
      </c>
      <c r="D33" s="2" t="n">
        <v>22</v>
      </c>
      <c r="E33" s="2" t="n">
        <v>50</v>
      </c>
      <c r="F33" s="2" t="n">
        <v>579</v>
      </c>
      <c r="G33" s="2" t="s">
        <v>54</v>
      </c>
      <c r="H33" s="2"/>
      <c r="I33" s="2"/>
      <c r="J33" s="2" t="s">
        <v>61</v>
      </c>
      <c r="K33" s="2" t="n">
        <v>5</v>
      </c>
      <c r="L33" s="2" t="s">
        <v>79</v>
      </c>
      <c r="M33" s="2"/>
      <c r="N33" s="2" t="s">
        <v>156</v>
      </c>
      <c r="O33" s="5" t="b">
        <f aca="false">FALSE()</f>
        <v>0</v>
      </c>
    </row>
    <row r="34" customFormat="false" ht="15" hidden="false" customHeight="false" outlineLevel="0" collapsed="false">
      <c r="A34" s="2" t="s">
        <v>157</v>
      </c>
      <c r="B34" s="2" t="s">
        <v>158</v>
      </c>
      <c r="C34" s="2" t="n">
        <v>22.5</v>
      </c>
      <c r="D34" s="2" t="n">
        <v>0</v>
      </c>
      <c r="E34" s="2" t="n">
        <v>12.5</v>
      </c>
      <c r="F34" s="2" t="n">
        <v>200</v>
      </c>
      <c r="G34" s="2" t="s">
        <v>54</v>
      </c>
      <c r="H34" s="2" t="n">
        <v>4</v>
      </c>
      <c r="I34" s="2" t="s">
        <v>55</v>
      </c>
      <c r="J34" s="2" t="s">
        <v>56</v>
      </c>
      <c r="K34" s="2" t="n">
        <v>1</v>
      </c>
      <c r="L34" s="2" t="s">
        <v>127</v>
      </c>
      <c r="M34" s="2"/>
      <c r="N34" s="2" t="s">
        <v>156</v>
      </c>
      <c r="O34" s="5" t="b">
        <f aca="false">FALSE()</f>
        <v>0</v>
      </c>
    </row>
    <row r="35" customFormat="false" ht="15" hidden="false" customHeight="false" outlineLevel="0" collapsed="false">
      <c r="A35" s="2" t="s">
        <v>159</v>
      </c>
      <c r="B35" s="2" t="s">
        <v>160</v>
      </c>
      <c r="C35" s="2" t="n">
        <v>0.32</v>
      </c>
      <c r="D35" s="2" t="n">
        <v>12.4</v>
      </c>
      <c r="E35" s="2" t="n">
        <v>0.16</v>
      </c>
      <c r="F35" s="2" t="n">
        <v>52</v>
      </c>
      <c r="G35" s="2" t="s">
        <v>54</v>
      </c>
      <c r="H35" s="2" t="n">
        <v>125</v>
      </c>
      <c r="I35" s="2" t="s">
        <v>55</v>
      </c>
      <c r="J35" s="2" t="s">
        <v>56</v>
      </c>
      <c r="K35" s="2" t="n">
        <v>0.5</v>
      </c>
      <c r="L35" s="2"/>
      <c r="M35" s="2"/>
      <c r="N35" s="2" t="s">
        <v>156</v>
      </c>
      <c r="O35" s="5" t="b">
        <f aca="false">FALSE()</f>
        <v>0</v>
      </c>
    </row>
    <row r="36" customFormat="false" ht="15" hidden="false" customHeight="false" outlineLevel="0" collapsed="false">
      <c r="A36" s="2" t="s">
        <v>161</v>
      </c>
      <c r="B36" s="2" t="s">
        <v>162</v>
      </c>
      <c r="C36" s="2" t="n">
        <v>2.4</v>
      </c>
      <c r="D36" s="2" t="n">
        <v>1.8</v>
      </c>
      <c r="E36" s="2" t="n">
        <v>0.3</v>
      </c>
      <c r="F36" s="2" t="n">
        <v>22</v>
      </c>
      <c r="G36" s="2" t="s">
        <v>54</v>
      </c>
      <c r="H36" s="2"/>
      <c r="I36" s="2"/>
      <c r="J36" s="2" t="s">
        <v>61</v>
      </c>
      <c r="K36" s="2" t="n">
        <v>10</v>
      </c>
      <c r="L36" s="2"/>
      <c r="M36" s="2"/>
      <c r="N36" s="2" t="s">
        <v>156</v>
      </c>
      <c r="O36" s="5" t="b">
        <f aca="false">FALSE()</f>
        <v>0</v>
      </c>
    </row>
    <row r="37" customFormat="false" ht="15" hidden="false" customHeight="false" outlineLevel="0" collapsed="false">
      <c r="A37" s="2" t="s">
        <v>163</v>
      </c>
      <c r="B37" s="2" t="s">
        <v>164</v>
      </c>
      <c r="C37" s="2" t="n">
        <v>1.5</v>
      </c>
      <c r="D37" s="2" t="n">
        <v>32</v>
      </c>
      <c r="E37" s="2" t="n">
        <v>0.5</v>
      </c>
      <c r="F37" s="2" t="n">
        <v>140</v>
      </c>
      <c r="G37" s="2" t="s">
        <v>54</v>
      </c>
      <c r="H37" s="2"/>
      <c r="I37" s="2"/>
      <c r="J37" s="2" t="s">
        <v>61</v>
      </c>
      <c r="K37" s="2" t="n">
        <v>5</v>
      </c>
      <c r="L37" s="2"/>
      <c r="M37" s="2"/>
      <c r="N37" s="2" t="s">
        <v>165</v>
      </c>
      <c r="O37" s="5" t="b">
        <f aca="false">FALSE()</f>
        <v>0</v>
      </c>
    </row>
    <row r="38" customFormat="false" ht="15" hidden="false" customHeight="false" outlineLevel="0" collapsed="false">
      <c r="A38" s="2" t="s">
        <v>166</v>
      </c>
      <c r="B38" s="2" t="s">
        <v>167</v>
      </c>
      <c r="C38" s="2" t="n">
        <v>10</v>
      </c>
      <c r="D38" s="2" t="n">
        <v>52</v>
      </c>
      <c r="E38" s="2" t="n">
        <v>2.4</v>
      </c>
      <c r="F38" s="2" t="n">
        <v>272</v>
      </c>
      <c r="G38" s="2" t="s">
        <v>54</v>
      </c>
      <c r="H38" s="2" t="n">
        <v>25</v>
      </c>
      <c r="I38" s="2" t="s">
        <v>123</v>
      </c>
      <c r="J38" s="2" t="s">
        <v>56</v>
      </c>
      <c r="K38" s="2" t="n">
        <v>1</v>
      </c>
      <c r="L38" s="2" t="s">
        <v>83</v>
      </c>
      <c r="M38" s="2"/>
      <c r="N38" s="2" t="s">
        <v>156</v>
      </c>
      <c r="O38" s="5" t="b">
        <f aca="false">FALSE()</f>
        <v>0</v>
      </c>
    </row>
    <row r="39" customFormat="false" ht="15" hidden="false" customHeight="false" outlineLevel="0" collapsed="false">
      <c r="A39" s="2" t="s">
        <v>168</v>
      </c>
      <c r="B39" s="2" t="s">
        <v>169</v>
      </c>
      <c r="C39" s="2" t="n">
        <v>7</v>
      </c>
      <c r="D39" s="2" t="n">
        <v>70</v>
      </c>
      <c r="E39" s="2" t="n">
        <v>13</v>
      </c>
      <c r="F39" s="2" t="n">
        <v>440</v>
      </c>
      <c r="G39" s="2" t="s">
        <v>54</v>
      </c>
      <c r="H39" s="2"/>
      <c r="I39" s="2"/>
      <c r="J39" s="2" t="s">
        <v>61</v>
      </c>
      <c r="K39" s="2" t="n">
        <v>5</v>
      </c>
      <c r="L39" s="2"/>
      <c r="M39" s="2"/>
      <c r="N39" s="2" t="s">
        <v>156</v>
      </c>
      <c r="O39" s="5" t="b">
        <f aca="false">FALSE()</f>
        <v>0</v>
      </c>
    </row>
    <row r="40" customFormat="false" ht="15" hidden="false" customHeight="false" outlineLevel="0" collapsed="false">
      <c r="A40" s="2" t="s">
        <v>170</v>
      </c>
      <c r="B40" s="2" t="s">
        <v>171</v>
      </c>
      <c r="C40" s="2" t="n">
        <v>0.5</v>
      </c>
      <c r="D40" s="2" t="n">
        <v>17</v>
      </c>
      <c r="E40" s="2" t="n">
        <v>0</v>
      </c>
      <c r="F40" s="2" t="n">
        <v>88</v>
      </c>
      <c r="G40" s="2" t="s">
        <v>76</v>
      </c>
      <c r="H40" s="2"/>
      <c r="I40" s="2"/>
      <c r="J40" s="2" t="s">
        <v>61</v>
      </c>
      <c r="K40" s="2" t="n">
        <v>2</v>
      </c>
      <c r="L40" s="2"/>
      <c r="M40" s="2"/>
      <c r="N40" s="2" t="s">
        <v>156</v>
      </c>
      <c r="O40" s="5" t="b">
        <f aca="false">FALSE()</f>
        <v>0</v>
      </c>
    </row>
    <row r="41" customFormat="false" ht="15" hidden="false" customHeight="false" outlineLevel="0" collapsed="false">
      <c r="A41" s="2" t="s">
        <v>172</v>
      </c>
      <c r="B41" s="2" t="s">
        <v>173</v>
      </c>
      <c r="C41" s="2" t="n">
        <v>1.5</v>
      </c>
      <c r="D41" s="2" t="n">
        <v>2.6</v>
      </c>
      <c r="E41" s="2" t="n">
        <v>0.3</v>
      </c>
      <c r="F41" s="2" t="n">
        <v>15</v>
      </c>
      <c r="G41" s="2" t="s">
        <v>54</v>
      </c>
      <c r="H41" s="2"/>
      <c r="I41" s="2"/>
      <c r="J41" s="2" t="s">
        <v>61</v>
      </c>
      <c r="K41" s="2" t="n">
        <v>10</v>
      </c>
      <c r="L41" s="2"/>
      <c r="M41" s="2"/>
      <c r="N41" s="2" t="s">
        <v>156</v>
      </c>
      <c r="O41" s="5" t="b">
        <f aca="false">FALSE()</f>
        <v>0</v>
      </c>
    </row>
    <row r="42" customFormat="false" ht="15" hidden="false" customHeight="false" outlineLevel="0" collapsed="false">
      <c r="A42" s="2" t="s">
        <v>174</v>
      </c>
      <c r="B42" s="2" t="s">
        <v>175</v>
      </c>
      <c r="C42" s="2" t="n">
        <v>4</v>
      </c>
      <c r="D42" s="2" t="n">
        <v>5</v>
      </c>
      <c r="E42" s="2" t="n">
        <v>43</v>
      </c>
      <c r="F42" s="2" t="n">
        <v>430</v>
      </c>
      <c r="G42" s="2" t="s">
        <v>54</v>
      </c>
      <c r="H42" s="2"/>
      <c r="I42" s="2"/>
      <c r="J42" s="2" t="s">
        <v>61</v>
      </c>
      <c r="K42" s="2" t="n">
        <v>2</v>
      </c>
      <c r="L42" s="2" t="s">
        <v>176</v>
      </c>
      <c r="M42" s="2"/>
      <c r="N42" s="2" t="s">
        <v>165</v>
      </c>
      <c r="O42" s="5" t="b">
        <f aca="false">FALSE()</f>
        <v>0</v>
      </c>
    </row>
    <row r="43" customFormat="false" ht="15" hidden="false" customHeight="false" outlineLevel="0" collapsed="false">
      <c r="A43" s="2" t="s">
        <v>177</v>
      </c>
      <c r="B43" s="2" t="s">
        <v>178</v>
      </c>
      <c r="C43" s="2" t="n">
        <v>7.5</v>
      </c>
      <c r="D43" s="2" t="n">
        <v>78</v>
      </c>
      <c r="E43" s="2" t="n">
        <v>0.6</v>
      </c>
      <c r="F43" s="2" t="n">
        <v>349</v>
      </c>
      <c r="G43" s="2" t="s">
        <v>54</v>
      </c>
      <c r="H43" s="2"/>
      <c r="I43" s="2"/>
      <c r="J43" s="2" t="s">
        <v>61</v>
      </c>
      <c r="K43" s="2" t="n">
        <v>5</v>
      </c>
      <c r="L43" s="2"/>
      <c r="M43" s="2"/>
      <c r="N43" s="2" t="s">
        <v>156</v>
      </c>
      <c r="O43" s="5" t="b">
        <f aca="false">FALSE()</f>
        <v>0</v>
      </c>
    </row>
    <row r="44" customFormat="false" ht="15" hidden="false" customHeight="false" outlineLevel="0" collapsed="false">
      <c r="A44" s="2" t="s">
        <v>179</v>
      </c>
      <c r="B44" s="2" t="s">
        <v>180</v>
      </c>
      <c r="C44" s="2" t="n">
        <v>0</v>
      </c>
      <c r="D44" s="2" t="n">
        <v>0</v>
      </c>
      <c r="E44" s="2" t="n">
        <v>0</v>
      </c>
      <c r="F44" s="2" t="n">
        <v>0</v>
      </c>
      <c r="G44" s="2" t="s">
        <v>54</v>
      </c>
      <c r="H44" s="2" t="n">
        <v>100</v>
      </c>
      <c r="I44" s="2" t="s">
        <v>181</v>
      </c>
      <c r="J44" s="2" t="s">
        <v>61</v>
      </c>
      <c r="K44" s="2" t="n">
        <v>1</v>
      </c>
      <c r="L44" s="2"/>
      <c r="M44" s="2"/>
      <c r="N44" s="2" t="s">
        <v>182</v>
      </c>
      <c r="O44" s="5" t="b">
        <f aca="false">FALSE()</f>
        <v>0</v>
      </c>
    </row>
    <row r="45" customFormat="false" ht="15" hidden="false" customHeight="false" outlineLevel="0" collapsed="false">
      <c r="A45" s="2" t="s">
        <v>183</v>
      </c>
      <c r="B45" s="2" t="s">
        <v>184</v>
      </c>
      <c r="C45" s="2" t="n">
        <v>3</v>
      </c>
      <c r="D45" s="2" t="n">
        <v>4.5</v>
      </c>
      <c r="E45" s="2" t="n">
        <v>0.5</v>
      </c>
      <c r="F45" s="2" t="n">
        <v>30</v>
      </c>
      <c r="G45" s="2" t="s">
        <v>54</v>
      </c>
      <c r="H45" s="2"/>
      <c r="I45" s="2"/>
      <c r="J45" s="2" t="s">
        <v>61</v>
      </c>
      <c r="K45" s="2" t="n">
        <v>10</v>
      </c>
      <c r="L45" s="2"/>
      <c r="M45" s="2"/>
      <c r="N45" s="2" t="s">
        <v>156</v>
      </c>
      <c r="O45" s="5" t="b">
        <f aca="false">FALSE()</f>
        <v>0</v>
      </c>
    </row>
    <row r="46" customFormat="false" ht="15" hidden="false" customHeight="false" outlineLevel="0" collapsed="false">
      <c r="A46" s="2" t="s">
        <v>185</v>
      </c>
      <c r="B46" s="2" t="s">
        <v>186</v>
      </c>
      <c r="C46" s="2" t="n">
        <v>23</v>
      </c>
      <c r="D46" s="2" t="n">
        <v>0</v>
      </c>
      <c r="E46" s="2" t="n">
        <v>8</v>
      </c>
      <c r="F46" s="2" t="n">
        <v>165</v>
      </c>
      <c r="G46" s="2" t="s">
        <v>54</v>
      </c>
      <c r="H46" s="2"/>
      <c r="I46" s="2"/>
      <c r="J46" s="2" t="s">
        <v>61</v>
      </c>
      <c r="K46" s="2" t="n">
        <v>10</v>
      </c>
      <c r="L46" s="2"/>
      <c r="M46" s="2"/>
      <c r="N46" s="2" t="s">
        <v>156</v>
      </c>
      <c r="O46" s="5" t="b">
        <f aca="false">FALSE()</f>
        <v>0</v>
      </c>
    </row>
    <row r="47" customFormat="false" ht="15" hidden="false" customHeight="false" outlineLevel="0" collapsed="false">
      <c r="A47" s="2" t="s">
        <v>187</v>
      </c>
      <c r="B47" s="2" t="s">
        <v>188</v>
      </c>
      <c r="C47" s="2" t="n">
        <v>24</v>
      </c>
      <c r="D47" s="2" t="n">
        <v>0</v>
      </c>
      <c r="E47" s="2" t="n">
        <v>14</v>
      </c>
      <c r="F47" s="2" t="n">
        <v>220</v>
      </c>
      <c r="G47" s="2" t="s">
        <v>54</v>
      </c>
      <c r="H47" s="2"/>
      <c r="I47" s="2"/>
      <c r="J47" s="2" t="s">
        <v>61</v>
      </c>
      <c r="K47" s="2" t="n">
        <v>10</v>
      </c>
      <c r="L47" s="2"/>
      <c r="M47" s="2"/>
      <c r="N47" s="2" t="s">
        <v>156</v>
      </c>
      <c r="O47" s="5" t="b">
        <f aca="false">FALSE()</f>
        <v>0</v>
      </c>
    </row>
    <row r="48" customFormat="false" ht="15" hidden="false" customHeight="false" outlineLevel="0" collapsed="false">
      <c r="A48" s="2" t="s">
        <v>189</v>
      </c>
      <c r="B48" s="2" t="s">
        <v>190</v>
      </c>
      <c r="C48" s="2" t="n">
        <v>9</v>
      </c>
      <c r="D48" s="2" t="n">
        <v>20</v>
      </c>
      <c r="E48" s="2" t="n">
        <v>0.5</v>
      </c>
      <c r="F48" s="2" t="n">
        <v>132</v>
      </c>
      <c r="G48" s="2" t="s">
        <v>54</v>
      </c>
      <c r="H48" s="2"/>
      <c r="I48" s="2"/>
      <c r="J48" s="2" t="s">
        <v>61</v>
      </c>
      <c r="K48" s="2" t="n">
        <v>10</v>
      </c>
      <c r="L48" s="2"/>
      <c r="M48" s="2"/>
      <c r="N48" s="2" t="s">
        <v>156</v>
      </c>
      <c r="O48" s="5" t="b">
        <f aca="false">FALSE()</f>
        <v>0</v>
      </c>
    </row>
    <row r="49" customFormat="false" ht="15" hidden="false" customHeight="false" outlineLevel="0" collapsed="false">
      <c r="A49" s="2" t="s">
        <v>191</v>
      </c>
      <c r="B49" s="2" t="s">
        <v>192</v>
      </c>
      <c r="C49" s="2" t="n">
        <v>9.33</v>
      </c>
      <c r="D49" s="2" t="n">
        <v>48</v>
      </c>
      <c r="E49" s="2" t="n">
        <v>4</v>
      </c>
      <c r="F49" s="2" t="n">
        <v>260</v>
      </c>
      <c r="G49" s="2" t="s">
        <v>54</v>
      </c>
      <c r="H49" s="2" t="n">
        <v>75</v>
      </c>
      <c r="I49" s="2" t="s">
        <v>55</v>
      </c>
      <c r="J49" s="2" t="s">
        <v>56</v>
      </c>
      <c r="K49" s="2" t="n">
        <v>1</v>
      </c>
      <c r="L49" s="2" t="s">
        <v>83</v>
      </c>
      <c r="M49" s="2"/>
      <c r="N49" s="2" t="s">
        <v>156</v>
      </c>
      <c r="O49" s="5" t="b">
        <f aca="false">FALSE()</f>
        <v>0</v>
      </c>
    </row>
    <row r="50" customFormat="false" ht="15" hidden="false" customHeight="false" outlineLevel="0" collapsed="false">
      <c r="A50" s="2" t="s">
        <v>193</v>
      </c>
      <c r="B50" s="2" t="s">
        <v>194</v>
      </c>
      <c r="C50" s="2" t="n">
        <v>13</v>
      </c>
      <c r="D50" s="2" t="n">
        <v>72</v>
      </c>
      <c r="E50" s="2" t="n">
        <v>3</v>
      </c>
      <c r="F50" s="2" t="n">
        <v>380</v>
      </c>
      <c r="G50" s="2" t="s">
        <v>54</v>
      </c>
      <c r="H50" s="2"/>
      <c r="I50" s="2"/>
      <c r="J50" s="2" t="s">
        <v>61</v>
      </c>
      <c r="K50" s="2" t="n">
        <v>5</v>
      </c>
      <c r="L50" s="2" t="s">
        <v>83</v>
      </c>
      <c r="M50" s="2"/>
      <c r="N50" s="2" t="s">
        <v>156</v>
      </c>
      <c r="O50" s="5" t="b">
        <f aca="false">FALSE()</f>
        <v>0</v>
      </c>
    </row>
    <row r="51" customFormat="false" ht="15" hidden="false" customHeight="false" outlineLevel="0" collapsed="false">
      <c r="A51" s="2" t="s">
        <v>195</v>
      </c>
      <c r="B51" s="2" t="s">
        <v>196</v>
      </c>
      <c r="C51" s="2" t="n">
        <v>4</v>
      </c>
      <c r="D51" s="2" t="n">
        <v>3.1</v>
      </c>
      <c r="E51" s="2" t="n">
        <v>0.9</v>
      </c>
      <c r="F51" s="2" t="n">
        <v>33</v>
      </c>
      <c r="G51" s="2" t="s">
        <v>54</v>
      </c>
      <c r="H51" s="2"/>
      <c r="I51" s="2"/>
      <c r="J51" s="2" t="s">
        <v>61</v>
      </c>
      <c r="K51" s="2" t="n">
        <v>10</v>
      </c>
      <c r="L51" s="2"/>
      <c r="M51" s="2"/>
      <c r="N51" s="2" t="s">
        <v>156</v>
      </c>
      <c r="O51" s="5" t="b">
        <f aca="false">FALSE()</f>
        <v>0</v>
      </c>
    </row>
    <row r="52" customFormat="false" ht="15" hidden="false" customHeight="false" outlineLevel="0" collapsed="false">
      <c r="A52" s="2" t="s">
        <v>197</v>
      </c>
      <c r="B52" s="2" t="s">
        <v>198</v>
      </c>
      <c r="C52" s="2" t="n">
        <v>0</v>
      </c>
      <c r="D52" s="2" t="n">
        <v>98</v>
      </c>
      <c r="E52" s="2" t="n">
        <v>0</v>
      </c>
      <c r="F52" s="2" t="n">
        <v>380</v>
      </c>
      <c r="G52" s="2" t="s">
        <v>54</v>
      </c>
      <c r="H52" s="2"/>
      <c r="I52" s="2"/>
      <c r="J52" s="2" t="s">
        <v>61</v>
      </c>
      <c r="K52" s="2" t="n">
        <v>2</v>
      </c>
      <c r="L52" s="2"/>
      <c r="M52" s="2"/>
      <c r="N52" s="2" t="s">
        <v>156</v>
      </c>
      <c r="O52" s="5" t="b">
        <f aca="false">FALSE()</f>
        <v>0</v>
      </c>
    </row>
    <row r="53" customFormat="false" ht="15" hidden="false" customHeight="false" outlineLevel="0" collapsed="false">
      <c r="A53" s="2" t="s">
        <v>199</v>
      </c>
      <c r="B53" s="2" t="s">
        <v>200</v>
      </c>
      <c r="C53" s="2" t="n">
        <v>12</v>
      </c>
      <c r="D53" s="2" t="n">
        <v>76</v>
      </c>
      <c r="E53" s="2" t="n">
        <v>1.3</v>
      </c>
      <c r="F53" s="2" t="n">
        <v>342</v>
      </c>
      <c r="G53" s="2" t="s">
        <v>54</v>
      </c>
      <c r="H53" s="2"/>
      <c r="I53" s="2"/>
      <c r="J53" s="2" t="s">
        <v>61</v>
      </c>
      <c r="K53" s="2" t="n">
        <v>5</v>
      </c>
      <c r="L53" s="2" t="s">
        <v>83</v>
      </c>
      <c r="M53" s="2"/>
      <c r="N53" s="2" t="s">
        <v>156</v>
      </c>
      <c r="O53" s="5" t="b">
        <f aca="false">FALSE()</f>
        <v>0</v>
      </c>
    </row>
    <row r="54" customFormat="false" ht="15" hidden="false" customHeight="false" outlineLevel="0" collapsed="false">
      <c r="A54" s="2" t="s">
        <v>201</v>
      </c>
      <c r="B54" s="2" t="s">
        <v>202</v>
      </c>
      <c r="C54" s="2" t="n">
        <v>9.33</v>
      </c>
      <c r="D54" s="2" t="n">
        <v>46.67</v>
      </c>
      <c r="E54" s="2" t="n">
        <v>5.33</v>
      </c>
      <c r="F54" s="2" t="n">
        <v>266.7</v>
      </c>
      <c r="G54" s="2" t="s">
        <v>54</v>
      </c>
      <c r="H54" s="2" t="n">
        <v>75</v>
      </c>
      <c r="I54" s="2" t="s">
        <v>55</v>
      </c>
      <c r="J54" s="2" t="s">
        <v>56</v>
      </c>
      <c r="K54" s="2" t="n">
        <v>1</v>
      </c>
      <c r="L54" s="2" t="s">
        <v>203</v>
      </c>
      <c r="M54" s="2"/>
      <c r="N54" s="2" t="s">
        <v>165</v>
      </c>
      <c r="O54" s="5" t="b">
        <f aca="false">FALSE()</f>
        <v>0</v>
      </c>
    </row>
    <row r="55" customFormat="false" ht="15" hidden="false" customHeight="false" outlineLevel="0" collapsed="false">
      <c r="A55" s="2" t="s">
        <v>204</v>
      </c>
      <c r="B55" s="2" t="s">
        <v>205</v>
      </c>
      <c r="C55" s="2" t="n">
        <v>0.9</v>
      </c>
      <c r="D55" s="2" t="n">
        <v>0.6</v>
      </c>
      <c r="E55" s="2" t="n">
        <v>81</v>
      </c>
      <c r="F55" s="2" t="n">
        <v>717</v>
      </c>
      <c r="G55" s="2" t="s">
        <v>54</v>
      </c>
      <c r="H55" s="2"/>
      <c r="I55" s="2"/>
      <c r="J55" s="2" t="s">
        <v>61</v>
      </c>
      <c r="K55" s="2" t="n">
        <v>5</v>
      </c>
      <c r="L55" s="2" t="s">
        <v>69</v>
      </c>
      <c r="M55" s="2"/>
      <c r="N55" s="2" t="s">
        <v>156</v>
      </c>
      <c r="O55" s="5" t="b">
        <f aca="false">FALSE()</f>
        <v>0</v>
      </c>
    </row>
    <row r="56" customFormat="false" ht="15" hidden="false" customHeight="false" outlineLevel="0" collapsed="false">
      <c r="A56" s="2" t="s">
        <v>206</v>
      </c>
      <c r="B56" s="2" t="s">
        <v>207</v>
      </c>
      <c r="C56" s="2" t="n">
        <v>12</v>
      </c>
      <c r="D56" s="2" t="n">
        <v>34</v>
      </c>
      <c r="E56" s="2" t="n">
        <v>40</v>
      </c>
      <c r="F56" s="2" t="n">
        <v>480</v>
      </c>
      <c r="G56" s="2" t="s">
        <v>54</v>
      </c>
      <c r="H56" s="2"/>
      <c r="I56" s="2"/>
      <c r="J56" s="2" t="s">
        <v>61</v>
      </c>
      <c r="K56" s="2" t="n">
        <v>2</v>
      </c>
      <c r="L56" s="2"/>
      <c r="M56" s="2"/>
      <c r="N56" s="2" t="s">
        <v>156</v>
      </c>
      <c r="O56" s="5" t="b">
        <f aca="false">FALSE()</f>
        <v>0</v>
      </c>
    </row>
    <row r="57" customFormat="false" ht="15" hidden="false" customHeight="false" outlineLevel="0" collapsed="false">
      <c r="A57" s="2" t="s">
        <v>208</v>
      </c>
      <c r="B57" s="2" t="s">
        <v>209</v>
      </c>
      <c r="C57" s="2" t="n">
        <v>2.4</v>
      </c>
      <c r="D57" s="2" t="n">
        <v>4.9</v>
      </c>
      <c r="E57" s="2" t="n">
        <v>0.4</v>
      </c>
      <c r="F57" s="2" t="n">
        <v>23</v>
      </c>
      <c r="G57" s="2" t="s">
        <v>54</v>
      </c>
      <c r="H57" s="2"/>
      <c r="I57" s="2"/>
      <c r="J57" s="2" t="s">
        <v>61</v>
      </c>
      <c r="K57" s="2" t="n">
        <v>2</v>
      </c>
      <c r="L57" s="2"/>
      <c r="M57" s="2"/>
      <c r="N57" s="2" t="s">
        <v>156</v>
      </c>
      <c r="O57" s="5" t="b">
        <f aca="false">FALSE()</f>
        <v>0</v>
      </c>
    </row>
    <row r="58" customFormat="false" ht="15" hidden="false" customHeight="false" outlineLevel="0" collapsed="false">
      <c r="A58" s="2" t="s">
        <v>210</v>
      </c>
      <c r="B58" s="2" t="s">
        <v>211</v>
      </c>
      <c r="C58" s="2" t="n">
        <v>0.6</v>
      </c>
      <c r="D58" s="2" t="n">
        <v>7.6</v>
      </c>
      <c r="E58" s="2" t="n">
        <v>0.2</v>
      </c>
      <c r="F58" s="2" t="n">
        <v>35</v>
      </c>
      <c r="G58" s="2" t="s">
        <v>54</v>
      </c>
      <c r="H58" s="2"/>
      <c r="I58" s="2"/>
      <c r="J58" s="2" t="s">
        <v>61</v>
      </c>
      <c r="K58" s="2" t="n">
        <v>10</v>
      </c>
      <c r="L58" s="2"/>
      <c r="M58" s="2"/>
      <c r="N58" s="2" t="s">
        <v>156</v>
      </c>
      <c r="O58" s="5" t="b">
        <f aca="false">FALSE()</f>
        <v>0</v>
      </c>
    </row>
    <row r="59" customFormat="false" ht="15" hidden="false" customHeight="false" outlineLevel="0" collapsed="false">
      <c r="A59" s="2" t="s">
        <v>212</v>
      </c>
      <c r="B59" s="2" t="s">
        <v>213</v>
      </c>
      <c r="C59" s="2" t="n">
        <v>18</v>
      </c>
      <c r="D59" s="2" t="n">
        <v>30</v>
      </c>
      <c r="E59" s="2" t="n">
        <v>44</v>
      </c>
      <c r="F59" s="2" t="n">
        <v>553</v>
      </c>
      <c r="G59" s="2" t="s">
        <v>54</v>
      </c>
      <c r="H59" s="2"/>
      <c r="I59" s="2"/>
      <c r="J59" s="2" t="s">
        <v>61</v>
      </c>
      <c r="K59" s="2" t="n">
        <v>5</v>
      </c>
      <c r="L59" s="2" t="s">
        <v>79</v>
      </c>
      <c r="M59" s="2"/>
      <c r="N59" s="2" t="s">
        <v>156</v>
      </c>
      <c r="O59" s="5" t="b">
        <f aca="false">FALSE()</f>
        <v>0</v>
      </c>
    </row>
    <row r="60" customFormat="false" ht="15" hidden="false" customHeight="false" outlineLevel="0" collapsed="false">
      <c r="A60" s="2" t="s">
        <v>214</v>
      </c>
      <c r="B60" s="2" t="s">
        <v>215</v>
      </c>
      <c r="C60" s="2" t="n">
        <v>2</v>
      </c>
      <c r="D60" s="2" t="n">
        <v>2.6</v>
      </c>
      <c r="E60" s="2" t="n">
        <v>0.5</v>
      </c>
      <c r="F60" s="2" t="n">
        <v>25</v>
      </c>
      <c r="G60" s="2" t="s">
        <v>54</v>
      </c>
      <c r="H60" s="2"/>
      <c r="I60" s="2"/>
      <c r="J60" s="2" t="s">
        <v>61</v>
      </c>
      <c r="K60" s="2" t="n">
        <v>10</v>
      </c>
      <c r="L60" s="2"/>
      <c r="M60" s="2"/>
      <c r="N60" s="2" t="s">
        <v>156</v>
      </c>
      <c r="O60" s="5" t="b">
        <f aca="false">FALSE()</f>
        <v>0</v>
      </c>
    </row>
    <row r="61" customFormat="false" ht="15" hidden="false" customHeight="false" outlineLevel="0" collapsed="false">
      <c r="A61" s="2" t="s">
        <v>216</v>
      </c>
      <c r="B61" s="2" t="s">
        <v>217</v>
      </c>
      <c r="C61" s="2" t="n">
        <v>0.5</v>
      </c>
      <c r="D61" s="2" t="n">
        <v>1.5</v>
      </c>
      <c r="E61" s="2" t="n">
        <v>0.1</v>
      </c>
      <c r="F61" s="2" t="n">
        <v>8</v>
      </c>
      <c r="G61" s="2" t="s">
        <v>54</v>
      </c>
      <c r="H61" s="2"/>
      <c r="I61" s="2"/>
      <c r="J61" s="2" t="s">
        <v>61</v>
      </c>
      <c r="K61" s="2" t="n">
        <v>10</v>
      </c>
      <c r="L61" s="2" t="s">
        <v>218</v>
      </c>
      <c r="M61" s="2"/>
      <c r="N61" s="2" t="s">
        <v>156</v>
      </c>
      <c r="O61" s="5" t="b">
        <f aca="false">FALSE()</f>
        <v>0</v>
      </c>
    </row>
    <row r="62" customFormat="false" ht="15" hidden="false" customHeight="false" outlineLevel="0" collapsed="false">
      <c r="A62" s="2" t="s">
        <v>219</v>
      </c>
      <c r="B62" s="2" t="s">
        <v>220</v>
      </c>
      <c r="C62" s="2" t="n">
        <v>0.9</v>
      </c>
      <c r="D62" s="2" t="n">
        <v>3.9</v>
      </c>
      <c r="E62" s="2" t="n">
        <v>0.3</v>
      </c>
      <c r="F62" s="2" t="n">
        <v>18</v>
      </c>
      <c r="G62" s="2" t="s">
        <v>54</v>
      </c>
      <c r="H62" s="2"/>
      <c r="I62" s="2"/>
      <c r="J62" s="2" t="s">
        <v>61</v>
      </c>
      <c r="K62" s="2" t="n">
        <v>10</v>
      </c>
      <c r="L62" s="2"/>
      <c r="M62" s="2"/>
      <c r="N62" s="2" t="s">
        <v>156</v>
      </c>
      <c r="O62" s="5" t="b">
        <f aca="false">FALSE()</f>
        <v>0</v>
      </c>
    </row>
    <row r="63" customFormat="false" ht="15" hidden="false" customHeight="false" outlineLevel="0" collapsed="false">
      <c r="A63" s="2" t="s">
        <v>221</v>
      </c>
      <c r="B63" s="2" t="s">
        <v>222</v>
      </c>
      <c r="C63" s="2" t="n">
        <v>24</v>
      </c>
      <c r="D63" s="2" t="n">
        <v>0</v>
      </c>
      <c r="E63" s="2" t="n">
        <v>1.1</v>
      </c>
      <c r="F63" s="2" t="n">
        <v>106</v>
      </c>
      <c r="G63" s="2" t="s">
        <v>54</v>
      </c>
      <c r="H63" s="2"/>
      <c r="I63" s="2"/>
      <c r="J63" s="2" t="s">
        <v>61</v>
      </c>
      <c r="K63" s="2" t="n">
        <v>10</v>
      </c>
      <c r="L63" s="2"/>
      <c r="M63" s="2"/>
      <c r="N63" s="2" t="s">
        <v>156</v>
      </c>
      <c r="O63" s="5" t="b">
        <f aca="false">FALSE()</f>
        <v>0</v>
      </c>
    </row>
    <row r="64" customFormat="false" ht="15" hidden="false" customHeight="false" outlineLevel="0" collapsed="false">
      <c r="A64" s="2" t="s">
        <v>223</v>
      </c>
      <c r="B64" s="2" t="s">
        <v>224</v>
      </c>
      <c r="C64" s="2" t="n">
        <v>19</v>
      </c>
      <c r="D64" s="2" t="n">
        <v>0</v>
      </c>
      <c r="E64" s="2" t="n">
        <v>5.7</v>
      </c>
      <c r="F64" s="2" t="n">
        <v>130</v>
      </c>
      <c r="G64" s="2" t="s">
        <v>54</v>
      </c>
      <c r="H64" s="2"/>
      <c r="I64" s="2"/>
      <c r="J64" s="2" t="s">
        <v>61</v>
      </c>
      <c r="K64" s="2" t="n">
        <v>10</v>
      </c>
      <c r="L64" s="2"/>
      <c r="M64" s="2"/>
      <c r="N64" s="2" t="s">
        <v>156</v>
      </c>
      <c r="O64" s="5" t="b">
        <f aca="false">FALSE()</f>
        <v>0</v>
      </c>
    </row>
    <row r="65" customFormat="false" ht="15" hidden="false" customHeight="false" outlineLevel="0" collapsed="false">
      <c r="A65" s="2" t="s">
        <v>225</v>
      </c>
      <c r="B65" s="2" t="s">
        <v>226</v>
      </c>
      <c r="C65" s="2" t="n">
        <v>7.22</v>
      </c>
      <c r="D65" s="2" t="n">
        <v>50</v>
      </c>
      <c r="E65" s="2" t="n">
        <v>5.56</v>
      </c>
      <c r="F65" s="2" t="n">
        <v>277.8</v>
      </c>
      <c r="G65" s="2" t="s">
        <v>54</v>
      </c>
      <c r="H65" s="2" t="n">
        <v>18</v>
      </c>
      <c r="I65" s="2" t="s">
        <v>55</v>
      </c>
      <c r="J65" s="2" t="s">
        <v>56</v>
      </c>
      <c r="K65" s="2" t="n">
        <v>1</v>
      </c>
      <c r="L65" s="2" t="s">
        <v>83</v>
      </c>
      <c r="M65" s="2"/>
      <c r="N65" s="2" t="s">
        <v>156</v>
      </c>
      <c r="O65" s="5" t="b">
        <f aca="false">FALSE()</f>
        <v>0</v>
      </c>
    </row>
    <row r="66" customFormat="false" ht="15" hidden="false" customHeight="false" outlineLevel="0" collapsed="false">
      <c r="A66" s="2" t="s">
        <v>227</v>
      </c>
      <c r="B66" s="2" t="s">
        <v>228</v>
      </c>
      <c r="C66" s="2" t="n">
        <v>2</v>
      </c>
      <c r="D66" s="2" t="n">
        <v>20</v>
      </c>
      <c r="E66" s="2" t="n">
        <v>1.5</v>
      </c>
      <c r="F66" s="2" t="n">
        <v>110</v>
      </c>
      <c r="G66" s="2" t="s">
        <v>54</v>
      </c>
      <c r="H66" s="2"/>
      <c r="I66" s="2"/>
      <c r="J66" s="2" t="s">
        <v>61</v>
      </c>
      <c r="K66" s="2" t="n">
        <v>2</v>
      </c>
      <c r="L66" s="2"/>
      <c r="M66" s="2"/>
      <c r="N66" s="2" t="s">
        <v>156</v>
      </c>
      <c r="O66" s="5" t="b">
        <f aca="false">FALSE()</f>
        <v>0</v>
      </c>
    </row>
    <row r="67" customFormat="false" ht="15" hidden="false" customHeight="false" outlineLevel="0" collapsed="false">
      <c r="A67" s="2" t="s">
        <v>229</v>
      </c>
      <c r="B67" s="2" t="s">
        <v>230</v>
      </c>
      <c r="C67" s="2" t="n">
        <v>6</v>
      </c>
      <c r="D67" s="2" t="n">
        <v>57</v>
      </c>
      <c r="E67" s="2" t="n">
        <v>32</v>
      </c>
      <c r="F67" s="2" t="n">
        <v>539</v>
      </c>
      <c r="G67" s="2" t="s">
        <v>54</v>
      </c>
      <c r="H67" s="2"/>
      <c r="I67" s="2"/>
      <c r="J67" s="2" t="s">
        <v>61</v>
      </c>
      <c r="K67" s="2" t="n">
        <v>5</v>
      </c>
      <c r="L67" s="2" t="s">
        <v>231</v>
      </c>
      <c r="M67" s="2"/>
      <c r="N67" s="2" t="s">
        <v>165</v>
      </c>
      <c r="O67" s="5" t="b">
        <f aca="false">FALSE()</f>
        <v>0</v>
      </c>
    </row>
    <row r="68" customFormat="false" ht="15" hidden="false" customHeight="false" outlineLevel="0" collapsed="false">
      <c r="A68" s="2" t="s">
        <v>232</v>
      </c>
      <c r="B68" s="2" t="s">
        <v>233</v>
      </c>
      <c r="C68" s="2" t="n">
        <v>0</v>
      </c>
      <c r="D68" s="2" t="n">
        <v>0.9</v>
      </c>
      <c r="E68" s="2" t="n">
        <v>0</v>
      </c>
      <c r="F68" s="2" t="n">
        <v>22</v>
      </c>
      <c r="G68" s="2" t="s">
        <v>76</v>
      </c>
      <c r="H68" s="2"/>
      <c r="I68" s="2"/>
      <c r="J68" s="2" t="s">
        <v>61</v>
      </c>
      <c r="K68" s="2" t="n">
        <v>2</v>
      </c>
      <c r="L68" s="2"/>
      <c r="M68" s="2"/>
      <c r="N68" s="2" t="s">
        <v>156</v>
      </c>
      <c r="O68" s="5" t="b">
        <f aca="false">FALSE()</f>
        <v>0</v>
      </c>
    </row>
    <row r="69" customFormat="false" ht="15" hidden="false" customHeight="false" outlineLevel="0" collapsed="false">
      <c r="A69" s="2" t="s">
        <v>234</v>
      </c>
      <c r="B69" s="2" t="s">
        <v>235</v>
      </c>
      <c r="C69" s="2" t="n">
        <v>0</v>
      </c>
      <c r="D69" s="2" t="n">
        <v>0</v>
      </c>
      <c r="E69" s="2" t="n">
        <v>99.1</v>
      </c>
      <c r="F69" s="2" t="n">
        <v>862</v>
      </c>
      <c r="G69" s="2" t="s">
        <v>54</v>
      </c>
      <c r="H69" s="2"/>
      <c r="I69" s="2"/>
      <c r="J69" s="2" t="s">
        <v>61</v>
      </c>
      <c r="K69" s="2" t="n">
        <v>2</v>
      </c>
      <c r="L69" s="2"/>
      <c r="M69" s="2"/>
      <c r="N69" s="2" t="s">
        <v>156</v>
      </c>
      <c r="O69" s="5" t="b">
        <f aca="false">FALSE()</f>
        <v>0</v>
      </c>
    </row>
    <row r="70" customFormat="false" ht="15" hidden="false" customHeight="false" outlineLevel="0" collapsed="false">
      <c r="A70" s="2" t="s">
        <v>236</v>
      </c>
      <c r="B70" s="2" t="s">
        <v>237</v>
      </c>
      <c r="C70" s="2" t="n">
        <v>0.7</v>
      </c>
      <c r="D70" s="2" t="n">
        <v>3.7</v>
      </c>
      <c r="E70" s="2" t="n">
        <v>0.2</v>
      </c>
      <c r="F70" s="2" t="n">
        <v>19</v>
      </c>
      <c r="G70" s="2" t="s">
        <v>76</v>
      </c>
      <c r="H70" s="2"/>
      <c r="I70" s="2"/>
      <c r="J70" s="2" t="s">
        <v>61</v>
      </c>
      <c r="K70" s="2" t="n">
        <v>10</v>
      </c>
      <c r="L70" s="2"/>
      <c r="M70" s="2"/>
      <c r="N70" s="2" t="s">
        <v>156</v>
      </c>
      <c r="O70" s="5" t="b">
        <f aca="false">FALSE()</f>
        <v>0</v>
      </c>
    </row>
    <row r="71" customFormat="false" ht="15" hidden="false" customHeight="false" outlineLevel="0" collapsed="false">
      <c r="A71" s="2" t="s">
        <v>238</v>
      </c>
      <c r="B71" s="2" t="s">
        <v>239</v>
      </c>
      <c r="C71" s="2" t="n">
        <v>1.2</v>
      </c>
      <c r="D71" s="2" t="n">
        <v>5.4</v>
      </c>
      <c r="E71" s="2" t="n">
        <v>0.2</v>
      </c>
      <c r="F71" s="2" t="n">
        <v>27</v>
      </c>
      <c r="G71" s="2" t="s">
        <v>54</v>
      </c>
      <c r="H71" s="2"/>
      <c r="I71" s="2"/>
      <c r="J71" s="2" t="s">
        <v>61</v>
      </c>
      <c r="K71" s="2" t="n">
        <v>10</v>
      </c>
      <c r="L71" s="2"/>
      <c r="M71" s="2"/>
      <c r="N71" s="2" t="s">
        <v>156</v>
      </c>
      <c r="O71" s="5" t="b">
        <f aca="false">FALSE()</f>
        <v>0</v>
      </c>
    </row>
    <row r="72" customFormat="false" ht="15" hidden="false" customHeight="false" outlineLevel="0" collapsed="false">
      <c r="A72" s="2" t="s">
        <v>240</v>
      </c>
      <c r="B72" s="2" t="s">
        <v>241</v>
      </c>
      <c r="C72" s="2" t="n">
        <v>19</v>
      </c>
      <c r="D72" s="2" t="n">
        <v>0.5</v>
      </c>
      <c r="E72" s="2" t="n">
        <v>0.9</v>
      </c>
      <c r="F72" s="2" t="n">
        <v>89</v>
      </c>
      <c r="G72" s="2" t="s">
        <v>54</v>
      </c>
      <c r="H72" s="2"/>
      <c r="I72" s="2"/>
      <c r="J72" s="2" t="s">
        <v>61</v>
      </c>
      <c r="K72" s="2" t="n">
        <v>10</v>
      </c>
      <c r="L72" s="2" t="s">
        <v>242</v>
      </c>
      <c r="M72" s="2"/>
      <c r="N72" s="2" t="s">
        <v>156</v>
      </c>
      <c r="O72" s="5" t="b">
        <f aca="false">FALSE()</f>
        <v>0</v>
      </c>
    </row>
    <row r="73" customFormat="false" ht="15" hidden="false" customHeight="false" outlineLevel="0" collapsed="false">
      <c r="A73" s="2" t="s">
        <v>243</v>
      </c>
      <c r="B73" s="2" t="s">
        <v>244</v>
      </c>
      <c r="C73" s="2" t="n">
        <v>5.67</v>
      </c>
      <c r="D73" s="2" t="n">
        <v>46.67</v>
      </c>
      <c r="E73" s="2" t="n">
        <v>2.33</v>
      </c>
      <c r="F73" s="2" t="n">
        <v>226.7</v>
      </c>
      <c r="G73" s="2" t="s">
        <v>54</v>
      </c>
      <c r="H73" s="2" t="n">
        <v>30</v>
      </c>
      <c r="I73" s="2" t="s">
        <v>55</v>
      </c>
      <c r="J73" s="2" t="s">
        <v>56</v>
      </c>
      <c r="K73" s="2" t="n">
        <v>1</v>
      </c>
      <c r="L73" s="2"/>
      <c r="M73" s="2"/>
      <c r="N73" s="2" t="s">
        <v>156</v>
      </c>
      <c r="O73" s="5" t="b">
        <f aca="false">FALSE()</f>
        <v>0</v>
      </c>
    </row>
    <row r="74" customFormat="false" ht="15" hidden="false" customHeight="false" outlineLevel="0" collapsed="false">
      <c r="A74" s="2" t="s">
        <v>245</v>
      </c>
      <c r="B74" s="2" t="s">
        <v>246</v>
      </c>
      <c r="C74" s="2" t="n">
        <v>3.28</v>
      </c>
      <c r="D74" s="2" t="n">
        <v>20</v>
      </c>
      <c r="E74" s="2" t="n">
        <v>1.12</v>
      </c>
      <c r="F74" s="2" t="n">
        <v>88.8</v>
      </c>
      <c r="G74" s="2" t="s">
        <v>54</v>
      </c>
      <c r="H74" s="2" t="n">
        <v>125</v>
      </c>
      <c r="I74" s="2" t="s">
        <v>55</v>
      </c>
      <c r="J74" s="2" t="s">
        <v>56</v>
      </c>
      <c r="K74" s="2" t="n">
        <v>0.5</v>
      </c>
      <c r="L74" s="2"/>
      <c r="M74" s="2"/>
      <c r="N74" s="2" t="s">
        <v>156</v>
      </c>
      <c r="O74" s="5" t="b">
        <f aca="false">FALSE()</f>
        <v>0</v>
      </c>
    </row>
    <row r="75" customFormat="false" ht="15" hidden="false" customHeight="false" outlineLevel="0" collapsed="false">
      <c r="A75" s="2" t="s">
        <v>247</v>
      </c>
      <c r="B75" s="2" t="s">
        <v>248</v>
      </c>
      <c r="C75" s="2" t="n">
        <v>7</v>
      </c>
      <c r="D75" s="2" t="n">
        <v>84</v>
      </c>
      <c r="E75" s="2" t="n">
        <v>1</v>
      </c>
      <c r="F75" s="2" t="n">
        <v>380</v>
      </c>
      <c r="G75" s="2" t="s">
        <v>54</v>
      </c>
      <c r="H75" s="2"/>
      <c r="I75" s="2"/>
      <c r="J75" s="2" t="s">
        <v>61</v>
      </c>
      <c r="K75" s="2" t="n">
        <v>5</v>
      </c>
      <c r="L75" s="2" t="s">
        <v>83</v>
      </c>
      <c r="M75" s="2"/>
      <c r="N75" s="2" t="s">
        <v>156</v>
      </c>
      <c r="O75" s="5" t="b">
        <f aca="false">FALSE()</f>
        <v>0</v>
      </c>
    </row>
    <row r="76" customFormat="false" ht="15" hidden="false" customHeight="false" outlineLevel="0" collapsed="false">
      <c r="A76" s="2" t="s">
        <v>249</v>
      </c>
      <c r="B76" s="2" t="s">
        <v>250</v>
      </c>
      <c r="C76" s="2" t="n">
        <v>0.6</v>
      </c>
      <c r="D76" s="2" t="n">
        <v>87</v>
      </c>
      <c r="E76" s="2" t="n">
        <v>0.5</v>
      </c>
      <c r="F76" s="2" t="n">
        <v>354</v>
      </c>
      <c r="G76" s="2" t="s">
        <v>54</v>
      </c>
      <c r="H76" s="2"/>
      <c r="I76" s="2"/>
      <c r="J76" s="2" t="s">
        <v>61</v>
      </c>
      <c r="K76" s="2" t="n">
        <v>5</v>
      </c>
      <c r="L76" s="2"/>
      <c r="M76" s="2"/>
      <c r="N76" s="2" t="s">
        <v>156</v>
      </c>
      <c r="O76" s="5" t="b">
        <f aca="false">FALSE()</f>
        <v>0</v>
      </c>
    </row>
    <row r="77" customFormat="false" ht="15" hidden="false" customHeight="false" outlineLevel="0" collapsed="false">
      <c r="A77" s="2" t="s">
        <v>251</v>
      </c>
      <c r="B77" s="2" t="s">
        <v>252</v>
      </c>
      <c r="C77" s="2" t="n">
        <v>1.5</v>
      </c>
      <c r="D77" s="2" t="n">
        <v>2</v>
      </c>
      <c r="E77" s="2" t="n">
        <v>0.2</v>
      </c>
      <c r="F77" s="2" t="n">
        <v>18</v>
      </c>
      <c r="G77" s="2" t="s">
        <v>54</v>
      </c>
      <c r="H77" s="2"/>
      <c r="I77" s="2"/>
      <c r="J77" s="2" t="s">
        <v>61</v>
      </c>
      <c r="K77" s="2" t="n">
        <v>10</v>
      </c>
      <c r="L77" s="2"/>
      <c r="M77" s="2"/>
      <c r="N77" s="2" t="s">
        <v>156</v>
      </c>
      <c r="O77" s="5" t="b">
        <f aca="false">FALSE()</f>
        <v>0</v>
      </c>
    </row>
    <row r="78" customFormat="false" ht="15" hidden="false" customHeight="false" outlineLevel="0" collapsed="false">
      <c r="A78" s="2" t="s">
        <v>253</v>
      </c>
      <c r="B78" s="2" t="s">
        <v>254</v>
      </c>
      <c r="C78" s="2" t="n">
        <v>13</v>
      </c>
      <c r="D78" s="2" t="n">
        <v>72</v>
      </c>
      <c r="E78" s="2" t="n">
        <v>1.6</v>
      </c>
      <c r="F78" s="2" t="n">
        <v>360</v>
      </c>
      <c r="G78" s="2" t="s">
        <v>54</v>
      </c>
      <c r="H78" s="2"/>
      <c r="I78" s="2"/>
      <c r="J78" s="2" t="s">
        <v>61</v>
      </c>
      <c r="K78" s="2" t="n">
        <v>5</v>
      </c>
      <c r="L78" s="2" t="s">
        <v>83</v>
      </c>
      <c r="M78" s="2"/>
      <c r="N78" s="2" t="s">
        <v>156</v>
      </c>
      <c r="O78" s="5" t="b">
        <f aca="false">FALSE()</f>
        <v>0</v>
      </c>
    </row>
    <row r="79" customFormat="false" ht="15" hidden="false" customHeight="false" outlineLevel="0" collapsed="false">
      <c r="A79" s="2" t="s">
        <v>255</v>
      </c>
      <c r="B79" s="2" t="s">
        <v>256</v>
      </c>
      <c r="C79" s="2" t="n">
        <v>0.4</v>
      </c>
      <c r="D79" s="2" t="n">
        <v>11.5</v>
      </c>
      <c r="E79" s="2" t="n">
        <v>0</v>
      </c>
      <c r="F79" s="2" t="n">
        <v>46</v>
      </c>
      <c r="G79" s="2" t="s">
        <v>76</v>
      </c>
      <c r="H79" s="2"/>
      <c r="I79" s="2"/>
      <c r="J79" s="2" t="s">
        <v>61</v>
      </c>
      <c r="K79" s="2" t="n">
        <v>10</v>
      </c>
      <c r="L79" s="2"/>
      <c r="M79" s="2"/>
      <c r="N79" s="2" t="s">
        <v>156</v>
      </c>
      <c r="O79" s="5" t="b">
        <f aca="false">FALSE()</f>
        <v>0</v>
      </c>
    </row>
    <row r="80" customFormat="false" ht="15" hidden="false" customHeight="false" outlineLevel="0" collapsed="false">
      <c r="A80" s="2" t="s">
        <v>257</v>
      </c>
      <c r="B80" s="2" t="s">
        <v>258</v>
      </c>
      <c r="C80" s="2" t="n">
        <v>8.33</v>
      </c>
      <c r="D80" s="2" t="n">
        <v>43.33</v>
      </c>
      <c r="E80" s="2" t="n">
        <v>20.83</v>
      </c>
      <c r="F80" s="2" t="n">
        <v>400</v>
      </c>
      <c r="G80" s="2" t="s">
        <v>54</v>
      </c>
      <c r="H80" s="2" t="n">
        <v>60</v>
      </c>
      <c r="I80" s="2" t="s">
        <v>55</v>
      </c>
      <c r="J80" s="2" t="s">
        <v>56</v>
      </c>
      <c r="K80" s="2" t="n">
        <v>1</v>
      </c>
      <c r="L80" s="2" t="s">
        <v>259</v>
      </c>
      <c r="M80" s="2"/>
      <c r="N80" s="2" t="s">
        <v>156</v>
      </c>
      <c r="O80" s="5" t="b">
        <f aca="false">FALSE()</f>
        <v>0</v>
      </c>
    </row>
    <row r="81" customFormat="false" ht="15" hidden="false" customHeight="false" outlineLevel="0" collapsed="false">
      <c r="A81" s="2" t="s">
        <v>260</v>
      </c>
      <c r="B81" s="2" t="s">
        <v>261</v>
      </c>
      <c r="C81" s="2" t="n">
        <v>0.6</v>
      </c>
      <c r="D81" s="2" t="n">
        <v>1.5</v>
      </c>
      <c r="E81" s="2" t="n">
        <v>0.1</v>
      </c>
      <c r="F81" s="2" t="n">
        <v>12</v>
      </c>
      <c r="G81" s="2" t="s">
        <v>54</v>
      </c>
      <c r="H81" s="2"/>
      <c r="I81" s="2"/>
      <c r="J81" s="2" t="s">
        <v>61</v>
      </c>
      <c r="K81" s="2" t="n">
        <v>10</v>
      </c>
      <c r="L81" s="2"/>
      <c r="M81" s="2"/>
      <c r="N81" s="2" t="s">
        <v>156</v>
      </c>
      <c r="O81" s="5" t="b">
        <f aca="false">FALSE()</f>
        <v>0</v>
      </c>
    </row>
    <row r="82" customFormat="false" ht="15" hidden="false" customHeight="false" outlineLevel="0" collapsed="false">
      <c r="A82" s="2" t="s">
        <v>262</v>
      </c>
      <c r="B82" s="2" t="s">
        <v>263</v>
      </c>
      <c r="C82" s="2" t="n">
        <v>13</v>
      </c>
      <c r="D82" s="2" t="n">
        <v>34</v>
      </c>
      <c r="E82" s="2" t="n">
        <v>14</v>
      </c>
      <c r="F82" s="2" t="n">
        <v>325</v>
      </c>
      <c r="G82" s="2" t="s">
        <v>54</v>
      </c>
      <c r="H82" s="2"/>
      <c r="I82" s="2"/>
      <c r="J82" s="2" t="s">
        <v>61</v>
      </c>
      <c r="K82" s="2" t="n">
        <v>1</v>
      </c>
      <c r="L82" s="2"/>
      <c r="M82" s="2"/>
      <c r="N82" s="2" t="s">
        <v>156</v>
      </c>
      <c r="O82" s="5" t="b">
        <f aca="false">FALSE()</f>
        <v>0</v>
      </c>
    </row>
    <row r="83" customFormat="false" ht="15" hidden="false" customHeight="false" outlineLevel="0" collapsed="false">
      <c r="A83" s="2" t="s">
        <v>264</v>
      </c>
      <c r="B83" s="2" t="s">
        <v>265</v>
      </c>
      <c r="C83" s="2" t="n">
        <v>5</v>
      </c>
      <c r="D83" s="2" t="n">
        <v>47</v>
      </c>
      <c r="E83" s="2" t="n">
        <v>35</v>
      </c>
      <c r="F83" s="2" t="n">
        <v>550</v>
      </c>
      <c r="G83" s="2" t="s">
        <v>54</v>
      </c>
      <c r="H83" s="2"/>
      <c r="I83" s="2"/>
      <c r="J83" s="2" t="s">
        <v>61</v>
      </c>
      <c r="K83" s="2" t="n">
        <v>5</v>
      </c>
      <c r="L83" s="2"/>
      <c r="M83" s="2"/>
      <c r="N83" s="2" t="s">
        <v>156</v>
      </c>
      <c r="O83" s="5" t="b">
        <f aca="false">FALSE()</f>
        <v>0</v>
      </c>
    </row>
    <row r="84" customFormat="false" ht="15" hidden="false" customHeight="false" outlineLevel="0" collapsed="false">
      <c r="A84" s="2" t="s">
        <v>266</v>
      </c>
      <c r="B84" s="2" t="s">
        <v>267</v>
      </c>
      <c r="C84" s="2" t="n">
        <v>6.43</v>
      </c>
      <c r="D84" s="2" t="n">
        <v>75</v>
      </c>
      <c r="E84" s="2" t="n">
        <v>20</v>
      </c>
      <c r="F84" s="2" t="n">
        <v>500</v>
      </c>
      <c r="G84" s="2" t="s">
        <v>54</v>
      </c>
      <c r="H84" s="2" t="n">
        <v>14</v>
      </c>
      <c r="I84" s="2" t="s">
        <v>55</v>
      </c>
      <c r="J84" s="2" t="s">
        <v>56</v>
      </c>
      <c r="K84" s="2" t="n">
        <v>1</v>
      </c>
      <c r="L84" s="2" t="s">
        <v>83</v>
      </c>
      <c r="M84" s="2"/>
      <c r="N84" s="2" t="s">
        <v>156</v>
      </c>
      <c r="O84" s="5" t="b">
        <f aca="false">FALSE()</f>
        <v>0</v>
      </c>
    </row>
    <row r="85" customFormat="false" ht="15" hidden="false" customHeight="false" outlineLevel="0" collapsed="false">
      <c r="A85" s="2" t="s">
        <v>268</v>
      </c>
      <c r="B85" s="2" t="s">
        <v>269</v>
      </c>
      <c r="C85" s="2" t="n">
        <v>8</v>
      </c>
      <c r="D85" s="2" t="n">
        <v>5</v>
      </c>
      <c r="E85" s="2" t="n">
        <v>8</v>
      </c>
      <c r="F85" s="2" t="n">
        <v>143</v>
      </c>
      <c r="G85" s="2" t="s">
        <v>54</v>
      </c>
      <c r="H85" s="2"/>
      <c r="I85" s="2"/>
      <c r="J85" s="2" t="s">
        <v>61</v>
      </c>
      <c r="K85" s="2" t="n">
        <v>2</v>
      </c>
      <c r="L85" s="2" t="s">
        <v>270</v>
      </c>
      <c r="M85" s="2"/>
      <c r="N85" s="2" t="s">
        <v>156</v>
      </c>
      <c r="O85" s="5" t="b">
        <f aca="false">FALSE()</f>
        <v>0</v>
      </c>
    </row>
    <row r="86" customFormat="false" ht="15" hidden="false" customHeight="false" outlineLevel="0" collapsed="false">
      <c r="A86" s="2" t="s">
        <v>271</v>
      </c>
      <c r="B86" s="2" t="s">
        <v>272</v>
      </c>
      <c r="C86" s="2" t="n">
        <v>12</v>
      </c>
      <c r="D86" s="2" t="n">
        <v>45</v>
      </c>
      <c r="E86" s="2" t="n">
        <v>8</v>
      </c>
      <c r="F86" s="2" t="n">
        <v>280</v>
      </c>
      <c r="G86" s="2" t="s">
        <v>54</v>
      </c>
      <c r="H86" s="2"/>
      <c r="I86" s="2"/>
      <c r="J86" s="2" t="s">
        <v>61</v>
      </c>
      <c r="K86" s="2" t="n">
        <v>1</v>
      </c>
      <c r="L86" s="2"/>
      <c r="M86" s="2"/>
      <c r="N86" s="2" t="s">
        <v>273</v>
      </c>
      <c r="O86" s="5" t="b">
        <f aca="false">FALSE()</f>
        <v>0</v>
      </c>
    </row>
    <row r="87" customFormat="false" ht="15" hidden="false" customHeight="false" outlineLevel="0" collapsed="false">
      <c r="A87" s="2" t="s">
        <v>274</v>
      </c>
      <c r="B87" s="2" t="s">
        <v>275</v>
      </c>
      <c r="C87" s="2" t="n">
        <v>12</v>
      </c>
      <c r="D87" s="2" t="n">
        <v>71</v>
      </c>
      <c r="E87" s="2" t="n">
        <v>1.5</v>
      </c>
      <c r="F87" s="2" t="n">
        <v>352</v>
      </c>
      <c r="G87" s="2" t="s">
        <v>54</v>
      </c>
      <c r="H87" s="2"/>
      <c r="I87" s="2"/>
      <c r="J87" s="2" t="s">
        <v>61</v>
      </c>
      <c r="K87" s="2" t="n">
        <v>5</v>
      </c>
      <c r="L87" s="2" t="s">
        <v>83</v>
      </c>
      <c r="M87" s="2"/>
      <c r="N87" s="2" t="s">
        <v>156</v>
      </c>
      <c r="O87" s="5" t="b">
        <f aca="false">FALSE()</f>
        <v>0</v>
      </c>
    </row>
    <row r="88" customFormat="false" ht="15" hidden="false" customHeight="false" outlineLevel="0" collapsed="false">
      <c r="A88" s="2" t="s">
        <v>276</v>
      </c>
      <c r="B88" s="2" t="s">
        <v>277</v>
      </c>
      <c r="C88" s="2" t="n">
        <v>25</v>
      </c>
      <c r="D88" s="2" t="n">
        <v>54</v>
      </c>
      <c r="E88" s="2" t="n">
        <v>1.6</v>
      </c>
      <c r="F88" s="2" t="n">
        <v>318</v>
      </c>
      <c r="G88" s="2" t="s">
        <v>54</v>
      </c>
      <c r="H88" s="2"/>
      <c r="I88" s="2"/>
      <c r="J88" s="2" t="s">
        <v>61</v>
      </c>
      <c r="K88" s="2" t="n">
        <v>5</v>
      </c>
      <c r="L88" s="2"/>
      <c r="M88" s="2"/>
      <c r="N88" s="2" t="s">
        <v>156</v>
      </c>
      <c r="O88" s="5" t="b">
        <f aca="false">FALSE()</f>
        <v>0</v>
      </c>
    </row>
    <row r="89" customFormat="false" ht="15" hidden="false" customHeight="false" outlineLevel="0" collapsed="false">
      <c r="A89" s="2" t="s">
        <v>278</v>
      </c>
      <c r="B89" s="2" t="s">
        <v>279</v>
      </c>
      <c r="C89" s="2" t="n">
        <v>22</v>
      </c>
      <c r="D89" s="2" t="n">
        <v>0</v>
      </c>
      <c r="E89" s="2" t="n">
        <v>4.3</v>
      </c>
      <c r="F89" s="2" t="n">
        <v>130</v>
      </c>
      <c r="G89" s="2" t="s">
        <v>54</v>
      </c>
      <c r="H89" s="2"/>
      <c r="I89" s="2"/>
      <c r="J89" s="2" t="s">
        <v>61</v>
      </c>
      <c r="K89" s="2" t="n">
        <v>10</v>
      </c>
      <c r="L89" s="2"/>
      <c r="M89" s="2"/>
      <c r="N89" s="2" t="s">
        <v>156</v>
      </c>
      <c r="O89" s="5" t="b">
        <f aca="false">FALSE()</f>
        <v>0</v>
      </c>
    </row>
    <row r="90" customFormat="false" ht="15" hidden="false" customHeight="false" outlineLevel="0" collapsed="false">
      <c r="A90" s="2" t="s">
        <v>280</v>
      </c>
      <c r="B90" s="2" t="s">
        <v>281</v>
      </c>
      <c r="C90" s="2" t="n">
        <v>11</v>
      </c>
      <c r="D90" s="2" t="n">
        <v>9</v>
      </c>
      <c r="E90" s="2" t="n">
        <v>5</v>
      </c>
      <c r="F90" s="2" t="n">
        <v>122</v>
      </c>
      <c r="G90" s="2" t="s">
        <v>54</v>
      </c>
      <c r="H90" s="2"/>
      <c r="I90" s="2"/>
      <c r="J90" s="2" t="s">
        <v>61</v>
      </c>
      <c r="K90" s="2" t="n">
        <v>10</v>
      </c>
      <c r="L90" s="2" t="s">
        <v>282</v>
      </c>
      <c r="M90" s="2"/>
      <c r="N90" s="2" t="s">
        <v>156</v>
      </c>
      <c r="O90" s="5" t="b">
        <f aca="false">FALSE()</f>
        <v>0</v>
      </c>
    </row>
    <row r="91" customFormat="false" ht="15" hidden="false" customHeight="false" outlineLevel="0" collapsed="false">
      <c r="A91" s="2" t="s">
        <v>283</v>
      </c>
      <c r="B91" s="2" t="s">
        <v>284</v>
      </c>
      <c r="C91" s="2" t="n">
        <v>15.88</v>
      </c>
      <c r="D91" s="2" t="n">
        <v>1.76</v>
      </c>
      <c r="E91" s="2" t="n">
        <v>26.47</v>
      </c>
      <c r="F91" s="2" t="n">
        <v>323.5</v>
      </c>
      <c r="G91" s="2" t="s">
        <v>54</v>
      </c>
      <c r="H91" s="2" t="n">
        <v>17</v>
      </c>
      <c r="I91" s="2" t="s">
        <v>55</v>
      </c>
      <c r="J91" s="2" t="s">
        <v>56</v>
      </c>
      <c r="K91" s="2" t="n">
        <v>1</v>
      </c>
      <c r="L91" s="2" t="s">
        <v>112</v>
      </c>
      <c r="M91" s="2"/>
      <c r="N91" s="2" t="s">
        <v>156</v>
      </c>
      <c r="O91" s="5" t="b">
        <f aca="false">FALSE()</f>
        <v>0</v>
      </c>
    </row>
    <row r="92" customFormat="false" ht="15" hidden="false" customHeight="false" outlineLevel="0" collapsed="false">
      <c r="A92" s="2" t="s">
        <v>285</v>
      </c>
      <c r="B92" s="2" t="s">
        <v>286</v>
      </c>
      <c r="C92" s="2" t="n">
        <v>11</v>
      </c>
      <c r="D92" s="2" t="n">
        <v>4</v>
      </c>
      <c r="E92" s="2" t="n">
        <v>0.2</v>
      </c>
      <c r="F92" s="2" t="n">
        <v>63</v>
      </c>
      <c r="G92" s="2" t="s">
        <v>54</v>
      </c>
      <c r="H92" s="2"/>
      <c r="I92" s="2"/>
      <c r="J92" s="2" t="s">
        <v>61</v>
      </c>
      <c r="K92" s="2" t="n">
        <v>5</v>
      </c>
      <c r="L92" s="2" t="s">
        <v>69</v>
      </c>
      <c r="M92" s="2"/>
      <c r="N92" s="2" t="s">
        <v>165</v>
      </c>
      <c r="O92" s="5" t="b">
        <f aca="false">FALSE()</f>
        <v>0</v>
      </c>
    </row>
    <row r="93" customFormat="false" ht="15" hidden="false" customHeight="false" outlineLevel="0" collapsed="false">
      <c r="A93" s="2" t="s">
        <v>287</v>
      </c>
      <c r="B93" s="2" t="s">
        <v>288</v>
      </c>
      <c r="C93" s="2" t="n">
        <v>1.2</v>
      </c>
      <c r="D93" s="2" t="n">
        <v>3.1</v>
      </c>
      <c r="E93" s="2" t="n">
        <v>0.2</v>
      </c>
      <c r="F93" s="2" t="n">
        <v>17</v>
      </c>
      <c r="G93" s="2" t="s">
        <v>54</v>
      </c>
      <c r="H93" s="2"/>
      <c r="I93" s="2"/>
      <c r="J93" s="2" t="s">
        <v>61</v>
      </c>
      <c r="K93" s="2" t="n">
        <v>10</v>
      </c>
      <c r="L93" s="2"/>
      <c r="M93" s="2"/>
      <c r="N93" s="2" t="s">
        <v>156</v>
      </c>
      <c r="O93" s="5" t="b">
        <f aca="false">FALSE()</f>
        <v>0</v>
      </c>
    </row>
    <row r="94" customFormat="false" ht="15" hidden="false" customHeight="false" outlineLevel="0" collapsed="false">
      <c r="A94" s="2" t="s">
        <v>289</v>
      </c>
      <c r="B94" s="2" t="s">
        <v>290</v>
      </c>
      <c r="C94" s="2" t="n">
        <v>14.2</v>
      </c>
      <c r="D94" s="2" t="n">
        <v>1.5</v>
      </c>
      <c r="E94" s="2" t="n">
        <v>21</v>
      </c>
      <c r="F94" s="2" t="n">
        <v>264</v>
      </c>
      <c r="G94" s="2" t="s">
        <v>54</v>
      </c>
      <c r="H94" s="2"/>
      <c r="I94" s="2"/>
      <c r="J94" s="2" t="s">
        <v>61</v>
      </c>
      <c r="K94" s="2" t="n">
        <v>5</v>
      </c>
      <c r="L94" s="2" t="s">
        <v>69</v>
      </c>
      <c r="M94" s="2"/>
      <c r="N94" s="2" t="s">
        <v>156</v>
      </c>
      <c r="O94" s="5" t="b">
        <f aca="false">FALSE()</f>
        <v>0</v>
      </c>
    </row>
    <row r="95" customFormat="false" ht="15" hidden="false" customHeight="false" outlineLevel="0" collapsed="false">
      <c r="A95" s="2" t="s">
        <v>291</v>
      </c>
      <c r="B95" s="2" t="s">
        <v>292</v>
      </c>
      <c r="C95" s="2" t="n">
        <v>8</v>
      </c>
      <c r="D95" s="2" t="n">
        <v>0.7</v>
      </c>
      <c r="E95" s="2" t="n">
        <v>4.2</v>
      </c>
      <c r="F95" s="2" t="n">
        <v>76</v>
      </c>
      <c r="G95" s="2" t="s">
        <v>54</v>
      </c>
      <c r="H95" s="2"/>
      <c r="I95" s="2"/>
      <c r="J95" s="2" t="s">
        <v>61</v>
      </c>
      <c r="K95" s="2" t="n">
        <v>10</v>
      </c>
      <c r="L95" s="2" t="s">
        <v>282</v>
      </c>
      <c r="M95" s="2"/>
      <c r="N95" s="2" t="s">
        <v>156</v>
      </c>
      <c r="O95" s="5" t="b">
        <f aca="false">FALSE()</f>
        <v>0</v>
      </c>
    </row>
    <row r="96" customFormat="false" ht="15" hidden="false" customHeight="false" outlineLevel="0" collapsed="false">
      <c r="A96" s="2" t="s">
        <v>293</v>
      </c>
      <c r="B96" s="2" t="s">
        <v>294</v>
      </c>
      <c r="C96" s="2" t="n">
        <v>5</v>
      </c>
      <c r="D96" s="2" t="n">
        <v>3.6</v>
      </c>
      <c r="E96" s="2" t="n">
        <v>0</v>
      </c>
      <c r="F96" s="2" t="n">
        <v>35</v>
      </c>
      <c r="G96" s="2" t="s">
        <v>76</v>
      </c>
      <c r="H96" s="2"/>
      <c r="I96" s="2"/>
      <c r="J96" s="2" t="s">
        <v>61</v>
      </c>
      <c r="K96" s="2" t="n">
        <v>2</v>
      </c>
      <c r="L96" s="2" t="s">
        <v>127</v>
      </c>
      <c r="M96" s="2"/>
      <c r="N96" s="2" t="s">
        <v>156</v>
      </c>
      <c r="O96" s="5" t="b">
        <f aca="false">FALSE()</f>
        <v>0</v>
      </c>
    </row>
    <row r="97" customFormat="false" ht="15" hidden="false" customHeight="false" outlineLevel="0" collapsed="false">
      <c r="A97" s="2" t="s">
        <v>295</v>
      </c>
      <c r="B97" s="2" t="s">
        <v>296</v>
      </c>
      <c r="C97" s="2" t="n">
        <v>18</v>
      </c>
      <c r="D97" s="2" t="n">
        <v>29</v>
      </c>
      <c r="E97" s="2" t="n">
        <v>42</v>
      </c>
      <c r="F97" s="2" t="n">
        <v>534</v>
      </c>
      <c r="G97" s="2" t="s">
        <v>54</v>
      </c>
      <c r="H97" s="2"/>
      <c r="I97" s="2"/>
      <c r="J97" s="2" t="s">
        <v>61</v>
      </c>
      <c r="K97" s="2" t="n">
        <v>2</v>
      </c>
      <c r="L97" s="2"/>
      <c r="M97" s="2"/>
      <c r="N97" s="2" t="s">
        <v>156</v>
      </c>
      <c r="O97" s="5" t="b">
        <f aca="false">FALSE()</f>
        <v>0</v>
      </c>
    </row>
    <row r="98" customFormat="false" ht="15" hidden="false" customHeight="false" outlineLevel="0" collapsed="false">
      <c r="A98" s="2" t="s">
        <v>297</v>
      </c>
      <c r="B98" s="2" t="s">
        <v>298</v>
      </c>
      <c r="C98" s="2" t="n">
        <v>7.78</v>
      </c>
      <c r="D98" s="2" t="n">
        <v>48.89</v>
      </c>
      <c r="E98" s="2" t="n">
        <v>6.67</v>
      </c>
      <c r="F98" s="2" t="n">
        <v>288.9</v>
      </c>
      <c r="G98" s="2" t="s">
        <v>54</v>
      </c>
      <c r="H98" s="2" t="n">
        <v>45</v>
      </c>
      <c r="I98" s="2" t="s">
        <v>55</v>
      </c>
      <c r="J98" s="2" t="s">
        <v>56</v>
      </c>
      <c r="K98" s="2" t="n">
        <v>1</v>
      </c>
      <c r="L98" s="2" t="s">
        <v>83</v>
      </c>
      <c r="M98" s="2"/>
      <c r="N98" s="2" t="s">
        <v>156</v>
      </c>
      <c r="O98" s="5" t="b">
        <f aca="false">FALSE()</f>
        <v>0</v>
      </c>
    </row>
    <row r="99" customFormat="false" ht="15" hidden="false" customHeight="false" outlineLevel="0" collapsed="false">
      <c r="A99" s="2" t="s">
        <v>299</v>
      </c>
      <c r="B99" s="2" t="s">
        <v>300</v>
      </c>
      <c r="C99" s="2" t="n">
        <v>0</v>
      </c>
      <c r="D99" s="2" t="n">
        <v>40</v>
      </c>
      <c r="E99" s="2" t="n">
        <v>0</v>
      </c>
      <c r="F99" s="2" t="n">
        <v>200</v>
      </c>
      <c r="G99" s="2" t="s">
        <v>54</v>
      </c>
      <c r="H99" s="2"/>
      <c r="I99" s="2"/>
      <c r="J99" s="2" t="s">
        <v>56</v>
      </c>
      <c r="K99" s="2" t="n">
        <v>1</v>
      </c>
      <c r="L99" s="2"/>
      <c r="M99" s="2"/>
      <c r="N99" s="2" t="s">
        <v>156</v>
      </c>
      <c r="O99" s="5" t="b">
        <f aca="false">FALSE()</f>
        <v>0</v>
      </c>
    </row>
    <row r="100" customFormat="false" ht="15" hidden="false" customHeight="false" outlineLevel="0" collapsed="false">
      <c r="A100" s="2" t="s">
        <v>301</v>
      </c>
      <c r="B100" s="2" t="s">
        <v>302</v>
      </c>
      <c r="C100" s="2" t="n">
        <v>3</v>
      </c>
      <c r="D100" s="2" t="n">
        <v>4</v>
      </c>
      <c r="E100" s="2" t="n">
        <v>0.6</v>
      </c>
      <c r="F100" s="2" t="n">
        <v>30</v>
      </c>
      <c r="G100" s="2" t="s">
        <v>54</v>
      </c>
      <c r="H100" s="2"/>
      <c r="I100" s="2"/>
      <c r="J100" s="2" t="s">
        <v>61</v>
      </c>
      <c r="K100" s="2" t="n">
        <v>5</v>
      </c>
      <c r="L100" s="2"/>
      <c r="M100" s="2"/>
      <c r="N100" s="2" t="s">
        <v>303</v>
      </c>
      <c r="O100" s="5" t="b">
        <f aca="false">FALSE()</f>
        <v>0</v>
      </c>
    </row>
    <row r="101" customFormat="false" ht="15" hidden="false" customHeight="false" outlineLevel="0" collapsed="false">
      <c r="A101" s="2" t="s">
        <v>304</v>
      </c>
      <c r="B101" s="2" t="s">
        <v>305</v>
      </c>
      <c r="C101" s="2" t="n">
        <v>3.5</v>
      </c>
      <c r="D101" s="2" t="n">
        <v>32</v>
      </c>
      <c r="E101" s="2" t="n">
        <v>1</v>
      </c>
      <c r="F101" s="2" t="n">
        <v>156</v>
      </c>
      <c r="G101" s="2" t="s">
        <v>54</v>
      </c>
      <c r="H101" s="2"/>
      <c r="I101" s="2"/>
      <c r="J101" s="2" t="s">
        <v>61</v>
      </c>
      <c r="K101" s="2" t="n">
        <v>5</v>
      </c>
      <c r="L101" s="2" t="s">
        <v>83</v>
      </c>
      <c r="M101" s="2"/>
      <c r="N101" s="2" t="s">
        <v>156</v>
      </c>
      <c r="O101" s="5" t="b">
        <f aca="false">FALSE()</f>
        <v>0</v>
      </c>
    </row>
    <row r="102" customFormat="false" ht="15" hidden="false" customHeight="false" outlineLevel="0" collapsed="false">
      <c r="A102" s="2" t="s">
        <v>306</v>
      </c>
      <c r="B102" s="2" t="s">
        <v>307</v>
      </c>
      <c r="C102" s="2" t="n">
        <v>1.2</v>
      </c>
      <c r="D102" s="2" t="n">
        <v>7</v>
      </c>
      <c r="E102" s="2" t="n">
        <v>0.3</v>
      </c>
      <c r="F102" s="2" t="n">
        <v>36</v>
      </c>
      <c r="G102" s="2" t="s">
        <v>54</v>
      </c>
      <c r="H102" s="2"/>
      <c r="I102" s="2"/>
      <c r="J102" s="2" t="s">
        <v>61</v>
      </c>
      <c r="K102" s="2" t="n">
        <v>5</v>
      </c>
      <c r="L102" s="2"/>
      <c r="M102" s="2"/>
      <c r="N102" s="2" t="s">
        <v>156</v>
      </c>
      <c r="O102" s="5" t="b">
        <f aca="false">FALSE()</f>
        <v>0</v>
      </c>
    </row>
    <row r="103" customFormat="false" ht="15" hidden="false" customHeight="false" outlineLevel="0" collapsed="false">
      <c r="A103" s="2" t="s">
        <v>308</v>
      </c>
      <c r="B103" s="2" t="s">
        <v>309</v>
      </c>
      <c r="C103" s="2" t="n">
        <v>6</v>
      </c>
      <c r="D103" s="2" t="n">
        <v>11</v>
      </c>
      <c r="E103" s="2" t="n">
        <v>0.9</v>
      </c>
      <c r="F103" s="2" t="n">
        <v>78</v>
      </c>
      <c r="G103" s="2" t="s">
        <v>54</v>
      </c>
      <c r="H103" s="2"/>
      <c r="I103" s="2"/>
      <c r="J103" s="2" t="s">
        <v>61</v>
      </c>
      <c r="K103" s="2" t="n">
        <v>10</v>
      </c>
      <c r="L103" s="2"/>
      <c r="M103" s="2"/>
      <c r="N103" s="2" t="s">
        <v>156</v>
      </c>
      <c r="O103" s="5" t="b">
        <f aca="false">FALSE()</f>
        <v>0</v>
      </c>
    </row>
    <row r="104" customFormat="false" ht="15" hidden="false" customHeight="false" outlineLevel="0" collapsed="false">
      <c r="A104" s="2" t="s">
        <v>310</v>
      </c>
      <c r="B104" s="2" t="s">
        <v>311</v>
      </c>
      <c r="C104" s="2" t="n">
        <v>2</v>
      </c>
      <c r="D104" s="2" t="n">
        <v>2.8</v>
      </c>
      <c r="E104" s="2" t="n">
        <v>19</v>
      </c>
      <c r="F104" s="2" t="n">
        <v>187</v>
      </c>
      <c r="G104" s="2" t="s">
        <v>76</v>
      </c>
      <c r="H104" s="2"/>
      <c r="I104" s="2"/>
      <c r="J104" s="2" t="s">
        <v>61</v>
      </c>
      <c r="K104" s="2" t="n">
        <v>10</v>
      </c>
      <c r="L104" s="2"/>
      <c r="M104" s="2"/>
      <c r="N104" s="2" t="s">
        <v>156</v>
      </c>
      <c r="O104" s="5" t="b">
        <f aca="false">FALSE()</f>
        <v>0</v>
      </c>
    </row>
    <row r="105" customFormat="false" ht="15" hidden="false" customHeight="false" outlineLevel="0" collapsed="false">
      <c r="A105" s="2" t="s">
        <v>312</v>
      </c>
      <c r="B105" s="2" t="s">
        <v>313</v>
      </c>
      <c r="C105" s="2" t="n">
        <v>6.67</v>
      </c>
      <c r="D105" s="2" t="n">
        <v>33.33</v>
      </c>
      <c r="E105" s="2" t="n">
        <v>0</v>
      </c>
      <c r="F105" s="2" t="n">
        <v>133.3</v>
      </c>
      <c r="G105" s="2" t="s">
        <v>54</v>
      </c>
      <c r="H105" s="2" t="n">
        <v>3</v>
      </c>
      <c r="I105" s="2" t="s">
        <v>55</v>
      </c>
      <c r="J105" s="2" t="s">
        <v>56</v>
      </c>
      <c r="K105" s="2" t="n">
        <v>1</v>
      </c>
      <c r="L105" s="2"/>
      <c r="M105" s="2"/>
      <c r="N105" s="2" t="s">
        <v>156</v>
      </c>
      <c r="O105" s="5" t="b">
        <f aca="false">FALSE()</f>
        <v>0</v>
      </c>
    </row>
    <row r="106" customFormat="false" ht="15" hidden="false" customHeight="false" outlineLevel="0" collapsed="false">
      <c r="A106" s="2" t="s">
        <v>314</v>
      </c>
      <c r="B106" s="2" t="s">
        <v>315</v>
      </c>
      <c r="C106" s="2" t="n">
        <v>0.3</v>
      </c>
      <c r="D106" s="2" t="n">
        <v>2</v>
      </c>
      <c r="E106" s="2" t="n">
        <v>0.2</v>
      </c>
      <c r="F106" s="2" t="n">
        <v>11</v>
      </c>
      <c r="G106" s="2" t="s">
        <v>54</v>
      </c>
      <c r="H106" s="2"/>
      <c r="I106" s="2"/>
      <c r="J106" s="2" t="s">
        <v>61</v>
      </c>
      <c r="K106" s="2" t="n">
        <v>5</v>
      </c>
      <c r="L106" s="2"/>
      <c r="M106" s="2"/>
      <c r="N106" s="2" t="s">
        <v>156</v>
      </c>
      <c r="O106" s="5" t="b">
        <f aca="false">FALSE()</f>
        <v>0</v>
      </c>
    </row>
    <row r="107" customFormat="false" ht="15" hidden="false" customHeight="false" outlineLevel="0" collapsed="false">
      <c r="A107" s="2" t="s">
        <v>316</v>
      </c>
      <c r="B107" s="2" t="s">
        <v>317</v>
      </c>
      <c r="C107" s="2" t="n">
        <v>21</v>
      </c>
      <c r="D107" s="2" t="n">
        <v>0</v>
      </c>
      <c r="E107" s="2" t="n">
        <v>2.3</v>
      </c>
      <c r="F107" s="2" t="n">
        <v>109</v>
      </c>
      <c r="G107" s="2" t="s">
        <v>54</v>
      </c>
      <c r="H107" s="2"/>
      <c r="I107" s="2"/>
      <c r="J107" s="2" t="s">
        <v>61</v>
      </c>
      <c r="K107" s="2" t="n">
        <v>10</v>
      </c>
      <c r="L107" s="2"/>
      <c r="M107" s="2"/>
      <c r="N107" s="2" t="s">
        <v>156</v>
      </c>
      <c r="O107" s="5" t="b">
        <f aca="false">FALSE()</f>
        <v>0</v>
      </c>
    </row>
    <row r="108" customFormat="false" ht="15" hidden="false" customHeight="false" outlineLevel="0" collapsed="false">
      <c r="A108" s="2" t="s">
        <v>318</v>
      </c>
      <c r="B108" s="2" t="s">
        <v>319</v>
      </c>
      <c r="C108" s="2" t="n">
        <v>9</v>
      </c>
      <c r="D108" s="2" t="n">
        <v>62</v>
      </c>
      <c r="E108" s="2" t="n">
        <v>15</v>
      </c>
      <c r="F108" s="2" t="n">
        <v>435</v>
      </c>
      <c r="G108" s="2" t="s">
        <v>54</v>
      </c>
      <c r="H108" s="2"/>
      <c r="I108" s="2"/>
      <c r="J108" s="2" t="s">
        <v>61</v>
      </c>
      <c r="K108" s="2" t="n">
        <v>5</v>
      </c>
      <c r="L108" s="2" t="s">
        <v>320</v>
      </c>
      <c r="M108" s="2"/>
      <c r="N108" s="2" t="s">
        <v>165</v>
      </c>
      <c r="O108" s="5" t="b">
        <f aca="false">FALSE()</f>
        <v>0</v>
      </c>
    </row>
    <row r="109" customFormat="false" ht="15" hidden="false" customHeight="false" outlineLevel="0" collapsed="false">
      <c r="A109" s="2" t="s">
        <v>321</v>
      </c>
      <c r="B109" s="2" t="s">
        <v>322</v>
      </c>
      <c r="C109" s="2" t="n">
        <v>8.67</v>
      </c>
      <c r="D109" s="2" t="n">
        <v>49.33</v>
      </c>
      <c r="E109" s="2" t="n">
        <v>3.33</v>
      </c>
      <c r="F109" s="2" t="n">
        <v>266.7</v>
      </c>
      <c r="G109" s="2" t="s">
        <v>54</v>
      </c>
      <c r="H109" s="2" t="n">
        <v>75</v>
      </c>
      <c r="I109" s="2" t="s">
        <v>55</v>
      </c>
      <c r="J109" s="2" t="s">
        <v>56</v>
      </c>
      <c r="K109" s="2" t="n">
        <v>1</v>
      </c>
      <c r="L109" s="2" t="s">
        <v>83</v>
      </c>
      <c r="M109" s="2"/>
      <c r="N109" s="2" t="s">
        <v>156</v>
      </c>
      <c r="O109" s="5" t="b">
        <f aca="false">FALSE()</f>
        <v>0</v>
      </c>
    </row>
    <row r="110" customFormat="false" ht="15" hidden="false" customHeight="false" outlineLevel="0" collapsed="false">
      <c r="A110" s="2" t="s">
        <v>323</v>
      </c>
      <c r="B110" s="2" t="s">
        <v>324</v>
      </c>
      <c r="C110" s="2" t="n">
        <v>2</v>
      </c>
      <c r="D110" s="2" t="n">
        <v>4.9</v>
      </c>
      <c r="E110" s="2" t="n">
        <v>0.2</v>
      </c>
      <c r="F110" s="2" t="n">
        <v>31</v>
      </c>
      <c r="G110" s="2" t="s">
        <v>54</v>
      </c>
      <c r="H110" s="2"/>
      <c r="I110" s="2"/>
      <c r="J110" s="2" t="s">
        <v>61</v>
      </c>
      <c r="K110" s="2" t="n">
        <v>10</v>
      </c>
      <c r="L110" s="2"/>
      <c r="M110" s="2"/>
      <c r="N110" s="2" t="s">
        <v>156</v>
      </c>
      <c r="O110" s="5" t="b">
        <f aca="false">FALSE()</f>
        <v>0</v>
      </c>
    </row>
    <row r="111" customFormat="false" ht="15" hidden="false" customHeight="false" outlineLevel="0" collapsed="false">
      <c r="A111" s="2" t="s">
        <v>325</v>
      </c>
      <c r="B111" s="2" t="s">
        <v>326</v>
      </c>
      <c r="C111" s="2" t="n">
        <v>21</v>
      </c>
      <c r="D111" s="2" t="n">
        <v>8</v>
      </c>
      <c r="E111" s="2" t="n">
        <v>50</v>
      </c>
      <c r="F111" s="2" t="n">
        <v>579</v>
      </c>
      <c r="G111" s="2" t="s">
        <v>54</v>
      </c>
      <c r="H111" s="2"/>
      <c r="I111" s="2"/>
      <c r="J111" s="2" t="s">
        <v>61</v>
      </c>
      <c r="K111" s="2" t="n">
        <v>5</v>
      </c>
      <c r="L111" s="2" t="s">
        <v>79</v>
      </c>
      <c r="M111" s="2"/>
      <c r="N111" s="2" t="s">
        <v>156</v>
      </c>
      <c r="O111" s="5" t="b">
        <f aca="false">FALSE()</f>
        <v>0</v>
      </c>
    </row>
    <row r="112" customFormat="false" ht="15" hidden="false" customHeight="false" outlineLevel="0" collapsed="false">
      <c r="A112" s="2" t="s">
        <v>327</v>
      </c>
      <c r="B112" s="2" t="s">
        <v>328</v>
      </c>
      <c r="C112" s="2" t="n">
        <v>21</v>
      </c>
      <c r="D112" s="2" t="n">
        <v>2.2</v>
      </c>
      <c r="E112" s="2" t="n">
        <v>25</v>
      </c>
      <c r="F112" s="2" t="n">
        <v>321</v>
      </c>
      <c r="G112" s="2" t="s">
        <v>54</v>
      </c>
      <c r="H112" s="2"/>
      <c r="I112" s="2"/>
      <c r="J112" s="2" t="s">
        <v>61</v>
      </c>
      <c r="K112" s="2" t="n">
        <v>5</v>
      </c>
      <c r="L112" s="2" t="s">
        <v>69</v>
      </c>
      <c r="M112" s="2"/>
      <c r="N112" s="2" t="s">
        <v>156</v>
      </c>
      <c r="O112" s="5" t="b">
        <f aca="false">FALSE()</f>
        <v>0</v>
      </c>
    </row>
    <row r="113" customFormat="false" ht="15" hidden="false" customHeight="false" outlineLevel="0" collapsed="false">
      <c r="A113" s="2" t="s">
        <v>329</v>
      </c>
      <c r="B113" s="2" t="s">
        <v>330</v>
      </c>
      <c r="C113" s="2" t="n">
        <v>3</v>
      </c>
      <c r="D113" s="2" t="n">
        <v>18</v>
      </c>
      <c r="E113" s="2" t="n">
        <v>5</v>
      </c>
      <c r="F113" s="2" t="n">
        <v>140</v>
      </c>
      <c r="G113" s="2" t="s">
        <v>54</v>
      </c>
      <c r="H113" s="2"/>
      <c r="I113" s="2"/>
      <c r="J113" s="2" t="s">
        <v>61</v>
      </c>
      <c r="K113" s="2" t="n">
        <v>2</v>
      </c>
      <c r="L113" s="2"/>
      <c r="M113" s="2"/>
      <c r="N113" s="2" t="s">
        <v>156</v>
      </c>
      <c r="O113" s="5" t="b">
        <f aca="false">FALSE()</f>
        <v>0</v>
      </c>
    </row>
    <row r="114" customFormat="false" ht="15" hidden="false" customHeight="false" outlineLevel="0" collapsed="false">
      <c r="A114" s="2" t="s">
        <v>331</v>
      </c>
      <c r="B114" s="2" t="s">
        <v>332</v>
      </c>
      <c r="C114" s="2" t="n">
        <v>3</v>
      </c>
      <c r="D114" s="2" t="n">
        <v>44</v>
      </c>
      <c r="E114" s="2" t="n">
        <v>3.5</v>
      </c>
      <c r="F114" s="2" t="n">
        <v>220</v>
      </c>
      <c r="G114" s="2" t="s">
        <v>54</v>
      </c>
      <c r="H114" s="2"/>
      <c r="I114" s="2"/>
      <c r="J114" s="2" t="s">
        <v>61</v>
      </c>
      <c r="K114" s="2" t="n">
        <v>5</v>
      </c>
      <c r="L114" s="2" t="s">
        <v>333</v>
      </c>
      <c r="M114" s="2"/>
      <c r="N114" s="2" t="s">
        <v>165</v>
      </c>
      <c r="O114" s="5" t="b">
        <f aca="false">FALSE()</f>
        <v>0</v>
      </c>
    </row>
    <row r="115" customFormat="false" ht="15" hidden="false" customHeight="false" outlineLevel="0" collapsed="false">
      <c r="A115" s="2" t="s">
        <v>334</v>
      </c>
      <c r="B115" s="2" t="s">
        <v>335</v>
      </c>
      <c r="C115" s="2" t="n">
        <v>7</v>
      </c>
      <c r="D115" s="2" t="n">
        <v>11</v>
      </c>
      <c r="E115" s="2" t="n">
        <v>12</v>
      </c>
      <c r="F115" s="2" t="n">
        <v>177</v>
      </c>
      <c r="G115" s="2" t="s">
        <v>54</v>
      </c>
      <c r="H115" s="2"/>
      <c r="I115" s="2"/>
      <c r="J115" s="2" t="s">
        <v>61</v>
      </c>
      <c r="K115" s="2" t="n">
        <v>5</v>
      </c>
      <c r="L115" s="2" t="s">
        <v>336</v>
      </c>
      <c r="M115" s="2"/>
      <c r="N115" s="2" t="s">
        <v>156</v>
      </c>
      <c r="O115" s="5" t="b">
        <f aca="false">FALSE()</f>
        <v>0</v>
      </c>
    </row>
    <row r="116" customFormat="false" ht="15" hidden="false" customHeight="false" outlineLevel="0" collapsed="false">
      <c r="A116" s="2" t="s">
        <v>337</v>
      </c>
      <c r="B116" s="2" t="s">
        <v>338</v>
      </c>
      <c r="C116" s="2" t="n">
        <v>1.43</v>
      </c>
      <c r="D116" s="2" t="n">
        <v>6.43</v>
      </c>
      <c r="E116" s="2" t="n">
        <v>0.36</v>
      </c>
      <c r="F116" s="2" t="n">
        <v>28.6</v>
      </c>
      <c r="G116" s="2" t="s">
        <v>54</v>
      </c>
      <c r="H116" s="2" t="n">
        <v>14</v>
      </c>
      <c r="I116" s="2" t="s">
        <v>55</v>
      </c>
      <c r="J116" s="2" t="s">
        <v>56</v>
      </c>
      <c r="K116" s="2" t="n">
        <v>0.25</v>
      </c>
      <c r="L116" s="2"/>
      <c r="M116" s="2"/>
      <c r="N116" s="2" t="s">
        <v>156</v>
      </c>
      <c r="O116" s="5" t="b">
        <f aca="false">FALSE()</f>
        <v>0</v>
      </c>
    </row>
    <row r="117" customFormat="false" ht="15" hidden="false" customHeight="false" outlineLevel="0" collapsed="false">
      <c r="A117" s="2" t="s">
        <v>339</v>
      </c>
      <c r="B117" s="2" t="s">
        <v>340</v>
      </c>
      <c r="C117" s="2" t="n">
        <v>8.7</v>
      </c>
      <c r="D117" s="2" t="n">
        <v>18</v>
      </c>
      <c r="E117" s="2" t="n">
        <v>0.5</v>
      </c>
      <c r="F117" s="2" t="n">
        <v>127</v>
      </c>
      <c r="G117" s="2" t="s">
        <v>54</v>
      </c>
      <c r="H117" s="2"/>
      <c r="I117" s="2"/>
      <c r="J117" s="2" t="s">
        <v>61</v>
      </c>
      <c r="K117" s="2" t="n">
        <v>10</v>
      </c>
      <c r="L117" s="2"/>
      <c r="M117" s="2"/>
      <c r="N117" s="2" t="s">
        <v>156</v>
      </c>
      <c r="O117" s="5" t="b">
        <f aca="false">FALSE()</f>
        <v>0</v>
      </c>
    </row>
    <row r="118" customFormat="false" ht="15" hidden="false" customHeight="false" outlineLevel="0" collapsed="false">
      <c r="A118" s="2" t="s">
        <v>341</v>
      </c>
      <c r="B118" s="2" t="s">
        <v>342</v>
      </c>
      <c r="C118" s="2" t="n">
        <v>17.6</v>
      </c>
      <c r="D118" s="2" t="n">
        <v>0.9</v>
      </c>
      <c r="E118" s="2" t="n">
        <v>0.5</v>
      </c>
      <c r="F118" s="2" t="n">
        <v>71</v>
      </c>
      <c r="G118" s="2" t="s">
        <v>54</v>
      </c>
      <c r="H118" s="2"/>
      <c r="I118" s="2"/>
      <c r="J118" s="2" t="s">
        <v>61</v>
      </c>
      <c r="K118" s="2" t="n">
        <v>10</v>
      </c>
      <c r="L118" s="2" t="s">
        <v>242</v>
      </c>
      <c r="M118" s="2"/>
      <c r="N118" s="2" t="s">
        <v>156</v>
      </c>
      <c r="O118" s="5" t="b">
        <f aca="false">FALSE()</f>
        <v>0</v>
      </c>
    </row>
    <row r="119" customFormat="false" ht="15" hidden="false" customHeight="false" outlineLevel="0" collapsed="false">
      <c r="A119" s="2" t="s">
        <v>343</v>
      </c>
      <c r="B119" s="2" t="s">
        <v>344</v>
      </c>
      <c r="C119" s="2" t="n">
        <v>1.05</v>
      </c>
      <c r="D119" s="2" t="n">
        <v>11.71</v>
      </c>
      <c r="E119" s="2" t="n">
        <v>0.53</v>
      </c>
      <c r="F119" s="2" t="n">
        <v>55.3</v>
      </c>
      <c r="G119" s="2" t="s">
        <v>54</v>
      </c>
      <c r="H119" s="2" t="n">
        <v>76</v>
      </c>
      <c r="I119" s="2" t="s">
        <v>55</v>
      </c>
      <c r="J119" s="2" t="s">
        <v>56</v>
      </c>
      <c r="K119" s="2" t="n">
        <v>1</v>
      </c>
      <c r="L119" s="2"/>
      <c r="M119" s="2"/>
      <c r="N119" s="2" t="s">
        <v>156</v>
      </c>
      <c r="O119" s="5" t="b">
        <f aca="false">FALSE()</f>
        <v>0</v>
      </c>
    </row>
    <row r="120" customFormat="false" ht="15" hidden="false" customHeight="false" outlineLevel="0" collapsed="false">
      <c r="A120" s="2" t="s">
        <v>345</v>
      </c>
      <c r="B120" s="2" t="s">
        <v>346</v>
      </c>
      <c r="C120" s="2" t="n">
        <v>17</v>
      </c>
      <c r="D120" s="2" t="n">
        <v>0</v>
      </c>
      <c r="E120" s="2" t="n">
        <v>30</v>
      </c>
      <c r="F120" s="2" t="n">
        <v>350</v>
      </c>
      <c r="G120" s="2" t="s">
        <v>54</v>
      </c>
      <c r="H120" s="2"/>
      <c r="I120" s="2"/>
      <c r="J120" s="2" t="s">
        <v>61</v>
      </c>
      <c r="K120" s="2" t="n">
        <v>10</v>
      </c>
      <c r="L120" s="2"/>
      <c r="M120" s="2"/>
      <c r="N120" s="2" t="s">
        <v>156</v>
      </c>
      <c r="O120" s="5" t="b">
        <f aca="false">FALSE()</f>
        <v>0</v>
      </c>
    </row>
    <row r="121" customFormat="false" ht="15" hidden="false" customHeight="false" outlineLevel="0" collapsed="false">
      <c r="A121" s="2" t="s">
        <v>347</v>
      </c>
      <c r="B121" s="2" t="s">
        <v>348</v>
      </c>
      <c r="C121" s="2" t="n">
        <v>19</v>
      </c>
      <c r="D121" s="2" t="n">
        <v>0</v>
      </c>
      <c r="E121" s="2" t="n">
        <v>8</v>
      </c>
      <c r="F121" s="2" t="n">
        <v>150</v>
      </c>
      <c r="G121" s="2" t="s">
        <v>54</v>
      </c>
      <c r="H121" s="2"/>
      <c r="I121" s="2"/>
      <c r="J121" s="2" t="s">
        <v>61</v>
      </c>
      <c r="K121" s="2" t="n">
        <v>10</v>
      </c>
      <c r="L121" s="2"/>
      <c r="M121" s="2"/>
      <c r="N121" s="2" t="s">
        <v>156</v>
      </c>
      <c r="O121" s="5" t="b">
        <f aca="false">FALSE()</f>
        <v>0</v>
      </c>
    </row>
    <row r="122" customFormat="false" ht="15" hidden="false" customHeight="false" outlineLevel="0" collapsed="false">
      <c r="A122" s="2" t="s">
        <v>349</v>
      </c>
      <c r="B122" s="2" t="s">
        <v>350</v>
      </c>
      <c r="C122" s="2" t="n">
        <v>8.57</v>
      </c>
      <c r="D122" s="2" t="n">
        <v>42.86</v>
      </c>
      <c r="E122" s="2" t="n">
        <v>5.71</v>
      </c>
      <c r="F122" s="2" t="n">
        <v>257.1</v>
      </c>
      <c r="G122" s="2" t="s">
        <v>54</v>
      </c>
      <c r="H122" s="2" t="n">
        <v>70</v>
      </c>
      <c r="I122" s="2" t="s">
        <v>55</v>
      </c>
      <c r="J122" s="2" t="s">
        <v>56</v>
      </c>
      <c r="K122" s="2" t="n">
        <v>1</v>
      </c>
      <c r="L122" s="2" t="s">
        <v>83</v>
      </c>
      <c r="M122" s="2"/>
      <c r="N122" s="2" t="s">
        <v>156</v>
      </c>
      <c r="O122" s="5" t="b">
        <f aca="false">FALSE()</f>
        <v>0</v>
      </c>
    </row>
    <row r="123" customFormat="false" ht="15" hidden="false" customHeight="false" outlineLevel="0" collapsed="false">
      <c r="A123" s="2" t="s">
        <v>351</v>
      </c>
      <c r="B123" s="2" t="s">
        <v>352</v>
      </c>
      <c r="C123" s="2" t="n">
        <v>25</v>
      </c>
      <c r="D123" s="2" t="n">
        <v>0</v>
      </c>
      <c r="E123" s="2" t="n">
        <v>6</v>
      </c>
      <c r="F123" s="2" t="n">
        <v>155</v>
      </c>
      <c r="G123" s="2" t="s">
        <v>54</v>
      </c>
      <c r="H123" s="2"/>
      <c r="I123" s="2"/>
      <c r="J123" s="2" t="s">
        <v>61</v>
      </c>
      <c r="K123" s="2" t="n">
        <v>10</v>
      </c>
      <c r="L123" s="2"/>
      <c r="M123" s="2"/>
      <c r="N123" s="2" t="s">
        <v>156</v>
      </c>
      <c r="O123" s="5" t="b">
        <f aca="false">FALSE()</f>
        <v>0</v>
      </c>
    </row>
    <row r="124" customFormat="false" ht="15" hidden="false" customHeight="false" outlineLevel="0" collapsed="false">
      <c r="A124" s="2" t="s">
        <v>353</v>
      </c>
      <c r="B124" s="2" t="s">
        <v>354</v>
      </c>
      <c r="C124" s="2" t="n">
        <v>22</v>
      </c>
      <c r="D124" s="2" t="n">
        <v>0</v>
      </c>
      <c r="E124" s="2" t="n">
        <v>5</v>
      </c>
      <c r="F124" s="2" t="n">
        <v>137</v>
      </c>
      <c r="G124" s="2" t="s">
        <v>54</v>
      </c>
      <c r="H124" s="2"/>
      <c r="I124" s="2"/>
      <c r="J124" s="2" t="s">
        <v>61</v>
      </c>
      <c r="K124" s="2" t="n">
        <v>10</v>
      </c>
      <c r="L124" s="2"/>
      <c r="M124" s="2"/>
      <c r="N124" s="2" t="s">
        <v>156</v>
      </c>
      <c r="O124" s="5" t="b">
        <f aca="false">FALSE()</f>
        <v>0</v>
      </c>
    </row>
    <row r="125" customFormat="false" ht="15" hidden="false" customHeight="false" outlineLevel="0" collapsed="false">
      <c r="A125" s="2" t="s">
        <v>355</v>
      </c>
      <c r="B125" s="2" t="s">
        <v>356</v>
      </c>
      <c r="C125" s="2" t="n">
        <v>26</v>
      </c>
      <c r="D125" s="2" t="n">
        <v>0</v>
      </c>
      <c r="E125" s="2" t="n">
        <v>4</v>
      </c>
      <c r="F125" s="2" t="n">
        <v>143</v>
      </c>
      <c r="G125" s="2" t="s">
        <v>54</v>
      </c>
      <c r="H125" s="2"/>
      <c r="I125" s="2"/>
      <c r="J125" s="2" t="s">
        <v>61</v>
      </c>
      <c r="K125" s="2" t="n">
        <v>10</v>
      </c>
      <c r="L125" s="2"/>
      <c r="M125" s="2"/>
      <c r="N125" s="2" t="s">
        <v>156</v>
      </c>
      <c r="O125" s="5" t="b">
        <f aca="false">FALSE()</f>
        <v>0</v>
      </c>
    </row>
    <row r="126" customFormat="false" ht="15" hidden="false" customHeight="false" outlineLevel="0" collapsed="false">
      <c r="A126" s="2" t="s">
        <v>357</v>
      </c>
      <c r="B126" s="2" t="s">
        <v>358</v>
      </c>
      <c r="C126" s="2" t="n">
        <v>24</v>
      </c>
      <c r="D126" s="2" t="n">
        <v>0</v>
      </c>
      <c r="E126" s="2" t="n">
        <v>1.6</v>
      </c>
      <c r="F126" s="2" t="n">
        <v>111</v>
      </c>
      <c r="G126" s="2" t="s">
        <v>54</v>
      </c>
      <c r="H126" s="2"/>
      <c r="I126" s="2"/>
      <c r="J126" s="2" t="s">
        <v>61</v>
      </c>
      <c r="K126" s="2" t="n">
        <v>10</v>
      </c>
      <c r="L126" s="2"/>
      <c r="M126" s="2"/>
      <c r="N126" s="2" t="s">
        <v>156</v>
      </c>
      <c r="O126" s="5" t="b">
        <f aca="false">FALSE()</f>
        <v>0</v>
      </c>
    </row>
    <row r="127" customFormat="false" ht="15" hidden="false" customHeight="false" outlineLevel="0" collapsed="false">
      <c r="A127" s="2" t="s">
        <v>359</v>
      </c>
      <c r="B127" s="2" t="s">
        <v>360</v>
      </c>
      <c r="C127" s="2" t="n">
        <v>20</v>
      </c>
      <c r="D127" s="2" t="n">
        <v>0</v>
      </c>
      <c r="E127" s="2" t="n">
        <v>8</v>
      </c>
      <c r="F127" s="2" t="n">
        <v>156</v>
      </c>
      <c r="G127" s="2" t="s">
        <v>54</v>
      </c>
      <c r="H127" s="2"/>
      <c r="I127" s="2"/>
      <c r="J127" s="2" t="s">
        <v>61</v>
      </c>
      <c r="K127" s="2" t="n">
        <v>10</v>
      </c>
      <c r="L127" s="2"/>
      <c r="M127" s="2"/>
      <c r="N127" s="2" t="s">
        <v>156</v>
      </c>
      <c r="O127" s="5" t="b">
        <f aca="false">FALSE()</f>
        <v>0</v>
      </c>
    </row>
    <row r="128" customFormat="false" ht="15" hidden="false" customHeight="false" outlineLevel="0" collapsed="false">
      <c r="A128" s="2" t="s">
        <v>361</v>
      </c>
      <c r="B128" s="2" t="s">
        <v>362</v>
      </c>
      <c r="C128" s="2" t="n">
        <v>20</v>
      </c>
      <c r="D128" s="2" t="n">
        <v>0</v>
      </c>
      <c r="E128" s="2" t="n">
        <v>12</v>
      </c>
      <c r="F128" s="2" t="n">
        <v>196</v>
      </c>
      <c r="G128" s="2" t="s">
        <v>54</v>
      </c>
      <c r="H128" s="2"/>
      <c r="I128" s="2"/>
      <c r="J128" s="2" t="s">
        <v>61</v>
      </c>
      <c r="K128" s="2" t="n">
        <v>10</v>
      </c>
      <c r="L128" s="2"/>
      <c r="M128" s="2"/>
      <c r="N128" s="2" t="s">
        <v>156</v>
      </c>
      <c r="O128" s="5" t="b">
        <f aca="false">FALSE()</f>
        <v>0</v>
      </c>
    </row>
    <row r="129" customFormat="false" ht="15" hidden="false" customHeight="false" outlineLevel="0" collapsed="false">
      <c r="A129" s="2" t="s">
        <v>363</v>
      </c>
      <c r="B129" s="2" t="s">
        <v>364</v>
      </c>
      <c r="C129" s="2" t="n">
        <v>20</v>
      </c>
      <c r="D129" s="2" t="n">
        <v>0</v>
      </c>
      <c r="E129" s="2" t="n">
        <v>5</v>
      </c>
      <c r="F129" s="2" t="n">
        <v>120</v>
      </c>
      <c r="G129" s="2" t="s">
        <v>54</v>
      </c>
      <c r="H129" s="2"/>
      <c r="I129" s="2"/>
      <c r="J129" s="2" t="s">
        <v>61</v>
      </c>
      <c r="K129" s="2" t="n">
        <v>10</v>
      </c>
      <c r="L129" s="2"/>
      <c r="M129" s="2"/>
      <c r="N129" s="2" t="s">
        <v>156</v>
      </c>
      <c r="O129" s="5" t="b">
        <f aca="false">FALSE()</f>
        <v>0</v>
      </c>
    </row>
    <row r="130" customFormat="false" ht="15" hidden="false" customHeight="false" outlineLevel="0" collapsed="false">
      <c r="A130" s="2" t="s">
        <v>365</v>
      </c>
      <c r="B130" s="2" t="s">
        <v>366</v>
      </c>
      <c r="C130" s="2" t="n">
        <v>1.03</v>
      </c>
      <c r="D130" s="2" t="n">
        <v>9.31</v>
      </c>
      <c r="E130" s="2" t="n">
        <v>0.34</v>
      </c>
      <c r="F130" s="2" t="n">
        <v>29.3</v>
      </c>
      <c r="G130" s="2" t="s">
        <v>54</v>
      </c>
      <c r="H130" s="2" t="n">
        <v>58</v>
      </c>
      <c r="I130" s="2" t="s">
        <v>55</v>
      </c>
      <c r="J130" s="2" t="s">
        <v>56</v>
      </c>
      <c r="K130" s="2" t="n">
        <v>0.25</v>
      </c>
      <c r="L130" s="2"/>
      <c r="M130" s="2"/>
      <c r="N130" s="2" t="s">
        <v>156</v>
      </c>
      <c r="O130" s="5" t="b">
        <f aca="false">FALSE()</f>
        <v>0</v>
      </c>
    </row>
    <row r="131" customFormat="false" ht="15" hidden="false" customHeight="false" outlineLevel="0" collapsed="false">
      <c r="A131" s="2" t="s">
        <v>367</v>
      </c>
      <c r="B131" s="2" t="s">
        <v>368</v>
      </c>
      <c r="C131" s="2" t="n">
        <v>0</v>
      </c>
      <c r="D131" s="2" t="n">
        <v>30</v>
      </c>
      <c r="E131" s="2" t="n">
        <v>0</v>
      </c>
      <c r="F131" s="2" t="n">
        <v>100</v>
      </c>
      <c r="G131" s="2" t="s">
        <v>76</v>
      </c>
      <c r="H131" s="2"/>
      <c r="I131" s="2"/>
      <c r="J131" s="2" t="s">
        <v>56</v>
      </c>
      <c r="K131" s="2" t="n">
        <v>1</v>
      </c>
      <c r="L131" s="2"/>
      <c r="M131" s="2"/>
      <c r="N131" s="2" t="s">
        <v>156</v>
      </c>
      <c r="O131" s="5" t="b">
        <f aca="false">FALSE()</f>
        <v>0</v>
      </c>
    </row>
    <row r="132" customFormat="false" ht="15" hidden="false" customHeight="false" outlineLevel="0" collapsed="false">
      <c r="A132" s="2" t="s">
        <v>369</v>
      </c>
      <c r="B132" s="2" t="s">
        <v>370</v>
      </c>
      <c r="C132" s="2" t="n">
        <v>0.1</v>
      </c>
      <c r="D132" s="2" t="n">
        <v>1</v>
      </c>
      <c r="E132" s="2" t="n">
        <v>0</v>
      </c>
      <c r="F132" s="2" t="n">
        <v>5</v>
      </c>
      <c r="G132" s="2" t="s">
        <v>54</v>
      </c>
      <c r="H132" s="2" t="n">
        <v>100</v>
      </c>
      <c r="I132" s="2" t="s">
        <v>55</v>
      </c>
      <c r="J132" s="2" t="s">
        <v>56</v>
      </c>
      <c r="K132" s="2" t="n">
        <v>1</v>
      </c>
      <c r="L132" s="2"/>
      <c r="M132" s="2"/>
      <c r="N132" s="2" t="s">
        <v>156</v>
      </c>
      <c r="O132" s="5" t="b">
        <f aca="false">FALSE()</f>
        <v>0</v>
      </c>
    </row>
    <row r="133" customFormat="false" ht="15" hidden="false" customHeight="false" outlineLevel="0" collapsed="false">
      <c r="A133" s="2" t="s">
        <v>371</v>
      </c>
      <c r="B133" s="2" t="s">
        <v>372</v>
      </c>
      <c r="C133" s="2" t="n">
        <v>1</v>
      </c>
      <c r="D133" s="2" t="n">
        <v>2.5</v>
      </c>
      <c r="E133" s="2" t="n">
        <v>7</v>
      </c>
      <c r="F133" s="2" t="n">
        <v>78</v>
      </c>
      <c r="G133" s="2" t="s">
        <v>76</v>
      </c>
      <c r="H133" s="2"/>
      <c r="I133" s="2"/>
      <c r="J133" s="2" t="s">
        <v>61</v>
      </c>
      <c r="K133" s="2" t="n">
        <v>10</v>
      </c>
      <c r="L133" s="2"/>
      <c r="M133" s="2"/>
      <c r="N133" s="2" t="s">
        <v>156</v>
      </c>
      <c r="O133" s="5" t="b">
        <f aca="false">FALSE()</f>
        <v>0</v>
      </c>
    </row>
    <row r="134" customFormat="false" ht="15" hidden="false" customHeight="false" outlineLevel="0" collapsed="false">
      <c r="A134" s="2" t="s">
        <v>373</v>
      </c>
      <c r="B134" s="2" t="s">
        <v>374</v>
      </c>
      <c r="C134" s="2" t="n">
        <v>1</v>
      </c>
      <c r="D134" s="2" t="n">
        <v>7</v>
      </c>
      <c r="E134" s="2" t="n">
        <v>20</v>
      </c>
      <c r="F134" s="2" t="n">
        <v>210</v>
      </c>
      <c r="G134" s="2" t="s">
        <v>54</v>
      </c>
      <c r="H134" s="2"/>
      <c r="I134" s="2"/>
      <c r="J134" s="2" t="s">
        <v>61</v>
      </c>
      <c r="K134" s="2" t="n">
        <v>5</v>
      </c>
      <c r="L134" s="2" t="s">
        <v>112</v>
      </c>
      <c r="M134" s="2"/>
      <c r="N134" s="2" t="s">
        <v>165</v>
      </c>
      <c r="O134" s="5" t="b">
        <f aca="false">FALSE()</f>
        <v>0</v>
      </c>
    </row>
    <row r="135" customFormat="false" ht="15" hidden="false" customHeight="false" outlineLevel="0" collapsed="false">
      <c r="A135" s="2" t="s">
        <v>375</v>
      </c>
      <c r="B135" s="2" t="s">
        <v>376</v>
      </c>
      <c r="C135" s="2" t="n">
        <v>0.68</v>
      </c>
      <c r="D135" s="2" t="n">
        <v>10</v>
      </c>
      <c r="E135" s="2" t="n">
        <v>0.23</v>
      </c>
      <c r="F135" s="2" t="n">
        <v>29.5</v>
      </c>
      <c r="G135" s="2" t="s">
        <v>54</v>
      </c>
      <c r="H135" s="2" t="n">
        <v>44</v>
      </c>
      <c r="I135" s="2" t="s">
        <v>55</v>
      </c>
      <c r="J135" s="2" t="s">
        <v>56</v>
      </c>
      <c r="K135" s="2" t="n">
        <v>0.25</v>
      </c>
      <c r="L135" s="2"/>
      <c r="M135" s="2"/>
      <c r="N135" s="2" t="s">
        <v>156</v>
      </c>
      <c r="O135" s="5" t="b">
        <f aca="false">FALSE()</f>
        <v>0</v>
      </c>
    </row>
    <row r="136" customFormat="false" ht="15" hidden="false" customHeight="false" outlineLevel="0" collapsed="false">
      <c r="A136" s="2" t="s">
        <v>377</v>
      </c>
      <c r="B136" s="2" t="s">
        <v>378</v>
      </c>
      <c r="C136" s="2" t="n">
        <v>0</v>
      </c>
      <c r="D136" s="2" t="n">
        <v>0</v>
      </c>
      <c r="E136" s="2" t="n">
        <v>10</v>
      </c>
      <c r="F136" s="2" t="n">
        <v>100</v>
      </c>
      <c r="G136" s="2" t="s">
        <v>54</v>
      </c>
      <c r="H136" s="2"/>
      <c r="I136" s="2"/>
      <c r="J136" s="2" t="s">
        <v>61</v>
      </c>
      <c r="K136" s="2" t="n">
        <v>1</v>
      </c>
      <c r="L136" s="2"/>
      <c r="M136" s="2"/>
      <c r="N136" s="2" t="s">
        <v>379</v>
      </c>
      <c r="O136" s="5" t="b">
        <f aca="false">FALSE()</f>
        <v>0</v>
      </c>
    </row>
    <row r="137" customFormat="false" ht="15" hidden="false" customHeight="false" outlineLevel="0" collapsed="false">
      <c r="A137" s="2" t="s">
        <v>380</v>
      </c>
      <c r="B137" s="2" t="s">
        <v>381</v>
      </c>
      <c r="C137" s="2" t="n">
        <v>3.5</v>
      </c>
      <c r="D137" s="2" t="n">
        <v>4.6</v>
      </c>
      <c r="E137" s="2" t="n">
        <v>15</v>
      </c>
      <c r="F137" s="2" t="n">
        <v>165</v>
      </c>
      <c r="G137" s="2" t="s">
        <v>54</v>
      </c>
      <c r="H137" s="2"/>
      <c r="I137" s="2"/>
      <c r="J137" s="2" t="s">
        <v>61</v>
      </c>
      <c r="K137" s="2" t="n">
        <v>5</v>
      </c>
      <c r="L137" s="2" t="s">
        <v>69</v>
      </c>
      <c r="M137" s="2"/>
      <c r="N137" s="2" t="s">
        <v>165</v>
      </c>
      <c r="O137" s="5" t="b">
        <f aca="false">FALSE()</f>
        <v>0</v>
      </c>
    </row>
    <row r="138" customFormat="false" ht="15" hidden="false" customHeight="false" outlineLevel="0" collapsed="false">
      <c r="A138" s="2" t="s">
        <v>382</v>
      </c>
      <c r="B138" s="2" t="s">
        <v>383</v>
      </c>
      <c r="C138" s="2" t="n">
        <v>0.4</v>
      </c>
      <c r="D138" s="2" t="n">
        <v>48</v>
      </c>
      <c r="E138" s="2" t="n">
        <v>0.2</v>
      </c>
      <c r="F138" s="2" t="n">
        <v>195</v>
      </c>
      <c r="G138" s="2" t="s">
        <v>54</v>
      </c>
      <c r="H138" s="2"/>
      <c r="I138" s="2"/>
      <c r="J138" s="2" t="s">
        <v>61</v>
      </c>
      <c r="K138" s="2" t="n">
        <v>5</v>
      </c>
      <c r="L138" s="2"/>
      <c r="M138" s="2"/>
      <c r="N138" s="2" t="s">
        <v>156</v>
      </c>
      <c r="O138" s="5" t="b">
        <f aca="false">FALSE()</f>
        <v>0</v>
      </c>
    </row>
    <row r="139" customFormat="false" ht="15" hidden="false" customHeight="false" outlineLevel="0" collapsed="false">
      <c r="A139" s="2" t="s">
        <v>384</v>
      </c>
      <c r="B139" s="2" t="s">
        <v>385</v>
      </c>
      <c r="C139" s="2" t="n">
        <v>0.8</v>
      </c>
      <c r="D139" s="2" t="n">
        <v>15</v>
      </c>
      <c r="E139" s="2" t="n">
        <v>0.4</v>
      </c>
      <c r="F139" s="2" t="n">
        <v>60</v>
      </c>
      <c r="G139" s="2" t="s">
        <v>54</v>
      </c>
      <c r="H139" s="2"/>
      <c r="I139" s="2"/>
      <c r="J139" s="2" t="s">
        <v>61</v>
      </c>
      <c r="K139" s="2" t="n">
        <v>10</v>
      </c>
      <c r="L139" s="2"/>
      <c r="M139" s="2"/>
      <c r="N139" s="2" t="s">
        <v>156</v>
      </c>
      <c r="O139" s="5" t="b">
        <f aca="false">FALSE()</f>
        <v>0</v>
      </c>
    </row>
    <row r="140" customFormat="false" ht="15" hidden="false" customHeight="false" outlineLevel="0" collapsed="false">
      <c r="A140" s="2" t="s">
        <v>386</v>
      </c>
      <c r="B140" s="2" t="s">
        <v>387</v>
      </c>
      <c r="C140" s="2" t="n">
        <v>25</v>
      </c>
      <c r="D140" s="2" t="n">
        <v>0.1</v>
      </c>
      <c r="E140" s="2" t="n">
        <v>35</v>
      </c>
      <c r="F140" s="2" t="n">
        <v>416</v>
      </c>
      <c r="G140" s="2" t="s">
        <v>54</v>
      </c>
      <c r="H140" s="2"/>
      <c r="I140" s="2"/>
      <c r="J140" s="2" t="s">
        <v>61</v>
      </c>
      <c r="K140" s="2" t="n">
        <v>5</v>
      </c>
      <c r="L140" s="2" t="s">
        <v>69</v>
      </c>
      <c r="M140" s="2"/>
      <c r="N140" s="2" t="s">
        <v>156</v>
      </c>
      <c r="O140" s="5" t="b">
        <f aca="false">FALSE()</f>
        <v>0</v>
      </c>
    </row>
    <row r="141" customFormat="false" ht="15" hidden="false" customHeight="false" outlineLevel="0" collapsed="false">
      <c r="A141" s="2" t="s">
        <v>388</v>
      </c>
      <c r="B141" s="2" t="s">
        <v>389</v>
      </c>
      <c r="C141" s="2" t="n">
        <v>12</v>
      </c>
      <c r="D141" s="2" t="n">
        <v>72</v>
      </c>
      <c r="E141" s="2" t="n">
        <v>2.6</v>
      </c>
      <c r="F141" s="2" t="n">
        <v>355</v>
      </c>
      <c r="G141" s="2" t="s">
        <v>54</v>
      </c>
      <c r="H141" s="2"/>
      <c r="I141" s="2"/>
      <c r="J141" s="2" t="s">
        <v>61</v>
      </c>
      <c r="K141" s="2" t="n">
        <v>5</v>
      </c>
      <c r="L141" s="2" t="s">
        <v>203</v>
      </c>
      <c r="M141" s="2"/>
      <c r="N141" s="2" t="s">
        <v>156</v>
      </c>
      <c r="O141" s="5" t="b">
        <f aca="false">FALSE()</f>
        <v>0</v>
      </c>
    </row>
    <row r="142" customFormat="false" ht="15" hidden="false" customHeight="false" outlineLevel="0" collapsed="false">
      <c r="A142" s="2" t="s">
        <v>390</v>
      </c>
      <c r="B142" s="2" t="s">
        <v>391</v>
      </c>
      <c r="C142" s="2" t="n">
        <v>0.2</v>
      </c>
      <c r="D142" s="2" t="n">
        <v>43</v>
      </c>
      <c r="E142" s="2" t="n">
        <v>0</v>
      </c>
      <c r="F142" s="2" t="n">
        <v>226</v>
      </c>
      <c r="G142" s="2" t="s">
        <v>76</v>
      </c>
      <c r="H142" s="2"/>
      <c r="I142" s="2"/>
      <c r="J142" s="2" t="s">
        <v>61</v>
      </c>
      <c r="K142" s="2" t="n">
        <v>2</v>
      </c>
      <c r="L142" s="2"/>
      <c r="M142" s="2"/>
      <c r="N142" s="2" t="s">
        <v>156</v>
      </c>
      <c r="O142" s="5" t="b">
        <f aca="false">FALSE()</f>
        <v>0</v>
      </c>
    </row>
    <row r="143" customFormat="false" ht="15" hidden="false" customHeight="false" outlineLevel="0" collapsed="false">
      <c r="A143" s="2" t="s">
        <v>392</v>
      </c>
      <c r="B143" s="2" t="s">
        <v>393</v>
      </c>
      <c r="C143" s="2" t="n">
        <v>1</v>
      </c>
      <c r="D143" s="2" t="n">
        <v>10</v>
      </c>
      <c r="E143" s="2" t="n">
        <v>0.4</v>
      </c>
      <c r="F143" s="2" t="n">
        <v>48</v>
      </c>
      <c r="G143" s="2" t="s">
        <v>54</v>
      </c>
      <c r="H143" s="2"/>
      <c r="I143" s="2"/>
      <c r="J143" s="2" t="s">
        <v>61</v>
      </c>
      <c r="K143" s="2" t="n">
        <v>5</v>
      </c>
      <c r="L143" s="2"/>
      <c r="M143" s="2"/>
      <c r="N143" s="2" t="s">
        <v>156</v>
      </c>
      <c r="O143" s="5" t="b">
        <f aca="false">FALSE()</f>
        <v>0</v>
      </c>
    </row>
    <row r="144" customFormat="false" ht="15" hidden="false" customHeight="false" outlineLevel="0" collapsed="false">
      <c r="A144" s="2" t="s">
        <v>394</v>
      </c>
      <c r="B144" s="2" t="s">
        <v>395</v>
      </c>
      <c r="C144" s="2" t="n">
        <v>1.2</v>
      </c>
      <c r="D144" s="2" t="n">
        <v>2</v>
      </c>
      <c r="E144" s="2" t="n">
        <v>0.2</v>
      </c>
      <c r="F144" s="2" t="n">
        <v>14</v>
      </c>
      <c r="G144" s="2" t="s">
        <v>54</v>
      </c>
      <c r="H144" s="2"/>
      <c r="I144" s="2"/>
      <c r="J144" s="2" t="s">
        <v>61</v>
      </c>
      <c r="K144" s="2" t="n">
        <v>10</v>
      </c>
      <c r="L144" s="2"/>
      <c r="M144" s="2"/>
      <c r="N144" s="2" t="s">
        <v>156</v>
      </c>
      <c r="O144" s="5" t="b">
        <f aca="false">FALSE()</f>
        <v>0</v>
      </c>
    </row>
    <row r="145" customFormat="false" ht="15" hidden="false" customHeight="false" outlineLevel="0" collapsed="false">
      <c r="A145" s="2" t="s">
        <v>396</v>
      </c>
      <c r="B145" s="2" t="s">
        <v>397</v>
      </c>
      <c r="C145" s="2" t="n">
        <v>15</v>
      </c>
      <c r="D145" s="2" t="n">
        <v>1.5</v>
      </c>
      <c r="E145" s="2" t="n">
        <v>1.2</v>
      </c>
      <c r="F145" s="2" t="n">
        <v>85</v>
      </c>
      <c r="G145" s="2" t="s">
        <v>54</v>
      </c>
      <c r="H145" s="2"/>
      <c r="I145" s="2"/>
      <c r="J145" s="2" t="s">
        <v>61</v>
      </c>
      <c r="K145" s="2" t="n">
        <v>10</v>
      </c>
      <c r="L145" s="2" t="s">
        <v>398</v>
      </c>
      <c r="M145" s="2"/>
      <c r="N145" s="2" t="s">
        <v>156</v>
      </c>
      <c r="O145" s="5" t="b">
        <f aca="false">FALSE()</f>
        <v>0</v>
      </c>
    </row>
    <row r="146" customFormat="false" ht="15" hidden="false" customHeight="false" outlineLevel="0" collapsed="false">
      <c r="A146" s="2" t="s">
        <v>399</v>
      </c>
      <c r="B146" s="2" t="s">
        <v>400</v>
      </c>
      <c r="C146" s="2" t="n">
        <v>3.1</v>
      </c>
      <c r="D146" s="2" t="n">
        <v>1.1</v>
      </c>
      <c r="E146" s="2" t="n">
        <v>0.4</v>
      </c>
      <c r="F146" s="2" t="n">
        <v>22</v>
      </c>
      <c r="G146" s="2" t="s">
        <v>54</v>
      </c>
      <c r="H146" s="2"/>
      <c r="I146" s="2"/>
      <c r="J146" s="2" t="s">
        <v>61</v>
      </c>
      <c r="K146" s="2" t="n">
        <v>10</v>
      </c>
      <c r="L146" s="2"/>
      <c r="M146" s="2"/>
      <c r="N146" s="2" t="s">
        <v>156</v>
      </c>
      <c r="O146" s="5" t="b">
        <f aca="false">FALSE()</f>
        <v>0</v>
      </c>
    </row>
    <row r="147" customFormat="false" ht="15" hidden="false" customHeight="false" outlineLevel="0" collapsed="false">
      <c r="A147" s="2" t="s">
        <v>401</v>
      </c>
      <c r="B147" s="2" t="s">
        <v>402</v>
      </c>
      <c r="C147" s="2" t="n">
        <v>12</v>
      </c>
      <c r="D147" s="2" t="n">
        <v>3.4</v>
      </c>
      <c r="E147" s="2" t="n">
        <v>2.2</v>
      </c>
      <c r="F147" s="2" t="n">
        <v>86</v>
      </c>
      <c r="G147" s="2" t="s">
        <v>54</v>
      </c>
      <c r="H147" s="2"/>
      <c r="I147" s="2"/>
      <c r="J147" s="2" t="s">
        <v>61</v>
      </c>
      <c r="K147" s="2" t="n">
        <v>10</v>
      </c>
      <c r="L147" s="2" t="s">
        <v>403</v>
      </c>
      <c r="M147" s="2"/>
      <c r="N147" s="2" t="s">
        <v>156</v>
      </c>
      <c r="O147" s="5" t="b">
        <f aca="false">FALSE()</f>
        <v>0</v>
      </c>
    </row>
    <row r="148" customFormat="false" ht="15" hidden="false" customHeight="false" outlineLevel="0" collapsed="false">
      <c r="A148" s="2" t="s">
        <v>404</v>
      </c>
      <c r="B148" s="2" t="s">
        <v>405</v>
      </c>
      <c r="C148" s="2" t="n">
        <v>26</v>
      </c>
      <c r="D148" s="2" t="n">
        <v>28</v>
      </c>
      <c r="E148" s="2" t="n">
        <v>36</v>
      </c>
      <c r="F148" s="2" t="n">
        <v>508</v>
      </c>
      <c r="G148" s="2" t="s">
        <v>54</v>
      </c>
      <c r="H148" s="2"/>
      <c r="I148" s="2"/>
      <c r="J148" s="2" t="s">
        <v>61</v>
      </c>
      <c r="K148" s="2" t="n">
        <v>1</v>
      </c>
      <c r="L148" s="2" t="s">
        <v>270</v>
      </c>
      <c r="M148" s="2"/>
      <c r="N148" s="2" t="s">
        <v>156</v>
      </c>
      <c r="O148" s="5" t="b">
        <f aca="false">FALSE()</f>
        <v>0</v>
      </c>
    </row>
    <row r="149" customFormat="false" ht="15" hidden="false" customHeight="false" outlineLevel="0" collapsed="false">
      <c r="A149" s="2" t="s">
        <v>406</v>
      </c>
      <c r="B149" s="2" t="s">
        <v>407</v>
      </c>
      <c r="C149" s="2" t="n">
        <v>14</v>
      </c>
      <c r="D149" s="2" t="n">
        <v>1</v>
      </c>
      <c r="E149" s="2" t="n">
        <v>44</v>
      </c>
      <c r="F149" s="2" t="n">
        <v>450</v>
      </c>
      <c r="G149" s="2" t="s">
        <v>54</v>
      </c>
      <c r="H149" s="2"/>
      <c r="I149" s="2"/>
      <c r="J149" s="2" t="s">
        <v>61</v>
      </c>
      <c r="K149" s="2" t="n">
        <v>5</v>
      </c>
      <c r="L149" s="2" t="s">
        <v>408</v>
      </c>
      <c r="M149" s="2"/>
      <c r="N149" s="2" t="s">
        <v>165</v>
      </c>
      <c r="O149" s="5" t="b">
        <f aca="false">FALSE()</f>
        <v>0</v>
      </c>
    </row>
    <row r="150" customFormat="false" ht="15" hidden="false" customHeight="false" outlineLevel="0" collapsed="false">
      <c r="A150" s="2" t="s">
        <v>409</v>
      </c>
      <c r="B150" s="2" t="s">
        <v>410</v>
      </c>
      <c r="C150" s="2" t="n">
        <v>1.1</v>
      </c>
      <c r="D150" s="2" t="n">
        <v>8</v>
      </c>
      <c r="E150" s="2" t="n">
        <v>0.1</v>
      </c>
      <c r="F150" s="2" t="n">
        <v>40</v>
      </c>
      <c r="G150" s="2" t="s">
        <v>54</v>
      </c>
      <c r="H150" s="2"/>
      <c r="I150" s="2"/>
      <c r="J150" s="2" t="s">
        <v>61</v>
      </c>
      <c r="K150" s="2" t="n">
        <v>10</v>
      </c>
      <c r="L150" s="2"/>
      <c r="M150" s="2"/>
      <c r="N150" s="2" t="s">
        <v>156</v>
      </c>
      <c r="O150" s="5" t="b">
        <f aca="false">FALSE()</f>
        <v>0</v>
      </c>
    </row>
    <row r="151" customFormat="false" ht="15" hidden="false" customHeight="false" outlineLevel="0" collapsed="false">
      <c r="A151" s="2" t="s">
        <v>411</v>
      </c>
      <c r="B151" s="2" t="s">
        <v>412</v>
      </c>
      <c r="C151" s="2" t="n">
        <v>0.79</v>
      </c>
      <c r="D151" s="2" t="n">
        <v>10</v>
      </c>
      <c r="E151" s="2" t="n">
        <v>0.07</v>
      </c>
      <c r="F151" s="2" t="n">
        <v>42.9</v>
      </c>
      <c r="G151" s="2" t="s">
        <v>54</v>
      </c>
      <c r="H151" s="2" t="n">
        <v>140</v>
      </c>
      <c r="I151" s="2" t="s">
        <v>55</v>
      </c>
      <c r="J151" s="2" t="s">
        <v>56</v>
      </c>
      <c r="K151" s="2" t="n">
        <v>0.5</v>
      </c>
      <c r="L151" s="2"/>
      <c r="M151" s="2"/>
      <c r="N151" s="2" t="s">
        <v>156</v>
      </c>
      <c r="O151" s="5" t="b">
        <f aca="false">FALSE()</f>
        <v>0</v>
      </c>
    </row>
    <row r="152" customFormat="false" ht="15" hidden="false" customHeight="false" outlineLevel="0" collapsed="false">
      <c r="A152" s="2" t="s">
        <v>413</v>
      </c>
      <c r="B152" s="2" t="s">
        <v>414</v>
      </c>
      <c r="C152" s="2" t="n">
        <v>12</v>
      </c>
      <c r="D152" s="2" t="n">
        <v>71</v>
      </c>
      <c r="E152" s="2" t="n">
        <v>1.5</v>
      </c>
      <c r="F152" s="2" t="n">
        <v>352</v>
      </c>
      <c r="G152" s="2" t="s">
        <v>54</v>
      </c>
      <c r="H152" s="2"/>
      <c r="I152" s="2"/>
      <c r="J152" s="2" t="s">
        <v>61</v>
      </c>
      <c r="K152" s="2" t="n">
        <v>5</v>
      </c>
      <c r="L152" s="2" t="s">
        <v>83</v>
      </c>
      <c r="M152" s="2"/>
      <c r="N152" s="2" t="s">
        <v>156</v>
      </c>
      <c r="O152" s="5" t="b">
        <f aca="false">FALSE()</f>
        <v>0</v>
      </c>
    </row>
    <row r="153" customFormat="false" ht="15" hidden="false" customHeight="false" outlineLevel="0" collapsed="false">
      <c r="A153" s="2" t="s">
        <v>415</v>
      </c>
      <c r="B153" s="2" t="s">
        <v>416</v>
      </c>
      <c r="C153" s="2" t="n">
        <v>1.4</v>
      </c>
      <c r="D153" s="2" t="n">
        <v>11</v>
      </c>
      <c r="E153" s="2" t="n">
        <v>0.3</v>
      </c>
      <c r="F153" s="2" t="n">
        <v>51</v>
      </c>
      <c r="G153" s="2" t="s">
        <v>54</v>
      </c>
      <c r="H153" s="2"/>
      <c r="I153" s="2"/>
      <c r="J153" s="2" t="s">
        <v>61</v>
      </c>
      <c r="K153" s="2" t="n">
        <v>2</v>
      </c>
      <c r="L153" s="2" t="s">
        <v>417</v>
      </c>
      <c r="M153" s="2"/>
      <c r="N153" s="2" t="s">
        <v>156</v>
      </c>
      <c r="O153" s="5" t="b">
        <f aca="false">FALSE()</f>
        <v>0</v>
      </c>
    </row>
    <row r="154" customFormat="false" ht="15" hidden="false" customHeight="false" outlineLevel="0" collapsed="false">
      <c r="A154" s="2" t="s">
        <v>418</v>
      </c>
      <c r="B154" s="2" t="s">
        <v>419</v>
      </c>
      <c r="C154" s="2" t="n">
        <v>1.5</v>
      </c>
      <c r="D154" s="2" t="n">
        <v>1.2</v>
      </c>
      <c r="E154" s="2" t="n">
        <v>0.2</v>
      </c>
      <c r="F154" s="2" t="n">
        <v>13</v>
      </c>
      <c r="G154" s="2" t="s">
        <v>54</v>
      </c>
      <c r="H154" s="2"/>
      <c r="I154" s="2"/>
      <c r="J154" s="2" t="s">
        <v>61</v>
      </c>
      <c r="K154" s="2" t="n">
        <v>10</v>
      </c>
      <c r="L154" s="2"/>
      <c r="M154" s="2"/>
      <c r="N154" s="2" t="s">
        <v>156</v>
      </c>
      <c r="O154" s="5" t="b">
        <f aca="false">FALSE()</f>
        <v>0</v>
      </c>
    </row>
    <row r="155" customFormat="false" ht="15" hidden="false" customHeight="false" outlineLevel="0" collapsed="false">
      <c r="A155" s="2" t="s">
        <v>420</v>
      </c>
      <c r="B155" s="2" t="s">
        <v>421</v>
      </c>
      <c r="C155" s="2" t="n">
        <v>38</v>
      </c>
      <c r="D155" s="2" t="n">
        <v>0.9</v>
      </c>
      <c r="E155" s="2" t="n">
        <v>29</v>
      </c>
      <c r="F155" s="2" t="n">
        <v>431</v>
      </c>
      <c r="G155" s="2" t="s">
        <v>54</v>
      </c>
      <c r="H155" s="2"/>
      <c r="I155" s="2"/>
      <c r="J155" s="2" t="s">
        <v>61</v>
      </c>
      <c r="K155" s="2" t="n">
        <v>5</v>
      </c>
      <c r="L155" s="2" t="s">
        <v>69</v>
      </c>
      <c r="M155" s="2"/>
      <c r="N155" s="2" t="s">
        <v>156</v>
      </c>
      <c r="O155" s="5" t="b">
        <f aca="false">FALSE()</f>
        <v>0</v>
      </c>
    </row>
    <row r="156" customFormat="false" ht="15" hidden="false" customHeight="false" outlineLevel="0" collapsed="false">
      <c r="A156" s="2" t="s">
        <v>422</v>
      </c>
      <c r="B156" s="2" t="s">
        <v>423</v>
      </c>
      <c r="C156" s="2" t="n">
        <v>1.6</v>
      </c>
      <c r="D156" s="2" t="n">
        <v>5.6</v>
      </c>
      <c r="E156" s="2" t="n">
        <v>0.3</v>
      </c>
      <c r="F156" s="2" t="n">
        <v>32</v>
      </c>
      <c r="G156" s="2" t="s">
        <v>54</v>
      </c>
      <c r="H156" s="2"/>
      <c r="I156" s="2"/>
      <c r="J156" s="2" t="s">
        <v>61</v>
      </c>
      <c r="K156" s="2" t="n">
        <v>10</v>
      </c>
      <c r="L156" s="2"/>
      <c r="M156" s="2"/>
      <c r="N156" s="2" t="s">
        <v>156</v>
      </c>
      <c r="O156" s="5" t="b">
        <f aca="false">FALSE()</f>
        <v>0</v>
      </c>
    </row>
    <row r="157" customFormat="false" ht="15" hidden="false" customHeight="false" outlineLevel="0" collapsed="false">
      <c r="A157" s="2" t="s">
        <v>424</v>
      </c>
      <c r="B157" s="2" t="s">
        <v>425</v>
      </c>
      <c r="C157" s="2" t="n">
        <v>12</v>
      </c>
      <c r="D157" s="2" t="n">
        <v>71</v>
      </c>
      <c r="E157" s="2" t="n">
        <v>1.5</v>
      </c>
      <c r="F157" s="2" t="n">
        <v>352</v>
      </c>
      <c r="G157" s="2" t="s">
        <v>54</v>
      </c>
      <c r="H157" s="2"/>
      <c r="I157" s="2"/>
      <c r="J157" s="2" t="s">
        <v>61</v>
      </c>
      <c r="K157" s="2" t="n">
        <v>5</v>
      </c>
      <c r="L157" s="2" t="s">
        <v>83</v>
      </c>
      <c r="M157" s="2"/>
      <c r="N157" s="2" t="s">
        <v>156</v>
      </c>
      <c r="O157" s="5" t="b">
        <f aca="false">FALSE()</f>
        <v>0</v>
      </c>
    </row>
    <row r="158" customFormat="false" ht="15" hidden="false" customHeight="false" outlineLevel="0" collapsed="false">
      <c r="A158" s="2" t="s">
        <v>426</v>
      </c>
      <c r="B158" s="2" t="s">
        <v>427</v>
      </c>
      <c r="C158" s="2" t="n">
        <v>0.93</v>
      </c>
      <c r="D158" s="2" t="n">
        <v>8.67</v>
      </c>
      <c r="E158" s="2" t="n">
        <v>0.2</v>
      </c>
      <c r="F158" s="2" t="n">
        <v>38.7</v>
      </c>
      <c r="G158" s="2" t="s">
        <v>54</v>
      </c>
      <c r="H158" s="2" t="n">
        <v>150</v>
      </c>
      <c r="I158" s="2" t="s">
        <v>55</v>
      </c>
      <c r="J158" s="2" t="s">
        <v>56</v>
      </c>
      <c r="K158" s="2" t="n">
        <v>0.5</v>
      </c>
      <c r="L158" s="2"/>
      <c r="M158" s="2"/>
      <c r="N158" s="2" t="s">
        <v>156</v>
      </c>
      <c r="O158" s="5" t="b">
        <f aca="false">FALSE()</f>
        <v>0</v>
      </c>
    </row>
    <row r="159" customFormat="false" ht="15" hidden="false" customHeight="false" outlineLevel="0" collapsed="false">
      <c r="A159" s="2" t="s">
        <v>428</v>
      </c>
      <c r="B159" s="2" t="s">
        <v>429</v>
      </c>
      <c r="C159" s="2" t="n">
        <v>9</v>
      </c>
      <c r="D159" s="2" t="n">
        <v>14</v>
      </c>
      <c r="E159" s="2" t="n">
        <v>72</v>
      </c>
      <c r="F159" s="2" t="n">
        <v>691</v>
      </c>
      <c r="G159" s="2" t="s">
        <v>54</v>
      </c>
      <c r="H159" s="2"/>
      <c r="I159" s="2"/>
      <c r="J159" s="2" t="s">
        <v>61</v>
      </c>
      <c r="K159" s="2" t="n">
        <v>5</v>
      </c>
      <c r="L159" s="2" t="s">
        <v>79</v>
      </c>
      <c r="M159" s="2"/>
      <c r="N159" s="2" t="s">
        <v>156</v>
      </c>
      <c r="O159" s="5" t="b">
        <f aca="false">FALSE()</f>
        <v>0</v>
      </c>
    </row>
    <row r="160" customFormat="false" ht="15" hidden="false" customHeight="false" outlineLevel="0" collapsed="false">
      <c r="A160" s="2" t="s">
        <v>430</v>
      </c>
      <c r="B160" s="2" t="s">
        <v>431</v>
      </c>
      <c r="C160" s="2" t="n">
        <v>4</v>
      </c>
      <c r="D160" s="2" t="n">
        <v>15</v>
      </c>
      <c r="E160" s="2" t="n">
        <v>3</v>
      </c>
      <c r="F160" s="2" t="n">
        <v>120</v>
      </c>
      <c r="G160" s="2" t="s">
        <v>54</v>
      </c>
      <c r="H160" s="2"/>
      <c r="I160" s="2"/>
      <c r="J160" s="2" t="s">
        <v>61</v>
      </c>
      <c r="K160" s="2" t="n">
        <v>2</v>
      </c>
      <c r="L160" s="2"/>
      <c r="M160" s="2"/>
      <c r="N160" s="2" t="s">
        <v>156</v>
      </c>
      <c r="O160" s="5" t="b">
        <f aca="false">FALSE()</f>
        <v>0</v>
      </c>
    </row>
    <row r="161" customFormat="false" ht="15" hidden="false" customHeight="false" outlineLevel="0" collapsed="false">
      <c r="A161" s="2" t="s">
        <v>432</v>
      </c>
      <c r="B161" s="2" t="s">
        <v>433</v>
      </c>
      <c r="C161" s="2" t="n">
        <v>14</v>
      </c>
      <c r="D161" s="2" t="n">
        <v>13</v>
      </c>
      <c r="E161" s="2" t="n">
        <v>68</v>
      </c>
      <c r="F161" s="2" t="n">
        <v>673</v>
      </c>
      <c r="G161" s="2" t="s">
        <v>54</v>
      </c>
      <c r="H161" s="2"/>
      <c r="I161" s="2"/>
      <c r="J161" s="2" t="s">
        <v>61</v>
      </c>
      <c r="K161" s="2" t="n">
        <v>5</v>
      </c>
      <c r="L161" s="2" t="s">
        <v>79</v>
      </c>
      <c r="M161" s="2"/>
      <c r="N161" s="2" t="s">
        <v>156</v>
      </c>
      <c r="O161" s="5" t="b">
        <f aca="false">FALSE()</f>
        <v>0</v>
      </c>
    </row>
    <row r="162" customFormat="false" ht="15" hidden="false" customHeight="false" outlineLevel="0" collapsed="false">
      <c r="A162" s="2" t="s">
        <v>434</v>
      </c>
      <c r="B162" s="2" t="s">
        <v>435</v>
      </c>
      <c r="C162" s="2" t="n">
        <v>0.5</v>
      </c>
      <c r="D162" s="2" t="n">
        <v>12.5</v>
      </c>
      <c r="E162" s="2" t="n">
        <v>0.1</v>
      </c>
      <c r="F162" s="2" t="n">
        <v>50</v>
      </c>
      <c r="G162" s="2" t="s">
        <v>54</v>
      </c>
      <c r="H162" s="2"/>
      <c r="I162" s="2"/>
      <c r="J162" s="2" t="s">
        <v>61</v>
      </c>
      <c r="K162" s="2" t="n">
        <v>10</v>
      </c>
      <c r="L162" s="2"/>
      <c r="M162" s="2"/>
      <c r="N162" s="2" t="s">
        <v>156</v>
      </c>
      <c r="O162" s="5" t="b">
        <f aca="false">FALSE()</f>
        <v>0</v>
      </c>
    </row>
    <row r="163" customFormat="false" ht="15" hidden="false" customHeight="false" outlineLevel="0" collapsed="false">
      <c r="A163" s="2" t="s">
        <v>436</v>
      </c>
      <c r="B163" s="2" t="s">
        <v>437</v>
      </c>
      <c r="C163" s="2" t="n">
        <v>8.77</v>
      </c>
      <c r="D163" s="2" t="n">
        <v>50.77</v>
      </c>
      <c r="E163" s="2" t="n">
        <v>1.54</v>
      </c>
      <c r="F163" s="2" t="n">
        <v>253.8</v>
      </c>
      <c r="G163" s="2" t="s">
        <v>54</v>
      </c>
      <c r="H163" s="2" t="n">
        <v>65</v>
      </c>
      <c r="I163" s="2" t="s">
        <v>55</v>
      </c>
      <c r="J163" s="2" t="s">
        <v>56</v>
      </c>
      <c r="K163" s="2" t="n">
        <v>1</v>
      </c>
      <c r="L163" s="2" t="s">
        <v>83</v>
      </c>
      <c r="M163" s="2"/>
      <c r="N163" s="2" t="s">
        <v>156</v>
      </c>
      <c r="O163" s="5" t="b">
        <f aca="false">FALSE()</f>
        <v>0</v>
      </c>
    </row>
    <row r="164" customFormat="false" ht="15" hidden="false" customHeight="false" outlineLevel="0" collapsed="false">
      <c r="A164" s="2" t="s">
        <v>438</v>
      </c>
      <c r="B164" s="2" t="s">
        <v>439</v>
      </c>
      <c r="C164" s="2" t="n">
        <v>2.5</v>
      </c>
      <c r="D164" s="2" t="n">
        <v>68</v>
      </c>
      <c r="E164" s="2" t="n">
        <v>0.4</v>
      </c>
      <c r="F164" s="2" t="n">
        <v>282</v>
      </c>
      <c r="G164" s="2" t="s">
        <v>54</v>
      </c>
      <c r="H164" s="2"/>
      <c r="I164" s="2"/>
      <c r="J164" s="2" t="s">
        <v>61</v>
      </c>
      <c r="K164" s="2" t="n">
        <v>5</v>
      </c>
      <c r="L164" s="2"/>
      <c r="M164" s="2"/>
      <c r="N164" s="2" t="s">
        <v>156</v>
      </c>
      <c r="O164" s="5" t="b">
        <f aca="false">FALSE()</f>
        <v>0</v>
      </c>
    </row>
    <row r="165" customFormat="false" ht="15" hidden="false" customHeight="false" outlineLevel="0" collapsed="false">
      <c r="A165" s="2" t="s">
        <v>440</v>
      </c>
      <c r="B165" s="2" t="s">
        <v>441</v>
      </c>
      <c r="C165" s="2" t="n">
        <v>9.4</v>
      </c>
      <c r="D165" s="2" t="n">
        <v>76</v>
      </c>
      <c r="E165" s="2" t="n">
        <v>1.3</v>
      </c>
      <c r="F165" s="2" t="n">
        <v>341</v>
      </c>
      <c r="G165" s="2" t="s">
        <v>54</v>
      </c>
      <c r="H165" s="2"/>
      <c r="I165" s="2"/>
      <c r="J165" s="2" t="s">
        <v>61</v>
      </c>
      <c r="K165" s="2" t="n">
        <v>5</v>
      </c>
      <c r="L165" s="2" t="s">
        <v>83</v>
      </c>
      <c r="M165" s="2"/>
      <c r="N165" s="2" t="s">
        <v>156</v>
      </c>
      <c r="O165" s="5" t="b">
        <f aca="false">FALSE()</f>
        <v>0</v>
      </c>
    </row>
    <row r="166" customFormat="false" ht="15" hidden="false" customHeight="false" outlineLevel="0" collapsed="false">
      <c r="A166" s="2" t="s">
        <v>442</v>
      </c>
      <c r="B166" s="2" t="s">
        <v>443</v>
      </c>
      <c r="C166" s="2" t="n">
        <v>1.7</v>
      </c>
      <c r="D166" s="2" t="n">
        <v>19</v>
      </c>
      <c r="E166" s="2" t="n">
        <v>1.2</v>
      </c>
      <c r="F166" s="2" t="n">
        <v>83</v>
      </c>
      <c r="G166" s="2" t="s">
        <v>54</v>
      </c>
      <c r="H166" s="2"/>
      <c r="I166" s="2"/>
      <c r="J166" s="2" t="s">
        <v>61</v>
      </c>
      <c r="K166" s="2" t="n">
        <v>5</v>
      </c>
      <c r="L166" s="2"/>
      <c r="M166" s="2"/>
      <c r="N166" s="2" t="s">
        <v>156</v>
      </c>
      <c r="O166" s="5" t="b">
        <f aca="false">FALSE()</f>
        <v>0</v>
      </c>
    </row>
    <row r="167" customFormat="false" ht="15" hidden="false" customHeight="false" outlineLevel="0" collapsed="false">
      <c r="A167" s="2" t="s">
        <v>444</v>
      </c>
      <c r="B167" s="2" t="s">
        <v>445</v>
      </c>
      <c r="C167" s="2" t="n">
        <v>22</v>
      </c>
      <c r="D167" s="2" t="n">
        <v>0</v>
      </c>
      <c r="E167" s="2" t="n">
        <v>2.3</v>
      </c>
      <c r="F167" s="2" t="n">
        <v>108</v>
      </c>
      <c r="G167" s="2" t="s">
        <v>54</v>
      </c>
      <c r="H167" s="2"/>
      <c r="I167" s="2"/>
      <c r="J167" s="2" t="s">
        <v>61</v>
      </c>
      <c r="K167" s="2" t="n">
        <v>10</v>
      </c>
      <c r="L167" s="2"/>
      <c r="M167" s="2"/>
      <c r="N167" s="2" t="s">
        <v>156</v>
      </c>
      <c r="O167" s="5" t="b">
        <f aca="false">FALSE()</f>
        <v>0</v>
      </c>
    </row>
    <row r="168" customFormat="false" ht="15" hidden="false" customHeight="false" outlineLevel="0" collapsed="false">
      <c r="A168" s="2" t="s">
        <v>446</v>
      </c>
      <c r="B168" s="2" t="s">
        <v>447</v>
      </c>
      <c r="C168" s="2" t="n">
        <v>2</v>
      </c>
      <c r="D168" s="2" t="n">
        <v>17</v>
      </c>
      <c r="E168" s="2" t="n">
        <v>0.1</v>
      </c>
      <c r="F168" s="2" t="n">
        <v>77</v>
      </c>
      <c r="G168" s="2" t="s">
        <v>54</v>
      </c>
      <c r="H168" s="2"/>
      <c r="I168" s="2"/>
      <c r="J168" s="2" t="s">
        <v>61</v>
      </c>
      <c r="K168" s="2" t="n">
        <v>10</v>
      </c>
      <c r="L168" s="2"/>
      <c r="M168" s="2"/>
      <c r="N168" s="2" t="s">
        <v>156</v>
      </c>
      <c r="O168" s="5" t="b">
        <f aca="false">FALSE()</f>
        <v>0</v>
      </c>
    </row>
    <row r="169" customFormat="false" ht="15" hidden="false" customHeight="false" outlineLevel="0" collapsed="false">
      <c r="A169" s="2" t="s">
        <v>448</v>
      </c>
      <c r="B169" s="2" t="s">
        <v>449</v>
      </c>
      <c r="C169" s="2" t="n">
        <v>30</v>
      </c>
      <c r="D169" s="2" t="n">
        <v>15</v>
      </c>
      <c r="E169" s="2" t="n">
        <v>46</v>
      </c>
      <c r="F169" s="2" t="n">
        <v>559</v>
      </c>
      <c r="G169" s="2" t="s">
        <v>54</v>
      </c>
      <c r="H169" s="2"/>
      <c r="I169" s="2"/>
      <c r="J169" s="2" t="s">
        <v>61</v>
      </c>
      <c r="K169" s="2" t="n">
        <v>2</v>
      </c>
      <c r="L169" s="2"/>
      <c r="M169" s="2"/>
      <c r="N169" s="2" t="s">
        <v>156</v>
      </c>
      <c r="O169" s="5" t="b">
        <f aca="false">FALSE()</f>
        <v>0</v>
      </c>
    </row>
    <row r="170" customFormat="false" ht="15" hidden="false" customHeight="false" outlineLevel="0" collapsed="false">
      <c r="A170" s="2" t="s">
        <v>450</v>
      </c>
      <c r="B170" s="2" t="s">
        <v>451</v>
      </c>
      <c r="C170" s="2" t="n">
        <v>3.1</v>
      </c>
      <c r="D170" s="2" t="n">
        <v>79</v>
      </c>
      <c r="E170" s="2" t="n">
        <v>0.5</v>
      </c>
      <c r="F170" s="2" t="n">
        <v>299</v>
      </c>
      <c r="G170" s="2" t="s">
        <v>54</v>
      </c>
      <c r="H170" s="2"/>
      <c r="I170" s="2"/>
      <c r="J170" s="2" t="s">
        <v>61</v>
      </c>
      <c r="K170" s="2" t="n">
        <v>5</v>
      </c>
      <c r="L170" s="2"/>
      <c r="M170" s="2"/>
      <c r="N170" s="2" t="s">
        <v>156</v>
      </c>
      <c r="O170" s="5" t="b">
        <f aca="false">FALSE()</f>
        <v>0</v>
      </c>
    </row>
    <row r="171" customFormat="false" ht="15" hidden="false" customHeight="false" outlineLevel="0" collapsed="false">
      <c r="A171" s="2" t="s">
        <v>452</v>
      </c>
      <c r="B171" s="2" t="s">
        <v>453</v>
      </c>
      <c r="C171" s="2" t="n">
        <v>0</v>
      </c>
      <c r="D171" s="2" t="n">
        <v>0</v>
      </c>
      <c r="E171" s="2" t="n">
        <v>92</v>
      </c>
      <c r="F171" s="2" t="n">
        <v>828</v>
      </c>
      <c r="G171" s="2" t="s">
        <v>54</v>
      </c>
      <c r="H171" s="2"/>
      <c r="I171" s="2"/>
      <c r="J171" s="2" t="s">
        <v>61</v>
      </c>
      <c r="K171" s="2" t="n">
        <v>2</v>
      </c>
      <c r="L171" s="2"/>
      <c r="M171" s="2"/>
      <c r="N171" s="2" t="s">
        <v>156</v>
      </c>
      <c r="O171" s="5" t="b">
        <f aca="false">FALSE()</f>
        <v>0</v>
      </c>
    </row>
    <row r="172" customFormat="false" ht="15" hidden="false" customHeight="false" outlineLevel="0" collapsed="false">
      <c r="A172" s="2" t="s">
        <v>454</v>
      </c>
      <c r="B172" s="2" t="s">
        <v>455</v>
      </c>
      <c r="C172" s="2" t="n">
        <v>1</v>
      </c>
      <c r="D172" s="2" t="n">
        <v>4.7</v>
      </c>
      <c r="E172" s="2" t="n">
        <v>0.4</v>
      </c>
      <c r="F172" s="2" t="n">
        <v>26</v>
      </c>
      <c r="G172" s="2" t="s">
        <v>54</v>
      </c>
      <c r="H172" s="2"/>
      <c r="I172" s="2"/>
      <c r="J172" s="2" t="s">
        <v>61</v>
      </c>
      <c r="K172" s="2" t="n">
        <v>10</v>
      </c>
      <c r="L172" s="2"/>
      <c r="M172" s="2"/>
      <c r="N172" s="2" t="s">
        <v>156</v>
      </c>
      <c r="O172" s="5" t="b">
        <f aca="false">FALSE()</f>
        <v>0</v>
      </c>
    </row>
    <row r="173" customFormat="false" ht="15" hidden="false" customHeight="false" outlineLevel="0" collapsed="false">
      <c r="A173" s="2" t="s">
        <v>456</v>
      </c>
      <c r="B173" s="2" t="s">
        <v>457</v>
      </c>
      <c r="C173" s="2" t="n">
        <v>2</v>
      </c>
      <c r="D173" s="2" t="n">
        <v>8.67</v>
      </c>
      <c r="E173" s="2" t="n">
        <v>0.67</v>
      </c>
      <c r="F173" s="2" t="n">
        <v>40</v>
      </c>
      <c r="G173" s="2" t="s">
        <v>54</v>
      </c>
      <c r="H173" s="2" t="n">
        <v>15</v>
      </c>
      <c r="I173" s="2" t="s">
        <v>55</v>
      </c>
      <c r="J173" s="2" t="s">
        <v>56</v>
      </c>
      <c r="K173" s="2" t="n">
        <v>1</v>
      </c>
      <c r="L173" s="2"/>
      <c r="M173" s="2"/>
      <c r="N173" s="2" t="s">
        <v>156</v>
      </c>
      <c r="O173" s="5" t="b">
        <f aca="false">FALSE()</f>
        <v>0</v>
      </c>
    </row>
    <row r="174" customFormat="false" ht="15" hidden="false" customHeight="false" outlineLevel="0" collapsed="false">
      <c r="A174" s="2" t="s">
        <v>458</v>
      </c>
      <c r="B174" s="2" t="s">
        <v>459</v>
      </c>
      <c r="C174" s="2" t="n">
        <v>1.1</v>
      </c>
      <c r="D174" s="2" t="n">
        <v>8</v>
      </c>
      <c r="E174" s="2" t="n">
        <v>0.1</v>
      </c>
      <c r="F174" s="2" t="n">
        <v>40</v>
      </c>
      <c r="G174" s="2" t="s">
        <v>54</v>
      </c>
      <c r="H174" s="2"/>
      <c r="I174" s="2"/>
      <c r="J174" s="2" t="s">
        <v>61</v>
      </c>
      <c r="K174" s="2" t="n">
        <v>10</v>
      </c>
      <c r="L174" s="2"/>
      <c r="M174" s="2"/>
      <c r="N174" s="2" t="s">
        <v>156</v>
      </c>
      <c r="O174" s="5" t="b">
        <f aca="false">FALSE()</f>
        <v>0</v>
      </c>
    </row>
    <row r="175" customFormat="false" ht="15" hidden="false" customHeight="false" outlineLevel="0" collapsed="false">
      <c r="A175" s="2" t="s">
        <v>460</v>
      </c>
      <c r="B175" s="2" t="s">
        <v>461</v>
      </c>
      <c r="C175" s="2" t="n">
        <v>0.1</v>
      </c>
      <c r="D175" s="2" t="n">
        <v>2.6</v>
      </c>
      <c r="E175" s="2" t="n">
        <v>0</v>
      </c>
      <c r="F175" s="2" t="n">
        <v>82</v>
      </c>
      <c r="G175" s="2" t="s">
        <v>76</v>
      </c>
      <c r="H175" s="2"/>
      <c r="I175" s="2"/>
      <c r="J175" s="2" t="s">
        <v>61</v>
      </c>
      <c r="K175" s="2" t="n">
        <v>5</v>
      </c>
      <c r="L175" s="2"/>
      <c r="M175" s="2"/>
      <c r="N175" s="2" t="s">
        <v>156</v>
      </c>
      <c r="O175" s="5" t="b">
        <f aca="false">FALSE()</f>
        <v>0</v>
      </c>
    </row>
    <row r="176" customFormat="false" ht="15" hidden="false" customHeight="false" outlineLevel="0" collapsed="false">
      <c r="A176" s="2" t="s">
        <v>462</v>
      </c>
      <c r="B176" s="2" t="s">
        <v>463</v>
      </c>
      <c r="C176" s="2" t="n">
        <v>32</v>
      </c>
      <c r="D176" s="2" t="n">
        <v>0.1</v>
      </c>
      <c r="E176" s="2" t="n">
        <v>15</v>
      </c>
      <c r="F176" s="2" t="n">
        <v>261</v>
      </c>
      <c r="G176" s="2" t="s">
        <v>54</v>
      </c>
      <c r="H176" s="2"/>
      <c r="I176" s="2"/>
      <c r="J176" s="2" t="s">
        <v>61</v>
      </c>
      <c r="K176" s="2" t="n">
        <v>5</v>
      </c>
      <c r="L176" s="2" t="s">
        <v>69</v>
      </c>
      <c r="M176" s="2"/>
      <c r="N176" s="2" t="s">
        <v>165</v>
      </c>
      <c r="O176" s="5" t="b">
        <f aca="false">FALSE()</f>
        <v>0</v>
      </c>
    </row>
    <row r="177" customFormat="false" ht="15" hidden="false" customHeight="false" outlineLevel="0" collapsed="false">
      <c r="A177" s="2" t="s">
        <v>464</v>
      </c>
      <c r="B177" s="2" t="s">
        <v>465</v>
      </c>
      <c r="C177" s="2" t="n">
        <v>24</v>
      </c>
      <c r="D177" s="2" t="n">
        <v>2</v>
      </c>
      <c r="E177" s="2" t="n">
        <v>17</v>
      </c>
      <c r="F177" s="2" t="n">
        <v>254</v>
      </c>
      <c r="G177" s="2" t="s">
        <v>54</v>
      </c>
      <c r="H177" s="2"/>
      <c r="I177" s="2"/>
      <c r="J177" s="2" t="s">
        <v>61</v>
      </c>
      <c r="K177" s="2" t="n">
        <v>5</v>
      </c>
      <c r="L177" s="2" t="s">
        <v>69</v>
      </c>
      <c r="M177" s="2"/>
      <c r="N177" s="2" t="s">
        <v>165</v>
      </c>
      <c r="O177" s="5" t="b">
        <f aca="false">FALSE()</f>
        <v>0</v>
      </c>
    </row>
    <row r="178" customFormat="false" ht="15" hidden="false" customHeight="false" outlineLevel="0" collapsed="false">
      <c r="A178" s="2" t="s">
        <v>466</v>
      </c>
      <c r="B178" s="2" t="s">
        <v>467</v>
      </c>
      <c r="C178" s="2" t="n">
        <v>0</v>
      </c>
      <c r="D178" s="2" t="n">
        <v>2</v>
      </c>
      <c r="E178" s="2" t="n">
        <v>0</v>
      </c>
      <c r="F178" s="2" t="n">
        <v>20</v>
      </c>
      <c r="G178" s="2" t="s">
        <v>76</v>
      </c>
      <c r="H178" s="2"/>
      <c r="I178" s="2"/>
      <c r="J178" s="2" t="s">
        <v>61</v>
      </c>
      <c r="K178" s="2" t="n">
        <v>2</v>
      </c>
      <c r="L178" s="2"/>
      <c r="M178" s="2"/>
      <c r="N178" s="2" t="s">
        <v>156</v>
      </c>
      <c r="O178" s="5" t="b">
        <f aca="false">FALSE()</f>
        <v>0</v>
      </c>
    </row>
    <row r="179" customFormat="false" ht="15" hidden="false" customHeight="false" outlineLevel="0" collapsed="false">
      <c r="A179" s="2" t="s">
        <v>468</v>
      </c>
      <c r="B179" s="2" t="s">
        <v>469</v>
      </c>
      <c r="C179" s="2" t="n">
        <v>26</v>
      </c>
      <c r="D179" s="2" t="n">
        <v>16</v>
      </c>
      <c r="E179" s="2" t="n">
        <v>50</v>
      </c>
      <c r="F179" s="2" t="n">
        <v>602</v>
      </c>
      <c r="G179" s="2" t="s">
        <v>54</v>
      </c>
      <c r="H179" s="2"/>
      <c r="I179" s="2"/>
      <c r="J179" s="2" t="s">
        <v>61</v>
      </c>
      <c r="K179" s="2" t="n">
        <v>5</v>
      </c>
      <c r="L179" s="2" t="s">
        <v>87</v>
      </c>
      <c r="M179" s="2"/>
      <c r="N179" s="2" t="s">
        <v>156</v>
      </c>
      <c r="O179" s="5" t="b">
        <f aca="false">FALSE()</f>
        <v>0</v>
      </c>
    </row>
    <row r="180" customFormat="false" ht="15" hidden="false" customHeight="false" outlineLevel="0" collapsed="false">
      <c r="A180" s="2" t="s">
        <v>470</v>
      </c>
      <c r="B180" s="2" t="s">
        <v>471</v>
      </c>
      <c r="C180" s="2" t="n">
        <v>2.6</v>
      </c>
      <c r="D180" s="2" t="n">
        <v>2.1</v>
      </c>
      <c r="E180" s="2" t="n">
        <v>0.7</v>
      </c>
      <c r="F180" s="2" t="n">
        <v>25</v>
      </c>
      <c r="G180" s="2" t="s">
        <v>54</v>
      </c>
      <c r="H180" s="2"/>
      <c r="I180" s="2"/>
      <c r="J180" s="2" t="s">
        <v>61</v>
      </c>
      <c r="K180" s="2" t="n">
        <v>10</v>
      </c>
      <c r="L180" s="2"/>
      <c r="M180" s="2"/>
      <c r="N180" s="2" t="s">
        <v>156</v>
      </c>
      <c r="O180" s="5" t="b">
        <f aca="false">FALSE()</f>
        <v>0</v>
      </c>
    </row>
    <row r="181" customFormat="false" ht="15" hidden="false" customHeight="false" outlineLevel="0" collapsed="false">
      <c r="A181" s="2" t="s">
        <v>472</v>
      </c>
      <c r="B181" s="2" t="s">
        <v>473</v>
      </c>
      <c r="C181" s="2" t="n">
        <v>0</v>
      </c>
      <c r="D181" s="2" t="n">
        <v>0</v>
      </c>
      <c r="E181" s="2" t="n">
        <v>0</v>
      </c>
      <c r="F181" s="2" t="n">
        <v>0</v>
      </c>
      <c r="G181" s="2" t="s">
        <v>54</v>
      </c>
      <c r="H181" s="2"/>
      <c r="I181" s="2"/>
      <c r="J181" s="2" t="s">
        <v>61</v>
      </c>
      <c r="K181" s="2" t="n">
        <v>1</v>
      </c>
      <c r="L181" s="2"/>
      <c r="M181" s="2"/>
      <c r="N181" s="2" t="s">
        <v>156</v>
      </c>
      <c r="O181" s="5" t="b">
        <f aca="false">FALSE()</f>
        <v>0</v>
      </c>
    </row>
    <row r="182" customFormat="false" ht="15" hidden="false" customHeight="false" outlineLevel="0" collapsed="false">
      <c r="A182" s="2" t="s">
        <v>474</v>
      </c>
      <c r="B182" s="2" t="s">
        <v>475</v>
      </c>
      <c r="C182" s="2" t="n">
        <v>0.5</v>
      </c>
      <c r="D182" s="2" t="n">
        <v>5</v>
      </c>
      <c r="E182" s="2" t="n">
        <v>0</v>
      </c>
      <c r="F182" s="2" t="n">
        <v>134</v>
      </c>
      <c r="G182" s="2" t="s">
        <v>76</v>
      </c>
      <c r="H182" s="2"/>
      <c r="I182" s="2"/>
      <c r="J182" s="2" t="s">
        <v>61</v>
      </c>
      <c r="K182" s="2" t="n">
        <v>5</v>
      </c>
      <c r="L182" s="2"/>
      <c r="M182" s="2"/>
      <c r="N182" s="2" t="s">
        <v>156</v>
      </c>
      <c r="O182" s="5" t="b">
        <f aca="false">FALSE()</f>
        <v>0</v>
      </c>
    </row>
    <row r="183" customFormat="false" ht="15" hidden="false" customHeight="false" outlineLevel="0" collapsed="false">
      <c r="A183" s="2" t="s">
        <v>476</v>
      </c>
      <c r="B183" s="2" t="s">
        <v>477</v>
      </c>
      <c r="C183" s="2" t="n">
        <v>20</v>
      </c>
      <c r="D183" s="2" t="n">
        <v>0</v>
      </c>
      <c r="E183" s="2" t="n">
        <v>13</v>
      </c>
      <c r="F183" s="2" t="n">
        <v>200</v>
      </c>
      <c r="G183" s="2" t="s">
        <v>54</v>
      </c>
      <c r="H183" s="2"/>
      <c r="I183" s="2"/>
      <c r="J183" s="2" t="s">
        <v>61</v>
      </c>
      <c r="K183" s="2" t="n">
        <v>10</v>
      </c>
      <c r="L183" s="2" t="s">
        <v>127</v>
      </c>
      <c r="M183" s="2"/>
      <c r="N183" s="2" t="s">
        <v>156</v>
      </c>
      <c r="O183" s="5" t="b">
        <f aca="false">FALSE()</f>
        <v>0</v>
      </c>
    </row>
    <row r="184" customFormat="false" ht="15" hidden="false" customHeight="false" outlineLevel="0" collapsed="false">
      <c r="A184" s="2" t="s">
        <v>478</v>
      </c>
      <c r="B184" s="2" t="s">
        <v>479</v>
      </c>
      <c r="C184" s="2" t="n">
        <v>20</v>
      </c>
      <c r="D184" s="2" t="n">
        <v>0</v>
      </c>
      <c r="E184" s="2" t="n">
        <v>0.7</v>
      </c>
      <c r="F184" s="2" t="n">
        <v>90</v>
      </c>
      <c r="G184" s="2" t="s">
        <v>54</v>
      </c>
      <c r="H184" s="2"/>
      <c r="I184" s="2"/>
      <c r="J184" s="2" t="s">
        <v>61</v>
      </c>
      <c r="K184" s="2" t="n">
        <v>10</v>
      </c>
      <c r="L184" s="2" t="s">
        <v>127</v>
      </c>
      <c r="M184" s="2"/>
      <c r="N184" s="2" t="s">
        <v>156</v>
      </c>
      <c r="O184" s="5" t="b">
        <f aca="false">FALSE()</f>
        <v>0</v>
      </c>
    </row>
    <row r="185" customFormat="false" ht="15" hidden="false" customHeight="false" outlineLevel="0" collapsed="false">
      <c r="A185" s="2" t="s">
        <v>480</v>
      </c>
      <c r="B185" s="2" t="s">
        <v>481</v>
      </c>
      <c r="C185" s="2" t="n">
        <v>0</v>
      </c>
      <c r="D185" s="2" t="n">
        <v>0</v>
      </c>
      <c r="E185" s="2" t="n">
        <v>0</v>
      </c>
      <c r="F185" s="2" t="n">
        <v>0</v>
      </c>
      <c r="G185" s="2" t="s">
        <v>54</v>
      </c>
      <c r="H185" s="2"/>
      <c r="I185" s="2"/>
      <c r="J185" s="2" t="s">
        <v>61</v>
      </c>
      <c r="K185" s="2" t="n">
        <v>1</v>
      </c>
      <c r="L185" s="2"/>
      <c r="M185" s="2"/>
      <c r="N185" s="2" t="s">
        <v>156</v>
      </c>
      <c r="O185" s="5" t="b">
        <f aca="false">FALSE()</f>
        <v>0</v>
      </c>
    </row>
    <row r="186" customFormat="false" ht="15" hidden="false" customHeight="false" outlineLevel="0" collapsed="false">
      <c r="A186" s="2" t="s">
        <v>482</v>
      </c>
      <c r="B186" s="2" t="s">
        <v>483</v>
      </c>
      <c r="C186" s="2" t="n">
        <v>2</v>
      </c>
      <c r="D186" s="2" t="n">
        <v>9</v>
      </c>
      <c r="E186" s="2" t="n">
        <v>0.5</v>
      </c>
      <c r="F186" s="2" t="n">
        <v>40</v>
      </c>
      <c r="G186" s="2" t="s">
        <v>54</v>
      </c>
      <c r="H186" s="2" t="n">
        <v>10</v>
      </c>
      <c r="I186" s="2" t="s">
        <v>55</v>
      </c>
      <c r="J186" s="2" t="s">
        <v>56</v>
      </c>
      <c r="K186" s="2" t="n">
        <v>0.25</v>
      </c>
      <c r="L186" s="2"/>
      <c r="M186" s="2"/>
      <c r="N186" s="2" t="s">
        <v>156</v>
      </c>
      <c r="O186" s="5" t="b">
        <f aca="false">FALSE()</f>
        <v>0</v>
      </c>
    </row>
    <row r="187" customFormat="false" ht="15" hidden="false" customHeight="false" outlineLevel="0" collapsed="false">
      <c r="A187" s="2" t="s">
        <v>484</v>
      </c>
      <c r="B187" s="2" t="s">
        <v>485</v>
      </c>
      <c r="C187" s="2" t="n">
        <v>20</v>
      </c>
      <c r="D187" s="2" t="n">
        <v>0</v>
      </c>
      <c r="E187" s="2" t="n">
        <v>4</v>
      </c>
      <c r="F187" s="2" t="n">
        <v>124</v>
      </c>
      <c r="G187" s="2" t="s">
        <v>54</v>
      </c>
      <c r="H187" s="2"/>
      <c r="I187" s="2"/>
      <c r="J187" s="2" t="s">
        <v>61</v>
      </c>
      <c r="K187" s="2" t="n">
        <v>10</v>
      </c>
      <c r="L187" s="2" t="s">
        <v>127</v>
      </c>
      <c r="M187" s="2"/>
      <c r="N187" s="2" t="s">
        <v>156</v>
      </c>
      <c r="O187" s="5" t="b">
        <f aca="false">FALSE()</f>
        <v>0</v>
      </c>
    </row>
    <row r="188" customFormat="false" ht="15" hidden="false" customHeight="false" outlineLevel="0" collapsed="false">
      <c r="A188" s="2" t="s">
        <v>486</v>
      </c>
      <c r="B188" s="2" t="s">
        <v>487</v>
      </c>
      <c r="C188" s="2" t="n">
        <v>0</v>
      </c>
      <c r="D188" s="2" t="n">
        <v>0</v>
      </c>
      <c r="E188" s="2" t="n">
        <v>100</v>
      </c>
      <c r="F188" s="2" t="n">
        <v>884</v>
      </c>
      <c r="G188" s="2" t="s">
        <v>54</v>
      </c>
      <c r="H188" s="2"/>
      <c r="I188" s="2"/>
      <c r="J188" s="2" t="s">
        <v>61</v>
      </c>
      <c r="K188" s="2" t="n">
        <v>2</v>
      </c>
      <c r="L188" s="2" t="s">
        <v>336</v>
      </c>
      <c r="M188" s="2"/>
      <c r="N188" s="2" t="s">
        <v>156</v>
      </c>
      <c r="O188" s="5" t="b">
        <f aca="false">FALSE()</f>
        <v>0</v>
      </c>
    </row>
    <row r="189" customFormat="false" ht="15" hidden="false" customHeight="false" outlineLevel="0" collapsed="false">
      <c r="A189" s="2" t="s">
        <v>488</v>
      </c>
      <c r="B189" s="2" t="s">
        <v>489</v>
      </c>
      <c r="C189" s="2" t="n">
        <v>18</v>
      </c>
      <c r="D189" s="2" t="n">
        <v>12</v>
      </c>
      <c r="E189" s="2" t="n">
        <v>50</v>
      </c>
      <c r="F189" s="2" t="n">
        <v>573</v>
      </c>
      <c r="G189" s="2" t="s">
        <v>54</v>
      </c>
      <c r="H189" s="2"/>
      <c r="I189" s="2"/>
      <c r="J189" s="2" t="s">
        <v>61</v>
      </c>
      <c r="K189" s="2" t="n">
        <v>2</v>
      </c>
      <c r="L189" s="2" t="s">
        <v>336</v>
      </c>
      <c r="M189" s="2"/>
      <c r="N189" s="2" t="s">
        <v>156</v>
      </c>
      <c r="O189" s="5" t="b">
        <f aca="false">FALSE()</f>
        <v>0</v>
      </c>
    </row>
    <row r="190" customFormat="false" ht="15" hidden="false" customHeight="false" outlineLevel="0" collapsed="false">
      <c r="A190" s="2" t="s">
        <v>490</v>
      </c>
      <c r="B190" s="2" t="s">
        <v>491</v>
      </c>
      <c r="C190" s="2" t="n">
        <v>2.5</v>
      </c>
      <c r="D190" s="2" t="n">
        <v>17</v>
      </c>
      <c r="E190" s="2" t="n">
        <v>0.1</v>
      </c>
      <c r="F190" s="2" t="n">
        <v>72</v>
      </c>
      <c r="G190" s="2" t="s">
        <v>54</v>
      </c>
      <c r="H190" s="2"/>
      <c r="I190" s="2"/>
      <c r="J190" s="2" t="s">
        <v>61</v>
      </c>
      <c r="K190" s="2" t="n">
        <v>10</v>
      </c>
      <c r="L190" s="2"/>
      <c r="M190" s="2"/>
      <c r="N190" s="2" t="s">
        <v>156</v>
      </c>
      <c r="O190" s="5" t="b">
        <f aca="false">FALSE()</f>
        <v>0</v>
      </c>
    </row>
    <row r="191" customFormat="false" ht="15" hidden="false" customHeight="false" outlineLevel="0" collapsed="false">
      <c r="A191" s="2" t="s">
        <v>492</v>
      </c>
      <c r="B191" s="2" t="s">
        <v>493</v>
      </c>
      <c r="C191" s="2" t="n">
        <v>5</v>
      </c>
      <c r="D191" s="2" t="n">
        <v>1</v>
      </c>
      <c r="E191" s="2" t="n">
        <v>2.4</v>
      </c>
      <c r="F191" s="2" t="n">
        <v>55</v>
      </c>
      <c r="G191" s="2" t="s">
        <v>54</v>
      </c>
      <c r="H191" s="2"/>
      <c r="I191" s="2"/>
      <c r="J191" s="2" t="s">
        <v>61</v>
      </c>
      <c r="K191" s="2" t="n">
        <v>10</v>
      </c>
      <c r="L191" s="2" t="s">
        <v>282</v>
      </c>
      <c r="M191" s="2"/>
      <c r="N191" s="2" t="s">
        <v>156</v>
      </c>
      <c r="O191" s="5" t="b">
        <f aca="false">FALSE()</f>
        <v>0</v>
      </c>
    </row>
    <row r="192" customFormat="false" ht="15" hidden="false" customHeight="false" outlineLevel="0" collapsed="false">
      <c r="A192" s="2" t="s">
        <v>494</v>
      </c>
      <c r="B192" s="2" t="s">
        <v>495</v>
      </c>
      <c r="C192" s="2" t="n">
        <v>3.4</v>
      </c>
      <c r="D192" s="2" t="n">
        <v>4.8</v>
      </c>
      <c r="E192" s="2" t="n">
        <v>0.1</v>
      </c>
      <c r="F192" s="2" t="n">
        <v>34</v>
      </c>
      <c r="G192" s="2" t="s">
        <v>76</v>
      </c>
      <c r="H192" s="2"/>
      <c r="I192" s="2"/>
      <c r="J192" s="2" t="s">
        <v>61</v>
      </c>
      <c r="K192" s="2" t="n">
        <v>10</v>
      </c>
      <c r="L192" s="2" t="s">
        <v>69</v>
      </c>
      <c r="M192" s="2"/>
      <c r="N192" s="2" t="s">
        <v>156</v>
      </c>
      <c r="O192" s="5" t="b">
        <f aca="false">FALSE()</f>
        <v>0</v>
      </c>
    </row>
    <row r="193" customFormat="false" ht="15" hidden="false" customHeight="false" outlineLevel="0" collapsed="false">
      <c r="A193" s="2" t="s">
        <v>496</v>
      </c>
      <c r="B193" s="2" t="s">
        <v>497</v>
      </c>
      <c r="C193" s="2" t="n">
        <v>8</v>
      </c>
      <c r="D193" s="2" t="n">
        <v>6</v>
      </c>
      <c r="E193" s="2" t="n">
        <v>0.1</v>
      </c>
      <c r="F193" s="2" t="n">
        <v>60</v>
      </c>
      <c r="G193" s="2" t="s">
        <v>76</v>
      </c>
      <c r="H193" s="2"/>
      <c r="I193" s="2"/>
      <c r="J193" s="2" t="s">
        <v>61</v>
      </c>
      <c r="K193" s="2" t="n">
        <v>2</v>
      </c>
      <c r="L193" s="2" t="s">
        <v>333</v>
      </c>
      <c r="M193" s="2"/>
      <c r="N193" s="2" t="s">
        <v>156</v>
      </c>
      <c r="O193" s="5" t="b">
        <f aca="false">FALSE()</f>
        <v>0</v>
      </c>
    </row>
    <row r="194" customFormat="false" ht="15" hidden="false" customHeight="false" outlineLevel="0" collapsed="false">
      <c r="A194" s="2" t="s">
        <v>498</v>
      </c>
      <c r="B194" s="2" t="s">
        <v>499</v>
      </c>
      <c r="C194" s="2" t="n">
        <v>2.9</v>
      </c>
      <c r="D194" s="2" t="n">
        <v>1.6</v>
      </c>
      <c r="E194" s="2" t="n">
        <v>0.4</v>
      </c>
      <c r="F194" s="2" t="n">
        <v>23</v>
      </c>
      <c r="G194" s="2" t="s">
        <v>54</v>
      </c>
      <c r="H194" s="2"/>
      <c r="I194" s="2"/>
      <c r="J194" s="2" t="s">
        <v>61</v>
      </c>
      <c r="K194" s="2" t="n">
        <v>10</v>
      </c>
      <c r="L194" s="2"/>
      <c r="M194" s="2"/>
      <c r="N194" s="2" t="s">
        <v>156</v>
      </c>
      <c r="O194" s="5" t="b">
        <f aca="false">FALSE()</f>
        <v>0</v>
      </c>
    </row>
    <row r="195" customFormat="false" ht="15" hidden="false" customHeight="false" outlineLevel="0" collapsed="false">
      <c r="A195" s="2" t="s">
        <v>500</v>
      </c>
      <c r="B195" s="2" t="s">
        <v>501</v>
      </c>
      <c r="C195" s="2" t="n">
        <v>2</v>
      </c>
      <c r="D195" s="2" t="n">
        <v>4</v>
      </c>
      <c r="E195" s="2" t="n">
        <v>0.33</v>
      </c>
      <c r="F195" s="2" t="n">
        <v>33.3</v>
      </c>
      <c r="G195" s="2" t="s">
        <v>54</v>
      </c>
      <c r="H195" s="2" t="n">
        <v>15</v>
      </c>
      <c r="I195" s="2" t="s">
        <v>55</v>
      </c>
      <c r="J195" s="2" t="s">
        <v>56</v>
      </c>
      <c r="K195" s="2" t="n">
        <v>1</v>
      </c>
      <c r="L195" s="2"/>
      <c r="M195" s="2"/>
      <c r="N195" s="2" t="s">
        <v>156</v>
      </c>
      <c r="O195" s="5" t="b">
        <f aca="false">FALSE()</f>
        <v>0</v>
      </c>
    </row>
    <row r="196" customFormat="false" ht="15" hidden="false" customHeight="false" outlineLevel="0" collapsed="false">
      <c r="A196" s="2" t="s">
        <v>502</v>
      </c>
      <c r="B196" s="2" t="s">
        <v>503</v>
      </c>
      <c r="C196" s="2" t="n">
        <v>1.9</v>
      </c>
      <c r="D196" s="2" t="n">
        <v>19</v>
      </c>
      <c r="E196" s="2" t="n">
        <v>0.9</v>
      </c>
      <c r="F196" s="2" t="n">
        <v>93</v>
      </c>
      <c r="G196" s="2" t="s">
        <v>54</v>
      </c>
      <c r="H196" s="2"/>
      <c r="I196" s="2"/>
      <c r="J196" s="2" t="s">
        <v>61</v>
      </c>
      <c r="K196" s="2" t="n">
        <v>2</v>
      </c>
      <c r="L196" s="2"/>
      <c r="M196" s="2"/>
      <c r="N196" s="2" t="s">
        <v>156</v>
      </c>
      <c r="O196" s="5" t="b">
        <f aca="false">FALSE()</f>
        <v>0</v>
      </c>
    </row>
    <row r="197" customFormat="false" ht="15" hidden="false" customHeight="false" outlineLevel="0" collapsed="false">
      <c r="A197" s="2" t="s">
        <v>504</v>
      </c>
      <c r="B197" s="2" t="s">
        <v>505</v>
      </c>
      <c r="C197" s="2" t="n">
        <v>7.5</v>
      </c>
      <c r="D197" s="2" t="n">
        <v>50</v>
      </c>
      <c r="E197" s="2" t="n">
        <v>2.5</v>
      </c>
      <c r="F197" s="2" t="n">
        <v>250</v>
      </c>
      <c r="G197" s="2" t="s">
        <v>54</v>
      </c>
      <c r="H197" s="2" t="n">
        <v>40</v>
      </c>
      <c r="I197" s="2" t="s">
        <v>55</v>
      </c>
      <c r="J197" s="2" t="s">
        <v>56</v>
      </c>
      <c r="K197" s="2" t="n">
        <v>1</v>
      </c>
      <c r="L197" s="2" t="s">
        <v>83</v>
      </c>
      <c r="M197" s="2"/>
      <c r="N197" s="2" t="s">
        <v>156</v>
      </c>
      <c r="O197" s="5" t="b">
        <f aca="false">FALSE()</f>
        <v>0</v>
      </c>
    </row>
    <row r="198" customFormat="false" ht="15" hidden="false" customHeight="false" outlineLevel="0" collapsed="false">
      <c r="A198" s="2" t="s">
        <v>506</v>
      </c>
      <c r="B198" s="2" t="s">
        <v>507</v>
      </c>
      <c r="C198" s="2" t="n">
        <v>0.8</v>
      </c>
      <c r="D198" s="2" t="n">
        <v>0.5</v>
      </c>
      <c r="E198" s="2" t="n">
        <v>0.2</v>
      </c>
      <c r="F198" s="2" t="n">
        <v>8</v>
      </c>
      <c r="G198" s="2" t="s">
        <v>76</v>
      </c>
      <c r="H198" s="2"/>
      <c r="I198" s="2"/>
      <c r="J198" s="2" t="s">
        <v>61</v>
      </c>
      <c r="K198" s="2" t="n">
        <v>10</v>
      </c>
      <c r="L198" s="2"/>
      <c r="M198" s="2"/>
      <c r="N198" s="2" t="s">
        <v>156</v>
      </c>
      <c r="O198" s="5" t="b">
        <f aca="false">FALSE()</f>
        <v>0</v>
      </c>
    </row>
    <row r="199" customFormat="false" ht="15" hidden="false" customHeight="false" outlineLevel="0" collapsed="false">
      <c r="A199" s="2" t="s">
        <v>508</v>
      </c>
      <c r="B199" s="2" t="s">
        <v>509</v>
      </c>
      <c r="C199" s="2" t="n">
        <v>5</v>
      </c>
      <c r="D199" s="2" t="n">
        <v>10</v>
      </c>
      <c r="E199" s="2" t="n">
        <v>3</v>
      </c>
      <c r="F199" s="2" t="n">
        <v>120</v>
      </c>
      <c r="G199" s="2" t="s">
        <v>54</v>
      </c>
      <c r="H199" s="2" t="n">
        <v>10</v>
      </c>
      <c r="I199" s="2" t="s">
        <v>55</v>
      </c>
      <c r="J199" s="2" t="s">
        <v>56</v>
      </c>
      <c r="K199" s="2" t="n">
        <v>1</v>
      </c>
      <c r="L199" s="2"/>
      <c r="M199" s="2"/>
      <c r="N199" s="2" t="s">
        <v>156</v>
      </c>
      <c r="O199" s="5" t="b">
        <f aca="false">FALSE()</f>
        <v>0</v>
      </c>
    </row>
    <row r="200" customFormat="false" ht="15" hidden="false" customHeight="false" outlineLevel="0" collapsed="false">
      <c r="A200" s="2" t="s">
        <v>510</v>
      </c>
      <c r="B200" s="2" t="s">
        <v>511</v>
      </c>
      <c r="C200" s="2" t="n">
        <v>0.8</v>
      </c>
      <c r="D200" s="2" t="n">
        <v>7.7</v>
      </c>
      <c r="E200" s="2" t="n">
        <v>0.2</v>
      </c>
      <c r="F200" s="2" t="n">
        <v>33</v>
      </c>
      <c r="G200" s="2" t="s">
        <v>54</v>
      </c>
      <c r="H200" s="2"/>
      <c r="I200" s="2"/>
      <c r="J200" s="2" t="s">
        <v>61</v>
      </c>
      <c r="K200" s="2" t="n">
        <v>10</v>
      </c>
      <c r="L200" s="2"/>
      <c r="M200" s="2"/>
      <c r="N200" s="2" t="s">
        <v>156</v>
      </c>
      <c r="O200" s="5" t="b">
        <f aca="false">FALSE()</f>
        <v>0</v>
      </c>
    </row>
    <row r="201" customFormat="false" ht="15" hidden="false" customHeight="false" outlineLevel="0" collapsed="false">
      <c r="A201" s="2" t="s">
        <v>512</v>
      </c>
      <c r="B201" s="2" t="s">
        <v>513</v>
      </c>
      <c r="C201" s="2" t="n">
        <v>0.6</v>
      </c>
      <c r="D201" s="2" t="n">
        <v>40</v>
      </c>
      <c r="E201" s="2" t="n">
        <v>0.2</v>
      </c>
      <c r="F201" s="2" t="n">
        <v>165</v>
      </c>
      <c r="G201" s="2" t="s">
        <v>54</v>
      </c>
      <c r="H201" s="2"/>
      <c r="I201" s="2"/>
      <c r="J201" s="2" t="s">
        <v>61</v>
      </c>
      <c r="K201" s="2" t="n">
        <v>2</v>
      </c>
      <c r="L201" s="2"/>
      <c r="M201" s="2"/>
      <c r="N201" s="2" t="s">
        <v>165</v>
      </c>
      <c r="O201" s="5" t="b">
        <f aca="false">FALSE()</f>
        <v>0</v>
      </c>
    </row>
    <row r="202" customFormat="false" ht="15" hidden="false" customHeight="false" outlineLevel="0" collapsed="false">
      <c r="A202" s="2" t="s">
        <v>514</v>
      </c>
      <c r="B202" s="2" t="s">
        <v>515</v>
      </c>
      <c r="C202" s="2" t="n">
        <v>1.6</v>
      </c>
      <c r="D202" s="2" t="n">
        <v>20</v>
      </c>
      <c r="E202" s="2" t="n">
        <v>0.1</v>
      </c>
      <c r="F202" s="2" t="n">
        <v>86</v>
      </c>
      <c r="G202" s="2" t="s">
        <v>54</v>
      </c>
      <c r="H202" s="2"/>
      <c r="I202" s="2"/>
      <c r="J202" s="2" t="s">
        <v>61</v>
      </c>
      <c r="K202" s="2" t="n">
        <v>10</v>
      </c>
      <c r="L202" s="2"/>
      <c r="M202" s="2"/>
      <c r="N202" s="2" t="s">
        <v>156</v>
      </c>
      <c r="O202" s="5" t="b">
        <f aca="false">FALSE()</f>
        <v>0</v>
      </c>
    </row>
    <row r="203" customFormat="false" ht="15" hidden="false" customHeight="false" outlineLevel="0" collapsed="false">
      <c r="A203" s="2" t="s">
        <v>516</v>
      </c>
      <c r="B203" s="2" t="s">
        <v>517</v>
      </c>
      <c r="C203" s="2" t="n">
        <v>3.2</v>
      </c>
      <c r="D203" s="2" t="n">
        <v>19</v>
      </c>
      <c r="E203" s="2" t="n">
        <v>1.2</v>
      </c>
      <c r="F203" s="2" t="n">
        <v>86</v>
      </c>
      <c r="G203" s="2" t="s">
        <v>54</v>
      </c>
      <c r="H203" s="2"/>
      <c r="I203" s="2"/>
      <c r="J203" s="2" t="s">
        <v>61</v>
      </c>
      <c r="K203" s="2" t="n">
        <v>10</v>
      </c>
      <c r="L203" s="2"/>
      <c r="M203" s="2"/>
      <c r="N203" s="2" t="s">
        <v>156</v>
      </c>
      <c r="O203" s="5" t="b">
        <f aca="false">FALSE()</f>
        <v>0</v>
      </c>
    </row>
    <row r="204" customFormat="false" ht="15" hidden="false" customHeight="false" outlineLevel="0" collapsed="false">
      <c r="A204" s="2" t="s">
        <v>518</v>
      </c>
      <c r="B204" s="2" t="s">
        <v>519</v>
      </c>
      <c r="C204" s="2" t="n">
        <v>17</v>
      </c>
      <c r="D204" s="2" t="n">
        <v>11</v>
      </c>
      <c r="E204" s="2" t="n">
        <v>54</v>
      </c>
      <c r="F204" s="2" t="n">
        <v>595</v>
      </c>
      <c r="G204" s="2" t="s">
        <v>54</v>
      </c>
      <c r="H204" s="2"/>
      <c r="I204" s="2"/>
      <c r="J204" s="2" t="s">
        <v>61</v>
      </c>
      <c r="K204" s="2" t="n">
        <v>5</v>
      </c>
      <c r="L204" s="2" t="s">
        <v>336</v>
      </c>
      <c r="M204" s="2"/>
      <c r="N204" s="2" t="s">
        <v>156</v>
      </c>
      <c r="O204" s="5" t="b">
        <f aca="false">FALSE()</f>
        <v>0</v>
      </c>
    </row>
    <row r="205" customFormat="false" ht="15" hidden="false" customHeight="false" outlineLevel="0" collapsed="false">
      <c r="A205" s="2" t="s">
        <v>520</v>
      </c>
      <c r="B205" s="2" t="s">
        <v>521</v>
      </c>
      <c r="C205" s="2" t="n">
        <v>2.5</v>
      </c>
      <c r="D205" s="2" t="n">
        <v>12</v>
      </c>
      <c r="E205" s="2" t="n">
        <v>3.5</v>
      </c>
      <c r="F205" s="2" t="n">
        <v>90</v>
      </c>
      <c r="G205" s="2" t="s">
        <v>54</v>
      </c>
      <c r="H205" s="2"/>
      <c r="I205" s="2"/>
      <c r="J205" s="2" t="s">
        <v>61</v>
      </c>
      <c r="K205" s="2" t="n">
        <v>2</v>
      </c>
      <c r="L205" s="2" t="s">
        <v>522</v>
      </c>
      <c r="M205" s="2"/>
      <c r="N205" s="2" t="s">
        <v>523</v>
      </c>
      <c r="O205" s="5" t="b">
        <f aca="false">FALSE()</f>
        <v>0</v>
      </c>
    </row>
    <row r="206" customFormat="false" ht="15" hidden="false" customHeight="false" outlineLevel="0" collapsed="false">
      <c r="A206" s="2" t="s">
        <v>524</v>
      </c>
      <c r="B206" s="2" t="s">
        <v>525</v>
      </c>
      <c r="C206" s="2" t="n">
        <v>0.9</v>
      </c>
      <c r="D206" s="2" t="n">
        <v>3.9</v>
      </c>
      <c r="E206" s="2" t="n">
        <v>0.2</v>
      </c>
      <c r="F206" s="2" t="n">
        <v>18</v>
      </c>
      <c r="G206" s="2" t="s">
        <v>54</v>
      </c>
      <c r="H206" s="2"/>
      <c r="I206" s="2"/>
      <c r="J206" s="2" t="s">
        <v>61</v>
      </c>
      <c r="K206" s="2" t="n">
        <v>10</v>
      </c>
      <c r="L206" s="2"/>
      <c r="M206" s="2"/>
      <c r="N206" s="2" t="s">
        <v>156</v>
      </c>
      <c r="O206" s="5" t="b">
        <f aca="false">FALSE()</f>
        <v>0</v>
      </c>
    </row>
    <row r="207" customFormat="false" ht="15" hidden="false" customHeight="false" outlineLevel="0" collapsed="false">
      <c r="A207" s="2" t="s">
        <v>526</v>
      </c>
      <c r="B207" s="2" t="s">
        <v>527</v>
      </c>
      <c r="C207" s="2" t="n">
        <v>3.5</v>
      </c>
      <c r="D207" s="2" t="n">
        <v>19</v>
      </c>
      <c r="E207" s="2" t="n">
        <v>0.3</v>
      </c>
      <c r="F207" s="2" t="n">
        <v>82</v>
      </c>
      <c r="G207" s="2" t="s">
        <v>54</v>
      </c>
      <c r="H207" s="2"/>
      <c r="I207" s="2"/>
      <c r="J207" s="2" t="s">
        <v>61</v>
      </c>
      <c r="K207" s="2" t="n">
        <v>5</v>
      </c>
      <c r="L207" s="2"/>
      <c r="M207" s="2"/>
      <c r="N207" s="2" t="s">
        <v>156</v>
      </c>
      <c r="O207" s="5" t="b">
        <f aca="false">FALSE()</f>
        <v>0</v>
      </c>
    </row>
    <row r="208" customFormat="false" ht="15" hidden="false" customHeight="false" outlineLevel="0" collapsed="false">
      <c r="A208" s="2" t="s">
        <v>528</v>
      </c>
      <c r="B208" s="2" t="s">
        <v>529</v>
      </c>
      <c r="C208" s="2" t="n">
        <v>1</v>
      </c>
      <c r="D208" s="2" t="n">
        <v>25</v>
      </c>
      <c r="E208" s="2" t="n">
        <v>0.2</v>
      </c>
      <c r="F208" s="2" t="n">
        <v>105</v>
      </c>
      <c r="G208" s="2" t="s">
        <v>54</v>
      </c>
      <c r="H208" s="2"/>
      <c r="I208" s="2"/>
      <c r="J208" s="2" t="s">
        <v>61</v>
      </c>
      <c r="K208" s="2" t="n">
        <v>5</v>
      </c>
      <c r="L208" s="2"/>
      <c r="M208" s="2"/>
      <c r="N208" s="2" t="s">
        <v>156</v>
      </c>
      <c r="O208" s="5" t="b">
        <f aca="false">FALSE()</f>
        <v>0</v>
      </c>
    </row>
    <row r="209" customFormat="false" ht="15" hidden="false" customHeight="false" outlineLevel="0" collapsed="false">
      <c r="A209" s="2" t="s">
        <v>530</v>
      </c>
      <c r="B209" s="2" t="s">
        <v>531</v>
      </c>
      <c r="C209" s="2" t="n">
        <v>28</v>
      </c>
      <c r="D209" s="2" t="n">
        <v>0</v>
      </c>
      <c r="E209" s="2" t="n">
        <v>1</v>
      </c>
      <c r="F209" s="2" t="n">
        <v>132</v>
      </c>
      <c r="G209" s="2" t="s">
        <v>54</v>
      </c>
      <c r="H209" s="2"/>
      <c r="I209" s="2"/>
      <c r="J209" s="2" t="s">
        <v>61</v>
      </c>
      <c r="K209" s="2" t="n">
        <v>10</v>
      </c>
      <c r="L209" s="2" t="s">
        <v>127</v>
      </c>
      <c r="M209" s="2"/>
      <c r="N209" s="2" t="s">
        <v>156</v>
      </c>
      <c r="O209" s="5" t="b">
        <f aca="false">FALSE()</f>
        <v>0</v>
      </c>
    </row>
    <row r="210" customFormat="false" ht="15" hidden="false" customHeight="false" outlineLevel="0" collapsed="false">
      <c r="A210" s="2" t="s">
        <v>532</v>
      </c>
      <c r="B210" s="2" t="s">
        <v>533</v>
      </c>
      <c r="C210" s="2" t="n">
        <v>26</v>
      </c>
      <c r="D210" s="2" t="n">
        <v>0</v>
      </c>
      <c r="E210" s="2" t="n">
        <v>1</v>
      </c>
      <c r="F210" s="2" t="n">
        <v>116</v>
      </c>
      <c r="G210" s="2" t="s">
        <v>54</v>
      </c>
      <c r="H210" s="2"/>
      <c r="I210" s="2"/>
      <c r="J210" s="2" t="s">
        <v>61</v>
      </c>
      <c r="K210" s="2" t="n">
        <v>10</v>
      </c>
      <c r="L210" s="2" t="s">
        <v>127</v>
      </c>
      <c r="M210" s="2"/>
      <c r="N210" s="2" t="s">
        <v>156</v>
      </c>
      <c r="O210" s="5" t="b">
        <f aca="false">FALSE()</f>
        <v>0</v>
      </c>
    </row>
    <row r="211" customFormat="false" ht="15" hidden="false" customHeight="false" outlineLevel="0" collapsed="false">
      <c r="A211" s="2" t="s">
        <v>534</v>
      </c>
      <c r="B211" s="2" t="s">
        <v>535</v>
      </c>
      <c r="C211" s="2" t="n">
        <v>9</v>
      </c>
      <c r="D211" s="2" t="n">
        <v>74</v>
      </c>
      <c r="E211" s="2" t="n">
        <v>1</v>
      </c>
      <c r="F211" s="2" t="n">
        <v>348</v>
      </c>
      <c r="G211" s="2" t="s">
        <v>54</v>
      </c>
      <c r="H211" s="2"/>
      <c r="I211" s="2"/>
      <c r="J211" s="2" t="s">
        <v>61</v>
      </c>
      <c r="K211" s="2" t="n">
        <v>5</v>
      </c>
      <c r="L211" s="2" t="s">
        <v>83</v>
      </c>
      <c r="M211" s="2"/>
      <c r="N211" s="2" t="s">
        <v>156</v>
      </c>
      <c r="O211" s="5" t="b">
        <f aca="false">FALSE()</f>
        <v>0</v>
      </c>
    </row>
    <row r="212" customFormat="false" ht="15" hidden="false" customHeight="false" outlineLevel="0" collapsed="false">
      <c r="A212" s="2" t="s">
        <v>536</v>
      </c>
      <c r="B212" s="2" t="s">
        <v>537</v>
      </c>
      <c r="C212" s="2" t="n">
        <v>0.5</v>
      </c>
      <c r="D212" s="2" t="n">
        <v>0.3</v>
      </c>
      <c r="E212" s="2" t="n">
        <v>1.1</v>
      </c>
      <c r="F212" s="2" t="n">
        <v>13</v>
      </c>
      <c r="G212" s="2" t="s">
        <v>76</v>
      </c>
      <c r="H212" s="2"/>
      <c r="I212" s="2"/>
      <c r="J212" s="2" t="s">
        <v>61</v>
      </c>
      <c r="K212" s="2" t="n">
        <v>10</v>
      </c>
      <c r="L212" s="2" t="s">
        <v>79</v>
      </c>
      <c r="M212" s="2"/>
      <c r="N212" s="2" t="s">
        <v>156</v>
      </c>
      <c r="O212" s="5" t="b">
        <f aca="false">FALSE()</f>
        <v>0</v>
      </c>
    </row>
    <row r="213" customFormat="false" ht="15" hidden="false" customHeight="false" outlineLevel="0" collapsed="false">
      <c r="A213" s="2" t="s">
        <v>538</v>
      </c>
      <c r="B213" s="2" t="s">
        <v>539</v>
      </c>
      <c r="C213" s="2" t="n">
        <v>7</v>
      </c>
      <c r="D213" s="2" t="n">
        <v>6</v>
      </c>
      <c r="E213" s="2" t="n">
        <v>65</v>
      </c>
      <c r="F213" s="2" t="n">
        <v>660</v>
      </c>
      <c r="G213" s="2" t="s">
        <v>54</v>
      </c>
      <c r="H213" s="2"/>
      <c r="I213" s="2"/>
      <c r="J213" s="2" t="s">
        <v>61</v>
      </c>
      <c r="K213" s="2" t="n">
        <v>2</v>
      </c>
      <c r="L213" s="2"/>
      <c r="M213" s="2"/>
      <c r="N213" s="2" t="s">
        <v>156</v>
      </c>
      <c r="O213" s="5" t="b">
        <f aca="false">FALSE()</f>
        <v>0</v>
      </c>
    </row>
    <row r="214" customFormat="false" ht="15" hidden="false" customHeight="false" outlineLevel="0" collapsed="false">
      <c r="A214" s="2" t="s">
        <v>540</v>
      </c>
      <c r="B214" s="2" t="s">
        <v>541</v>
      </c>
      <c r="C214" s="2" t="n">
        <v>0</v>
      </c>
      <c r="D214" s="2" t="n">
        <v>0</v>
      </c>
      <c r="E214" s="2" t="n">
        <v>91.6</v>
      </c>
      <c r="F214" s="2" t="n">
        <v>824</v>
      </c>
      <c r="G214" s="2" t="s">
        <v>54</v>
      </c>
      <c r="H214" s="2"/>
      <c r="I214" s="2"/>
      <c r="J214" s="2" t="s">
        <v>61</v>
      </c>
      <c r="K214" s="2" t="n">
        <v>2</v>
      </c>
      <c r="L214" s="2"/>
      <c r="M214" s="2"/>
      <c r="N214" s="2" t="s">
        <v>156</v>
      </c>
      <c r="O214" s="5" t="b">
        <f aca="false">FALSE()</f>
        <v>0</v>
      </c>
    </row>
    <row r="215" customFormat="false" ht="15" hidden="false" customHeight="false" outlineLevel="0" collapsed="false">
      <c r="A215" s="2" t="s">
        <v>542</v>
      </c>
      <c r="B215" s="2" t="s">
        <v>543</v>
      </c>
      <c r="C215" s="2" t="n">
        <v>1.5</v>
      </c>
      <c r="D215" s="2" t="n">
        <v>3</v>
      </c>
      <c r="E215" s="2" t="n">
        <v>0.3</v>
      </c>
      <c r="F215" s="2" t="n">
        <v>25</v>
      </c>
      <c r="G215" s="2" t="s">
        <v>54</v>
      </c>
      <c r="H215" s="2"/>
      <c r="I215" s="2"/>
      <c r="J215" s="2" t="s">
        <v>61</v>
      </c>
      <c r="K215" s="2" t="n">
        <v>10</v>
      </c>
      <c r="L215" s="2"/>
      <c r="M215" s="2"/>
      <c r="N215" s="2" t="s">
        <v>156</v>
      </c>
      <c r="O215" s="5" t="b">
        <f aca="false">FALSE()</f>
        <v>0</v>
      </c>
    </row>
    <row r="216" customFormat="false" ht="15" hidden="false" customHeight="false" outlineLevel="0" collapsed="false">
      <c r="A216" s="2" t="s">
        <v>544</v>
      </c>
      <c r="B216" s="2" t="s">
        <v>545</v>
      </c>
      <c r="C216" s="2" t="n">
        <v>15</v>
      </c>
      <c r="D216" s="2" t="n">
        <v>14</v>
      </c>
      <c r="E216" s="2" t="n">
        <v>65</v>
      </c>
      <c r="F216" s="2" t="n">
        <v>654</v>
      </c>
      <c r="G216" s="2" t="s">
        <v>54</v>
      </c>
      <c r="H216" s="2"/>
      <c r="I216" s="2"/>
      <c r="J216" s="2" t="s">
        <v>61</v>
      </c>
      <c r="K216" s="2" t="n">
        <v>5</v>
      </c>
      <c r="L216" s="2" t="s">
        <v>79</v>
      </c>
      <c r="M216" s="2"/>
      <c r="N216" s="2" t="s">
        <v>156</v>
      </c>
      <c r="O216" s="5" t="b">
        <f aca="false">FALSE()</f>
        <v>0</v>
      </c>
    </row>
    <row r="217" customFormat="false" ht="15" hidden="false" customHeight="false" outlineLevel="0" collapsed="false">
      <c r="A217" s="2" t="s">
        <v>546</v>
      </c>
      <c r="B217" s="2" t="s">
        <v>547</v>
      </c>
      <c r="C217" s="2" t="n">
        <v>1.3</v>
      </c>
      <c r="D217" s="2" t="n">
        <v>5.8</v>
      </c>
      <c r="E217" s="2" t="n">
        <v>0.1</v>
      </c>
      <c r="F217" s="2" t="n">
        <v>25</v>
      </c>
      <c r="G217" s="2" t="s">
        <v>54</v>
      </c>
      <c r="H217" s="2"/>
      <c r="I217" s="2"/>
      <c r="J217" s="2" t="s">
        <v>61</v>
      </c>
      <c r="K217" s="2" t="n">
        <v>10</v>
      </c>
      <c r="L217" s="2"/>
      <c r="M217" s="2"/>
      <c r="N217" s="2" t="s">
        <v>156</v>
      </c>
      <c r="O217" s="5" t="b">
        <f aca="false">FALSE()</f>
        <v>0</v>
      </c>
    </row>
    <row r="218" customFormat="false" ht="15" hidden="false" customHeight="false" outlineLevel="0" collapsed="false">
      <c r="A218" s="2" t="s">
        <v>548</v>
      </c>
      <c r="B218" s="2" t="s">
        <v>549</v>
      </c>
      <c r="C218" s="2" t="n">
        <v>8.89</v>
      </c>
      <c r="D218" s="2" t="n">
        <v>47.22</v>
      </c>
      <c r="E218" s="2" t="n">
        <v>2.78</v>
      </c>
      <c r="F218" s="2" t="n">
        <v>250</v>
      </c>
      <c r="G218" s="2" t="s">
        <v>54</v>
      </c>
      <c r="H218" s="2" t="n">
        <v>36</v>
      </c>
      <c r="I218" s="2" t="s">
        <v>123</v>
      </c>
      <c r="J218" s="2" t="s">
        <v>56</v>
      </c>
      <c r="K218" s="2" t="n">
        <v>1</v>
      </c>
      <c r="L218" s="2" t="s">
        <v>83</v>
      </c>
      <c r="M218" s="2"/>
      <c r="N218" s="2" t="s">
        <v>156</v>
      </c>
      <c r="O218" s="5" t="b">
        <f aca="false">FALSE()</f>
        <v>0</v>
      </c>
    </row>
    <row r="219" customFormat="false" ht="15" hidden="false" customHeight="false" outlineLevel="0" collapsed="false">
      <c r="A219" s="2" t="s">
        <v>550</v>
      </c>
      <c r="B219" s="2" t="s">
        <v>551</v>
      </c>
      <c r="C219" s="2" t="n">
        <v>18</v>
      </c>
      <c r="D219" s="2" t="n">
        <v>0</v>
      </c>
      <c r="E219" s="2" t="n">
        <v>0.9</v>
      </c>
      <c r="F219" s="2" t="n">
        <v>87</v>
      </c>
      <c r="G219" s="2" t="s">
        <v>54</v>
      </c>
      <c r="H219" s="2"/>
      <c r="I219" s="2"/>
      <c r="J219" s="2" t="s">
        <v>61</v>
      </c>
      <c r="K219" s="2" t="n">
        <v>10</v>
      </c>
      <c r="L219" s="2" t="s">
        <v>242</v>
      </c>
      <c r="M219" s="2"/>
      <c r="N219" s="2" t="s">
        <v>156</v>
      </c>
      <c r="O219" s="5" t="b">
        <f aca="false">FALSE()</f>
        <v>0</v>
      </c>
    </row>
    <row r="220" customFormat="false" ht="15" hidden="false" customHeight="false" outlineLevel="0" collapsed="false">
      <c r="A220" s="2" t="s">
        <v>552</v>
      </c>
      <c r="B220" s="2" t="s">
        <v>553</v>
      </c>
      <c r="C220" s="2" t="n">
        <v>18</v>
      </c>
      <c r="D220" s="2" t="n">
        <v>0</v>
      </c>
      <c r="E220" s="2" t="n">
        <v>0.8</v>
      </c>
      <c r="F220" s="2" t="n">
        <v>82</v>
      </c>
      <c r="G220" s="2" t="s">
        <v>54</v>
      </c>
      <c r="H220" s="2"/>
      <c r="I220" s="2"/>
      <c r="J220" s="2" t="s">
        <v>61</v>
      </c>
      <c r="K220" s="2" t="n">
        <v>10</v>
      </c>
      <c r="L220" s="2" t="s">
        <v>127</v>
      </c>
      <c r="M220" s="2"/>
      <c r="N220" s="2" t="s">
        <v>156</v>
      </c>
      <c r="O220" s="5" t="b">
        <f aca="false">FALSE()</f>
        <v>0</v>
      </c>
    </row>
    <row r="221" customFormat="false" ht="15" hidden="false" customHeight="false" outlineLevel="0" collapsed="false">
      <c r="A221" s="2" t="s">
        <v>554</v>
      </c>
      <c r="B221" s="2" t="s">
        <v>555</v>
      </c>
      <c r="C221" s="2" t="n">
        <v>12</v>
      </c>
      <c r="D221" s="2" t="n">
        <v>26</v>
      </c>
      <c r="E221" s="2" t="n">
        <v>6</v>
      </c>
      <c r="F221" s="2" t="n">
        <v>199</v>
      </c>
      <c r="G221" s="2" t="s">
        <v>54</v>
      </c>
      <c r="H221" s="2"/>
      <c r="I221" s="2"/>
      <c r="J221" s="2" t="s">
        <v>61</v>
      </c>
      <c r="K221" s="2" t="n">
        <v>2</v>
      </c>
      <c r="L221" s="2" t="s">
        <v>282</v>
      </c>
      <c r="M221" s="2"/>
      <c r="N221" s="2" t="s">
        <v>156</v>
      </c>
      <c r="O221" s="5" t="b">
        <f aca="false">FALSE()</f>
        <v>0</v>
      </c>
    </row>
    <row r="222" customFormat="false" ht="15" hidden="false" customHeight="false" outlineLevel="0" collapsed="false">
      <c r="A222" s="2" t="s">
        <v>556</v>
      </c>
      <c r="B222" s="2" t="s">
        <v>557</v>
      </c>
      <c r="C222" s="2" t="n">
        <v>10</v>
      </c>
      <c r="D222" s="2" t="n">
        <v>40</v>
      </c>
      <c r="E222" s="2" t="n">
        <v>2.75</v>
      </c>
      <c r="F222" s="2" t="n">
        <v>235</v>
      </c>
      <c r="G222" s="2" t="s">
        <v>54</v>
      </c>
      <c r="H222" s="2" t="n">
        <v>40</v>
      </c>
      <c r="I222" s="2" t="s">
        <v>123</v>
      </c>
      <c r="J222" s="2" t="s">
        <v>56</v>
      </c>
      <c r="K222" s="2" t="n">
        <v>1</v>
      </c>
      <c r="L222" s="2" t="s">
        <v>83</v>
      </c>
      <c r="M222" s="2"/>
      <c r="N222" s="2" t="s">
        <v>156</v>
      </c>
      <c r="O222" s="5" t="b">
        <f aca="false">FALSE()</f>
        <v>0</v>
      </c>
    </row>
    <row r="223" customFormat="false" ht="15" hidden="false" customHeight="false" outlineLevel="0" collapsed="false">
      <c r="A223" s="2" t="s">
        <v>558</v>
      </c>
      <c r="B223" s="2" t="s">
        <v>559</v>
      </c>
      <c r="C223" s="2" t="n">
        <v>9.33</v>
      </c>
      <c r="D223" s="2" t="n">
        <v>45.33</v>
      </c>
      <c r="E223" s="2" t="n">
        <v>3.33</v>
      </c>
      <c r="F223" s="2" t="n">
        <v>253.3</v>
      </c>
      <c r="G223" s="2" t="s">
        <v>54</v>
      </c>
      <c r="H223" s="2" t="n">
        <v>75</v>
      </c>
      <c r="I223" s="2" t="s">
        <v>55</v>
      </c>
      <c r="J223" s="2" t="s">
        <v>56</v>
      </c>
      <c r="K223" s="2" t="n">
        <v>1</v>
      </c>
      <c r="L223" s="2" t="s">
        <v>83</v>
      </c>
      <c r="M223" s="2"/>
      <c r="N223" s="2" t="s">
        <v>156</v>
      </c>
      <c r="O223" s="5" t="b">
        <f aca="false">FALSE()</f>
        <v>0</v>
      </c>
    </row>
    <row r="224" customFormat="false" ht="15" hidden="false" customHeight="false" outlineLevel="0" collapsed="false">
      <c r="A224" s="2" t="s">
        <v>560</v>
      </c>
      <c r="B224" s="2" t="s">
        <v>561</v>
      </c>
      <c r="C224" s="2" t="n">
        <v>10</v>
      </c>
      <c r="D224" s="2" t="n">
        <v>60</v>
      </c>
      <c r="E224" s="2" t="n">
        <v>2.5</v>
      </c>
      <c r="F224" s="2" t="n">
        <v>300</v>
      </c>
      <c r="G224" s="2" t="s">
        <v>54</v>
      </c>
      <c r="H224" s="2" t="n">
        <v>4</v>
      </c>
      <c r="I224" s="2" t="s">
        <v>55</v>
      </c>
      <c r="J224" s="2" t="s">
        <v>56</v>
      </c>
      <c r="K224" s="2" t="n">
        <v>1</v>
      </c>
      <c r="L224" s="2" t="s">
        <v>203</v>
      </c>
      <c r="M224" s="2"/>
      <c r="N224" s="2" t="s">
        <v>156</v>
      </c>
      <c r="O224" s="5" t="b">
        <f aca="false">FALSE()</f>
        <v>0</v>
      </c>
    </row>
    <row r="225" customFormat="false" ht="15" hidden="false" customHeight="false" outlineLevel="0" collapsed="false">
      <c r="A225" s="2" t="s">
        <v>562</v>
      </c>
      <c r="B225" s="2" t="s">
        <v>563</v>
      </c>
      <c r="C225" s="2" t="n">
        <v>0</v>
      </c>
      <c r="D225" s="2" t="n">
        <v>19.5</v>
      </c>
      <c r="E225" s="2" t="n">
        <v>0</v>
      </c>
      <c r="F225" s="2" t="n">
        <v>78</v>
      </c>
      <c r="G225" s="2" t="s">
        <v>76</v>
      </c>
      <c r="H225" s="2"/>
      <c r="I225" s="2"/>
      <c r="J225" s="2" t="s">
        <v>61</v>
      </c>
      <c r="K225" s="2" t="n">
        <v>2</v>
      </c>
      <c r="L225" s="2" t="s">
        <v>127</v>
      </c>
      <c r="M225" s="2"/>
      <c r="N225" s="2" t="s">
        <v>156</v>
      </c>
      <c r="O225" s="5" t="b">
        <f aca="false">FALSE()</f>
        <v>0</v>
      </c>
    </row>
    <row r="226" customFormat="false" ht="15" hidden="false" customHeight="false" outlineLevel="0" collapsed="false">
      <c r="A226" s="2" t="s">
        <v>564</v>
      </c>
      <c r="B226" s="2" t="s">
        <v>565</v>
      </c>
      <c r="C226" s="2" t="n">
        <v>1.5</v>
      </c>
      <c r="D226" s="2" t="n">
        <v>28</v>
      </c>
      <c r="E226" s="2" t="n">
        <v>0.2</v>
      </c>
      <c r="F226" s="2" t="n">
        <v>118</v>
      </c>
      <c r="G226" s="2" t="s">
        <v>54</v>
      </c>
      <c r="H226" s="2"/>
      <c r="I226" s="2"/>
      <c r="J226" s="2" t="s">
        <v>61</v>
      </c>
      <c r="K226" s="2" t="n">
        <v>10</v>
      </c>
      <c r="L226" s="2"/>
      <c r="M226" s="2"/>
      <c r="N226" s="2" t="s">
        <v>156</v>
      </c>
      <c r="O226" s="5" t="b">
        <f aca="false">FALSE()</f>
        <v>0</v>
      </c>
    </row>
    <row r="227" customFormat="false" ht="15" hidden="false" customHeight="false" outlineLevel="0" collapsed="false">
      <c r="A227" s="2" t="s">
        <v>566</v>
      </c>
      <c r="B227" s="2" t="s">
        <v>567</v>
      </c>
      <c r="C227" s="2" t="n">
        <v>14.1</v>
      </c>
      <c r="D227" s="2" t="n">
        <v>64.2</v>
      </c>
      <c r="E227" s="2" t="n">
        <v>6.1</v>
      </c>
      <c r="F227" s="2" t="n">
        <v>368</v>
      </c>
      <c r="G227" s="2" t="s">
        <v>54</v>
      </c>
      <c r="H227" s="2"/>
      <c r="I227" s="2"/>
      <c r="J227" s="2" t="s">
        <v>61</v>
      </c>
      <c r="K227" s="2" t="n">
        <v>5</v>
      </c>
      <c r="L227" s="2"/>
      <c r="M227" s="2"/>
      <c r="N227" s="2" t="s">
        <v>568</v>
      </c>
      <c r="O227" s="5" t="b">
        <f aca="false">FALSE()</f>
        <v>0</v>
      </c>
    </row>
    <row r="228" customFormat="false" ht="15" hidden="false" customHeight="false" outlineLevel="0" collapsed="false">
      <c r="A228" s="2" t="s">
        <v>569</v>
      </c>
      <c r="B228" s="2" t="s">
        <v>570</v>
      </c>
      <c r="C228" s="2" t="n">
        <v>1</v>
      </c>
      <c r="D228" s="2" t="n">
        <v>11.7</v>
      </c>
      <c r="E228" s="2" t="n">
        <v>0.1</v>
      </c>
      <c r="F228" s="2" t="n">
        <v>45</v>
      </c>
      <c r="G228" s="2" t="s">
        <v>54</v>
      </c>
      <c r="H228" s="2"/>
      <c r="I228" s="2"/>
      <c r="J228" s="2" t="s">
        <v>61</v>
      </c>
      <c r="K228" s="2" t="n">
        <v>10</v>
      </c>
      <c r="L228" s="2"/>
      <c r="M228" s="2"/>
      <c r="N228" s="2" t="s">
        <v>568</v>
      </c>
      <c r="O228" s="5" t="b">
        <f aca="false">FALSE()</f>
        <v>0</v>
      </c>
    </row>
    <row r="229" customFormat="false" ht="15" hidden="false" customHeight="false" outlineLevel="0" collapsed="false">
      <c r="A229" s="2" t="s">
        <v>571</v>
      </c>
      <c r="B229" s="2" t="s">
        <v>572</v>
      </c>
      <c r="C229" s="2" t="n">
        <v>4</v>
      </c>
      <c r="D229" s="2" t="n">
        <v>62.6</v>
      </c>
      <c r="E229" s="2" t="n">
        <v>0.5</v>
      </c>
      <c r="F229" s="2" t="n">
        <v>241</v>
      </c>
      <c r="G229" s="2" t="s">
        <v>54</v>
      </c>
      <c r="H229" s="2"/>
      <c r="I229" s="2"/>
      <c r="J229" s="2" t="s">
        <v>61</v>
      </c>
      <c r="K229" s="2" t="n">
        <v>5</v>
      </c>
      <c r="L229" s="2"/>
      <c r="M229" s="2"/>
      <c r="N229" s="2" t="s">
        <v>568</v>
      </c>
      <c r="O229" s="5" t="b">
        <f aca="false">FALSE()</f>
        <v>0</v>
      </c>
    </row>
    <row r="230" customFormat="false" ht="15" hidden="false" customHeight="false" outlineLevel="0" collapsed="false">
      <c r="A230" s="2" t="s">
        <v>573</v>
      </c>
      <c r="B230" s="2" t="s">
        <v>574</v>
      </c>
      <c r="C230" s="2" t="n">
        <v>20</v>
      </c>
      <c r="D230" s="2" t="n">
        <v>13</v>
      </c>
      <c r="E230" s="2" t="n">
        <v>54</v>
      </c>
      <c r="F230" s="2" t="n">
        <v>607</v>
      </c>
      <c r="G230" s="2" t="s">
        <v>54</v>
      </c>
      <c r="H230" s="2"/>
      <c r="I230" s="2"/>
      <c r="J230" s="2" t="s">
        <v>61</v>
      </c>
      <c r="K230" s="2" t="n">
        <v>5</v>
      </c>
      <c r="L230" s="2" t="s">
        <v>79</v>
      </c>
      <c r="M230" s="2"/>
      <c r="N230" s="2" t="s">
        <v>568</v>
      </c>
      <c r="O230" s="5" t="b">
        <f aca="false">FALSE()</f>
        <v>0</v>
      </c>
    </row>
    <row r="231" customFormat="false" ht="15" hidden="false" customHeight="false" outlineLevel="0" collapsed="false">
      <c r="A231" s="2" t="s">
        <v>575</v>
      </c>
      <c r="B231" s="2" t="s">
        <v>576</v>
      </c>
      <c r="C231" s="2" t="n">
        <v>18</v>
      </c>
      <c r="D231" s="2" t="n">
        <v>0</v>
      </c>
      <c r="E231" s="2" t="n">
        <v>0.6</v>
      </c>
      <c r="F231" s="2" t="n">
        <v>81</v>
      </c>
      <c r="G231" s="2" t="s">
        <v>54</v>
      </c>
      <c r="H231" s="2"/>
      <c r="I231" s="2"/>
      <c r="J231" s="2" t="s">
        <v>61</v>
      </c>
      <c r="K231" s="2" t="n">
        <v>10</v>
      </c>
      <c r="L231" s="2" t="s">
        <v>127</v>
      </c>
      <c r="M231" s="2"/>
      <c r="N231" s="2" t="s">
        <v>568</v>
      </c>
      <c r="O231" s="5" t="b">
        <f aca="false">FALSE()</f>
        <v>0</v>
      </c>
    </row>
    <row r="232" customFormat="false" ht="15" hidden="false" customHeight="false" outlineLevel="0" collapsed="false">
      <c r="A232" s="2" t="s">
        <v>577</v>
      </c>
      <c r="B232" s="2" t="s">
        <v>578</v>
      </c>
      <c r="C232" s="2" t="n">
        <v>18.6</v>
      </c>
      <c r="D232" s="2" t="n">
        <v>0</v>
      </c>
      <c r="E232" s="2" t="n">
        <v>17.8</v>
      </c>
      <c r="F232" s="2" t="n">
        <v>262</v>
      </c>
      <c r="G232" s="2" t="s">
        <v>54</v>
      </c>
      <c r="H232" s="2"/>
      <c r="I232" s="2"/>
      <c r="J232" s="2" t="s">
        <v>61</v>
      </c>
      <c r="K232" s="2" t="n">
        <v>10</v>
      </c>
      <c r="L232" s="2" t="s">
        <v>127</v>
      </c>
      <c r="M232" s="2"/>
      <c r="N232" s="2" t="s">
        <v>579</v>
      </c>
      <c r="O232" s="5" t="b">
        <f aca="false">FALSE()</f>
        <v>0</v>
      </c>
    </row>
    <row r="233" customFormat="false" ht="15" hidden="false" customHeight="false" outlineLevel="0" collapsed="false">
      <c r="A233" s="2" t="s">
        <v>580</v>
      </c>
      <c r="B233" s="2" t="s">
        <v>581</v>
      </c>
      <c r="C233" s="2" t="n">
        <v>14</v>
      </c>
      <c r="D233" s="2" t="n">
        <v>77</v>
      </c>
      <c r="E233" s="2" t="n">
        <v>0.4</v>
      </c>
      <c r="F233" s="2" t="n">
        <v>349</v>
      </c>
      <c r="G233" s="2" t="s">
        <v>54</v>
      </c>
      <c r="H233" s="2"/>
      <c r="I233" s="2"/>
      <c r="J233" s="2" t="s">
        <v>61</v>
      </c>
      <c r="K233" s="2" t="n">
        <v>5</v>
      </c>
      <c r="L233" s="2"/>
      <c r="M233" s="2"/>
      <c r="N233" s="2" t="s">
        <v>568</v>
      </c>
      <c r="O233" s="5" t="b">
        <f aca="false">FALSE()</f>
        <v>0</v>
      </c>
    </row>
    <row r="234" customFormat="false" ht="15" hidden="false" customHeight="false" outlineLevel="0" collapsed="false">
      <c r="A234" s="2" t="s">
        <v>582</v>
      </c>
      <c r="B234" s="2" t="s">
        <v>583</v>
      </c>
      <c r="C234" s="2" t="n">
        <v>24.74</v>
      </c>
      <c r="D234" s="2" t="n">
        <v>52.63</v>
      </c>
      <c r="E234" s="2" t="n">
        <v>8.95</v>
      </c>
      <c r="F234" s="2" t="n">
        <v>415.8</v>
      </c>
      <c r="G234" s="2" t="s">
        <v>54</v>
      </c>
      <c r="H234" s="2" t="n">
        <v>19</v>
      </c>
      <c r="I234" s="2" t="s">
        <v>55</v>
      </c>
      <c r="J234" s="2" t="s">
        <v>56</v>
      </c>
      <c r="K234" s="2" t="n">
        <v>1</v>
      </c>
      <c r="L234" s="2"/>
      <c r="M234" s="2"/>
      <c r="N234" s="2" t="s">
        <v>584</v>
      </c>
      <c r="O234" s="5" t="b">
        <f aca="false">FALSE()</f>
        <v>0</v>
      </c>
    </row>
    <row r="235" customFormat="false" ht="15" hidden="false" customHeight="false" outlineLevel="0" collapsed="false">
      <c r="A235" s="2" t="s">
        <v>585</v>
      </c>
      <c r="B235" s="2" t="s">
        <v>586</v>
      </c>
      <c r="C235" s="2" t="n">
        <v>20</v>
      </c>
      <c r="D235" s="2" t="n">
        <v>28.57</v>
      </c>
      <c r="E235" s="2" t="n">
        <v>5.71</v>
      </c>
      <c r="F235" s="2" t="n">
        <v>242.9</v>
      </c>
      <c r="G235" s="2" t="s">
        <v>54</v>
      </c>
      <c r="H235" s="2" t="n">
        <v>35</v>
      </c>
      <c r="I235" s="2" t="s">
        <v>55</v>
      </c>
      <c r="J235" s="2" t="s">
        <v>56</v>
      </c>
      <c r="K235" s="2" t="n">
        <v>1</v>
      </c>
      <c r="L235" s="2" t="s">
        <v>259</v>
      </c>
      <c r="M235" s="2"/>
      <c r="N235" s="2" t="s">
        <v>587</v>
      </c>
      <c r="O235" s="5" t="b">
        <f aca="false">FALSE()</f>
        <v>0</v>
      </c>
    </row>
    <row r="236" customFormat="false" ht="15" hidden="false" customHeight="false" outlineLevel="0" collapsed="false">
      <c r="A236" s="2" t="s">
        <v>588</v>
      </c>
      <c r="B236" s="2" t="s">
        <v>589</v>
      </c>
      <c r="C236" s="2" t="n">
        <v>1.5</v>
      </c>
      <c r="D236" s="2" t="n">
        <v>4</v>
      </c>
      <c r="E236" s="2" t="n">
        <v>0.5</v>
      </c>
      <c r="F236" s="2" t="n">
        <v>23</v>
      </c>
      <c r="G236" s="2" t="s">
        <v>54</v>
      </c>
      <c r="H236" s="2"/>
      <c r="I236" s="2"/>
      <c r="J236" s="2" t="s">
        <v>61</v>
      </c>
      <c r="K236" s="2" t="n">
        <v>10</v>
      </c>
      <c r="L236" s="2"/>
      <c r="M236" s="2"/>
      <c r="N236" s="2" t="s">
        <v>568</v>
      </c>
      <c r="O236" s="5" t="b">
        <f aca="false">FALSE()</f>
        <v>0</v>
      </c>
    </row>
    <row r="237" customFormat="false" ht="15" hidden="false" customHeight="false" outlineLevel="0" collapsed="false">
      <c r="A237" s="2" t="s">
        <v>590</v>
      </c>
      <c r="B237" s="2" t="s">
        <v>591</v>
      </c>
      <c r="C237" s="2" t="n">
        <v>7.5</v>
      </c>
      <c r="D237" s="2" t="n">
        <v>76.2</v>
      </c>
      <c r="E237" s="2" t="n">
        <v>2.7</v>
      </c>
      <c r="F237" s="2" t="n">
        <v>362</v>
      </c>
      <c r="G237" s="2" t="s">
        <v>54</v>
      </c>
      <c r="H237" s="2"/>
      <c r="I237" s="2"/>
      <c r="J237" s="2" t="s">
        <v>61</v>
      </c>
      <c r="K237" s="2" t="n">
        <v>5</v>
      </c>
      <c r="L237" s="2"/>
      <c r="M237" s="2"/>
      <c r="N237" s="2" t="s">
        <v>568</v>
      </c>
      <c r="O237" s="5" t="b">
        <f aca="false">FALSE()</f>
        <v>0</v>
      </c>
    </row>
    <row r="238" customFormat="false" ht="15" hidden="false" customHeight="false" outlineLevel="0" collapsed="false">
      <c r="A238" s="2" t="s">
        <v>592</v>
      </c>
      <c r="B238" s="2" t="s">
        <v>593</v>
      </c>
      <c r="C238" s="2" t="n">
        <v>12</v>
      </c>
      <c r="D238" s="2" t="n">
        <v>3.5</v>
      </c>
      <c r="E238" s="2" t="n">
        <v>1.4</v>
      </c>
      <c r="F238" s="2" t="n">
        <v>78</v>
      </c>
      <c r="G238" s="2" t="s">
        <v>54</v>
      </c>
      <c r="H238" s="2"/>
      <c r="I238" s="2"/>
      <c r="J238" s="2" t="s">
        <v>61</v>
      </c>
      <c r="K238" s="2" t="n">
        <v>5</v>
      </c>
      <c r="L238" s="2" t="s">
        <v>69</v>
      </c>
      <c r="M238" s="2"/>
      <c r="N238" s="2" t="s">
        <v>568</v>
      </c>
      <c r="O238" s="5" t="b">
        <f aca="false">FALSE()</f>
        <v>0</v>
      </c>
    </row>
    <row r="239" customFormat="false" ht="15" hidden="false" customHeight="false" outlineLevel="0" collapsed="false">
      <c r="A239" s="2" t="s">
        <v>594</v>
      </c>
      <c r="B239" s="2" t="s">
        <v>595</v>
      </c>
      <c r="C239" s="2" t="n">
        <v>0.9</v>
      </c>
      <c r="D239" s="2" t="n">
        <v>4.5</v>
      </c>
      <c r="E239" s="2" t="n">
        <v>0.2</v>
      </c>
      <c r="F239" s="2" t="n">
        <v>21</v>
      </c>
      <c r="G239" s="2" t="s">
        <v>54</v>
      </c>
      <c r="H239" s="2"/>
      <c r="I239" s="2"/>
      <c r="J239" s="2" t="s">
        <v>61</v>
      </c>
      <c r="K239" s="2" t="n">
        <v>10</v>
      </c>
      <c r="L239" s="2"/>
      <c r="M239" s="2"/>
      <c r="N239" s="2" t="s">
        <v>568</v>
      </c>
      <c r="O239" s="5" t="b">
        <f aca="false">FALSE()</f>
        <v>0</v>
      </c>
    </row>
    <row r="240" customFormat="false" ht="15" hidden="false" customHeight="false" outlineLevel="0" collapsed="false">
      <c r="A240" s="2" t="s">
        <v>596</v>
      </c>
      <c r="B240" s="2" t="s">
        <v>597</v>
      </c>
      <c r="C240" s="2" t="n">
        <v>0.4</v>
      </c>
      <c r="D240" s="2" t="n">
        <v>13.9</v>
      </c>
      <c r="E240" s="2" t="n">
        <v>0.1</v>
      </c>
      <c r="F240" s="2" t="n">
        <v>57</v>
      </c>
      <c r="G240" s="2" t="s">
        <v>54</v>
      </c>
      <c r="H240" s="2"/>
      <c r="I240" s="2"/>
      <c r="J240" s="2" t="s">
        <v>61</v>
      </c>
      <c r="K240" s="2" t="n">
        <v>10</v>
      </c>
      <c r="L240" s="2"/>
      <c r="M240" s="2"/>
      <c r="N240" s="2" t="s">
        <v>568</v>
      </c>
      <c r="O240" s="5" t="b">
        <f aca="false">FALSE()</f>
        <v>0</v>
      </c>
    </row>
    <row r="241" customFormat="false" ht="15" hidden="false" customHeight="false" outlineLevel="0" collapsed="false">
      <c r="A241" s="2" t="s">
        <v>598</v>
      </c>
      <c r="B241" s="2" t="s">
        <v>599</v>
      </c>
      <c r="C241" s="2" t="n">
        <v>2.9</v>
      </c>
      <c r="D241" s="2" t="n">
        <v>4.4</v>
      </c>
      <c r="E241" s="2" t="n">
        <v>16</v>
      </c>
      <c r="F241" s="2" t="n">
        <v>185</v>
      </c>
      <c r="G241" s="2" t="s">
        <v>76</v>
      </c>
      <c r="H241" s="2"/>
      <c r="I241" s="2"/>
      <c r="J241" s="2" t="s">
        <v>61</v>
      </c>
      <c r="K241" s="2" t="n">
        <v>5</v>
      </c>
      <c r="L241" s="2" t="s">
        <v>69</v>
      </c>
      <c r="M241" s="2"/>
      <c r="N241" s="2" t="s">
        <v>568</v>
      </c>
      <c r="O241" s="5" t="b">
        <f aca="false">FALSE()</f>
        <v>0</v>
      </c>
    </row>
    <row r="242" customFormat="false" ht="15" hidden="false" customHeight="false" outlineLevel="0" collapsed="false">
      <c r="A242" s="2" t="s">
        <v>600</v>
      </c>
      <c r="B242" s="2" t="s">
        <v>601</v>
      </c>
      <c r="C242" s="2" t="n">
        <v>6.6</v>
      </c>
      <c r="D242" s="2" t="n">
        <v>79</v>
      </c>
      <c r="E242" s="2" t="n">
        <v>0.6</v>
      </c>
      <c r="F242" s="2" t="n">
        <v>360</v>
      </c>
      <c r="G242" s="2" t="s">
        <v>54</v>
      </c>
      <c r="H242" s="2"/>
      <c r="I242" s="2"/>
      <c r="J242" s="2" t="s">
        <v>61</v>
      </c>
      <c r="K242" s="2" t="n">
        <v>5</v>
      </c>
      <c r="L242" s="2"/>
      <c r="M242" s="2"/>
      <c r="N242" s="2" t="s">
        <v>568</v>
      </c>
      <c r="O242" s="5" t="b">
        <f aca="false">FALSE()</f>
        <v>0</v>
      </c>
    </row>
    <row r="243" customFormat="false" ht="15" hidden="false" customHeight="false" outlineLevel="0" collapsed="false">
      <c r="A243" s="2" t="s">
        <v>602</v>
      </c>
      <c r="B243" s="2" t="s">
        <v>603</v>
      </c>
      <c r="C243" s="2" t="n">
        <v>7.78</v>
      </c>
      <c r="D243" s="2" t="n">
        <v>85.56</v>
      </c>
      <c r="E243" s="2" t="n">
        <v>3.33</v>
      </c>
      <c r="F243" s="2" t="n">
        <v>388.9</v>
      </c>
      <c r="G243" s="2" t="s">
        <v>54</v>
      </c>
      <c r="H243" s="2" t="n">
        <v>9</v>
      </c>
      <c r="I243" s="2" t="s">
        <v>55</v>
      </c>
      <c r="J243" s="2" t="s">
        <v>56</v>
      </c>
      <c r="K243" s="2" t="n">
        <v>1</v>
      </c>
      <c r="L243" s="2"/>
      <c r="M243" s="2"/>
      <c r="N243" s="2" t="s">
        <v>568</v>
      </c>
      <c r="O243" s="5" t="b">
        <f aca="false">FALSE()</f>
        <v>0</v>
      </c>
    </row>
    <row r="244" customFormat="false" ht="15" hidden="false" customHeight="false" outlineLevel="0" collapsed="false">
      <c r="A244" s="2" t="s">
        <v>604</v>
      </c>
      <c r="B244" s="2" t="s">
        <v>605</v>
      </c>
      <c r="C244" s="2" t="n">
        <v>2</v>
      </c>
      <c r="D244" s="2" t="n">
        <v>6</v>
      </c>
      <c r="E244" s="2" t="n">
        <v>14</v>
      </c>
      <c r="F244" s="2" t="n">
        <v>150</v>
      </c>
      <c r="G244" s="2" t="s">
        <v>54</v>
      </c>
      <c r="H244" s="2"/>
      <c r="I244" s="2"/>
      <c r="J244" s="2" t="s">
        <v>61</v>
      </c>
      <c r="K244" s="2" t="n">
        <v>5</v>
      </c>
      <c r="L244" s="2"/>
      <c r="M244" s="2"/>
      <c r="N244" s="2" t="s">
        <v>568</v>
      </c>
      <c r="O244" s="5" t="b">
        <f aca="false">FALSE()</f>
        <v>0</v>
      </c>
    </row>
    <row r="245" customFormat="false" ht="15" hidden="false" customHeight="false" outlineLevel="0" collapsed="false">
      <c r="A245" s="2" t="s">
        <v>606</v>
      </c>
      <c r="B245" s="2" t="s">
        <v>607</v>
      </c>
      <c r="C245" s="2" t="n">
        <v>5.5</v>
      </c>
      <c r="D245" s="2" t="n">
        <v>15</v>
      </c>
      <c r="E245" s="2" t="n">
        <v>0.6</v>
      </c>
      <c r="F245" s="2" t="n">
        <v>89</v>
      </c>
      <c r="G245" s="2" t="s">
        <v>76</v>
      </c>
      <c r="H245" s="2"/>
      <c r="I245" s="2"/>
      <c r="J245" s="2" t="s">
        <v>61</v>
      </c>
      <c r="K245" s="2" t="n">
        <v>2</v>
      </c>
      <c r="L245" s="2" t="s">
        <v>333</v>
      </c>
      <c r="M245" s="2"/>
      <c r="N245" s="2" t="s">
        <v>568</v>
      </c>
      <c r="O245" s="5" t="b">
        <f aca="false">FALSE()</f>
        <v>0</v>
      </c>
    </row>
    <row r="246" customFormat="false" ht="15" hidden="false" customHeight="false" outlineLevel="0" collapsed="false">
      <c r="A246" s="2" t="s">
        <v>608</v>
      </c>
      <c r="B246" s="2" t="s">
        <v>609</v>
      </c>
      <c r="C246" s="2" t="n">
        <v>1.6</v>
      </c>
      <c r="D246" s="2" t="n">
        <v>10</v>
      </c>
      <c r="E246" s="2" t="n">
        <v>0.2</v>
      </c>
      <c r="F246" s="2" t="n">
        <v>43</v>
      </c>
      <c r="G246" s="2" t="s">
        <v>54</v>
      </c>
      <c r="H246" s="2"/>
      <c r="I246" s="2"/>
      <c r="J246" s="2" t="s">
        <v>61</v>
      </c>
      <c r="K246" s="2" t="n">
        <v>10</v>
      </c>
      <c r="L246" s="2"/>
      <c r="M246" s="2"/>
      <c r="N246" s="2" t="s">
        <v>568</v>
      </c>
      <c r="O246" s="5" t="b">
        <f aca="false">FALSE()</f>
        <v>0</v>
      </c>
    </row>
    <row r="247" customFormat="false" ht="15" hidden="false" customHeight="false" outlineLevel="0" collapsed="false">
      <c r="A247" s="2" t="s">
        <v>610</v>
      </c>
      <c r="B247" s="2" t="s">
        <v>611</v>
      </c>
      <c r="C247" s="2" t="n">
        <v>0.1</v>
      </c>
      <c r="D247" s="2" t="n">
        <v>11.3</v>
      </c>
      <c r="E247" s="2" t="n">
        <v>0.1</v>
      </c>
      <c r="F247" s="2" t="n">
        <v>46</v>
      </c>
      <c r="G247" s="2" t="s">
        <v>76</v>
      </c>
      <c r="H247" s="2"/>
      <c r="I247" s="2"/>
      <c r="J247" s="2" t="s">
        <v>61</v>
      </c>
      <c r="K247" s="2" t="n">
        <v>10</v>
      </c>
      <c r="L247" s="2"/>
      <c r="M247" s="2"/>
      <c r="N247" s="2" t="s">
        <v>568</v>
      </c>
      <c r="O247" s="5" t="b">
        <f aca="false">FALSE()</f>
        <v>0</v>
      </c>
    </row>
    <row r="248" customFormat="false" ht="15" hidden="false" customHeight="false" outlineLevel="0" collapsed="false">
      <c r="A248" s="2" t="s">
        <v>612</v>
      </c>
      <c r="B248" s="2" t="s">
        <v>613</v>
      </c>
      <c r="C248" s="2" t="n">
        <v>28</v>
      </c>
      <c r="D248" s="2" t="n">
        <v>0</v>
      </c>
      <c r="E248" s="2" t="n">
        <v>17</v>
      </c>
      <c r="F248" s="2" t="n">
        <v>271</v>
      </c>
      <c r="G248" s="2" t="s">
        <v>54</v>
      </c>
      <c r="H248" s="2"/>
      <c r="I248" s="2"/>
      <c r="J248" s="2" t="s">
        <v>61</v>
      </c>
      <c r="K248" s="2" t="n">
        <v>5</v>
      </c>
      <c r="L248" s="2"/>
      <c r="M248" s="2"/>
      <c r="N248" s="2" t="s">
        <v>614</v>
      </c>
      <c r="O248" s="5" t="b">
        <f aca="false">FALSE()</f>
        <v>0</v>
      </c>
    </row>
    <row r="249" customFormat="false" ht="15" hidden="false" customHeight="false" outlineLevel="0" collapsed="false">
      <c r="A249" s="2" t="s">
        <v>615</v>
      </c>
      <c r="B249" s="2" t="s">
        <v>616</v>
      </c>
      <c r="C249" s="2" t="n">
        <v>33</v>
      </c>
      <c r="D249" s="2" t="n">
        <v>1</v>
      </c>
      <c r="E249" s="2" t="n">
        <v>40</v>
      </c>
      <c r="F249" s="2" t="n">
        <v>500</v>
      </c>
      <c r="G249" s="2" t="s">
        <v>54</v>
      </c>
      <c r="H249" s="2"/>
      <c r="I249" s="2"/>
      <c r="J249" s="2" t="s">
        <v>61</v>
      </c>
      <c r="K249" s="2" t="n">
        <v>5</v>
      </c>
      <c r="L249" s="2"/>
      <c r="M249" s="2"/>
      <c r="N249" s="2" t="s">
        <v>614</v>
      </c>
      <c r="O249" s="5" t="b">
        <f aca="false">FALSE()</f>
        <v>0</v>
      </c>
    </row>
    <row r="250" customFormat="false" ht="15" hidden="false" customHeight="false" outlineLevel="0" collapsed="false">
      <c r="A250" s="2" t="s">
        <v>617</v>
      </c>
      <c r="B250" s="2" t="s">
        <v>618</v>
      </c>
      <c r="C250" s="2" t="n">
        <v>21</v>
      </c>
      <c r="D250" s="2" t="n">
        <v>1.5</v>
      </c>
      <c r="E250" s="2" t="n">
        <v>5</v>
      </c>
      <c r="F250" s="2" t="n">
        <v>145</v>
      </c>
      <c r="G250" s="2" t="s">
        <v>54</v>
      </c>
      <c r="H250" s="2"/>
      <c r="I250" s="2"/>
      <c r="J250" s="2" t="s">
        <v>61</v>
      </c>
      <c r="K250" s="2" t="n">
        <v>5</v>
      </c>
      <c r="L250" s="2"/>
      <c r="M250" s="2"/>
      <c r="N250" s="2" t="s">
        <v>614</v>
      </c>
      <c r="O250" s="5" t="b">
        <f aca="false">FALSE()</f>
        <v>0</v>
      </c>
    </row>
    <row r="251" customFormat="false" ht="15" hidden="false" customHeight="false" outlineLevel="0" collapsed="false">
      <c r="A251" s="2" t="s">
        <v>619</v>
      </c>
      <c r="B251" s="2" t="s">
        <v>620</v>
      </c>
      <c r="C251" s="2" t="n">
        <v>0</v>
      </c>
      <c r="D251" s="2" t="n">
        <v>5</v>
      </c>
      <c r="E251" s="2" t="n">
        <v>0</v>
      </c>
      <c r="F251" s="2" t="n">
        <v>20</v>
      </c>
      <c r="G251" s="2" t="s">
        <v>54</v>
      </c>
      <c r="H251" s="2"/>
      <c r="I251" s="2"/>
      <c r="J251" s="2" t="s">
        <v>61</v>
      </c>
      <c r="K251" s="2" t="n">
        <v>5</v>
      </c>
      <c r="L251" s="2"/>
      <c r="M251" s="2"/>
      <c r="N251" s="2" t="s">
        <v>614</v>
      </c>
      <c r="O251" s="5" t="b">
        <f aca="false">FALSE()</f>
        <v>0</v>
      </c>
    </row>
    <row r="252" customFormat="false" ht="15" hidden="false" customHeight="false" outlineLevel="0" collapsed="false">
      <c r="A252" s="2" t="s">
        <v>621</v>
      </c>
      <c r="B252" s="2" t="s">
        <v>622</v>
      </c>
      <c r="C252" s="2" t="n">
        <v>0.2</v>
      </c>
      <c r="D252" s="2" t="n">
        <v>10</v>
      </c>
      <c r="E252" s="2" t="n">
        <v>0.1</v>
      </c>
      <c r="F252" s="2" t="n">
        <v>40</v>
      </c>
      <c r="G252" s="2" t="s">
        <v>54</v>
      </c>
      <c r="H252" s="2"/>
      <c r="I252" s="2"/>
      <c r="J252" s="2" t="s">
        <v>61</v>
      </c>
      <c r="K252" s="2" t="n">
        <v>10</v>
      </c>
      <c r="L252" s="2"/>
      <c r="M252" s="2"/>
      <c r="N252" s="2" t="s">
        <v>614</v>
      </c>
      <c r="O252" s="5" t="b">
        <f aca="false">FALSE()</f>
        <v>0</v>
      </c>
    </row>
    <row r="253" customFormat="false" ht="15" hidden="false" customHeight="false" outlineLevel="0" collapsed="false">
      <c r="A253" s="2" t="s">
        <v>623</v>
      </c>
      <c r="B253" s="2" t="s">
        <v>624</v>
      </c>
      <c r="C253" s="2" t="n">
        <v>24</v>
      </c>
      <c r="D253" s="2" t="n">
        <v>0</v>
      </c>
      <c r="E253" s="2" t="n">
        <v>1</v>
      </c>
      <c r="F253" s="2" t="n">
        <v>104</v>
      </c>
      <c r="G253" s="2" t="s">
        <v>54</v>
      </c>
      <c r="H253" s="2"/>
      <c r="I253" s="2"/>
      <c r="J253" s="2" t="s">
        <v>61</v>
      </c>
      <c r="K253" s="2" t="n">
        <v>10</v>
      </c>
      <c r="L253" s="2"/>
      <c r="M253" s="2"/>
      <c r="N253" s="2" t="s">
        <v>614</v>
      </c>
      <c r="O253" s="5" t="b">
        <f aca="false">FALSE()</f>
        <v>0</v>
      </c>
    </row>
    <row r="254" customFormat="false" ht="15" hidden="false" customHeight="false" outlineLevel="0" collapsed="false">
      <c r="A254" s="2" t="s">
        <v>625</v>
      </c>
      <c r="B254" s="2" t="s">
        <v>626</v>
      </c>
      <c r="C254" s="2" t="n">
        <v>0.3</v>
      </c>
      <c r="D254" s="2" t="n">
        <v>16</v>
      </c>
      <c r="E254" s="2" t="n">
        <v>0</v>
      </c>
      <c r="F254" s="2" t="n">
        <v>65</v>
      </c>
      <c r="G254" s="2" t="s">
        <v>76</v>
      </c>
      <c r="H254" s="2" t="n">
        <v>100</v>
      </c>
      <c r="I254" s="2" t="s">
        <v>55</v>
      </c>
      <c r="J254" s="2" t="s">
        <v>56</v>
      </c>
      <c r="K254" s="2" t="n">
        <v>1</v>
      </c>
      <c r="L254" s="2"/>
      <c r="M254" s="2"/>
      <c r="N254" s="2" t="s">
        <v>627</v>
      </c>
      <c r="O254" s="5" t="b">
        <f aca="false">FALSE()</f>
        <v>0</v>
      </c>
    </row>
    <row r="255" customFormat="false" ht="15" hidden="false" customHeight="false" outlineLevel="0" collapsed="false">
      <c r="A255" s="2" t="s">
        <v>628</v>
      </c>
      <c r="B255" s="2" t="s">
        <v>629</v>
      </c>
      <c r="C255" s="2" t="n">
        <v>6.5</v>
      </c>
      <c r="D255" s="2" t="n">
        <v>8.5</v>
      </c>
      <c r="E255" s="2" t="n">
        <v>0.6</v>
      </c>
      <c r="F255" s="2" t="n">
        <v>72</v>
      </c>
      <c r="G255" s="2" t="s">
        <v>54</v>
      </c>
      <c r="H255" s="2"/>
      <c r="I255" s="2"/>
      <c r="J255" s="2" t="s">
        <v>61</v>
      </c>
      <c r="K255" s="2" t="n">
        <v>10</v>
      </c>
      <c r="L255" s="2"/>
      <c r="M255" s="2"/>
      <c r="N255" s="2" t="s">
        <v>614</v>
      </c>
      <c r="O255" s="5" t="b">
        <f aca="false">FALSE()</f>
        <v>0</v>
      </c>
    </row>
    <row r="256" customFormat="false" ht="15" hidden="false" customHeight="false" outlineLevel="0" collapsed="false">
      <c r="A256" s="2" t="s">
        <v>630</v>
      </c>
      <c r="B256" s="2" t="s">
        <v>631</v>
      </c>
      <c r="C256" s="2" t="n">
        <v>12.5</v>
      </c>
      <c r="D256" s="2" t="n">
        <v>37.5</v>
      </c>
      <c r="E256" s="2" t="n">
        <v>7.5</v>
      </c>
      <c r="F256" s="2" t="n">
        <v>250</v>
      </c>
      <c r="G256" s="2" t="s">
        <v>54</v>
      </c>
      <c r="H256" s="2" t="n">
        <v>40</v>
      </c>
      <c r="I256" s="2" t="s">
        <v>123</v>
      </c>
      <c r="J256" s="2" t="s">
        <v>56</v>
      </c>
      <c r="K256" s="2" t="n">
        <v>1</v>
      </c>
      <c r="L256" s="2" t="s">
        <v>632</v>
      </c>
      <c r="M256" s="2"/>
      <c r="N256" s="2" t="s">
        <v>614</v>
      </c>
      <c r="O256" s="5" t="b">
        <f aca="false">FALSE()</f>
        <v>0</v>
      </c>
    </row>
    <row r="257" customFormat="false" ht="15" hidden="false" customHeight="false" outlineLevel="0" collapsed="false">
      <c r="A257" s="2" t="s">
        <v>633</v>
      </c>
      <c r="B257" s="2" t="s">
        <v>634</v>
      </c>
      <c r="C257" s="2" t="n">
        <v>2.5</v>
      </c>
      <c r="D257" s="2" t="n">
        <v>8</v>
      </c>
      <c r="E257" s="2" t="n">
        <v>18</v>
      </c>
      <c r="F257" s="2" t="n">
        <v>200</v>
      </c>
      <c r="G257" s="2" t="s">
        <v>54</v>
      </c>
      <c r="H257" s="2"/>
      <c r="I257" s="2"/>
      <c r="J257" s="2" t="s">
        <v>61</v>
      </c>
      <c r="K257" s="2" t="n">
        <v>5</v>
      </c>
      <c r="L257" s="2"/>
      <c r="M257" s="2"/>
      <c r="N257" s="2" t="s">
        <v>635</v>
      </c>
      <c r="O257" s="5" t="b">
        <f aca="false">FALSE()</f>
        <v>0</v>
      </c>
    </row>
    <row r="258" customFormat="false" ht="15" hidden="false" customHeight="false" outlineLevel="0" collapsed="false">
      <c r="A258" s="2" t="s">
        <v>636</v>
      </c>
      <c r="B258" s="2" t="s">
        <v>637</v>
      </c>
      <c r="C258" s="2" t="n">
        <v>0.7</v>
      </c>
      <c r="D258" s="2" t="n">
        <v>10.4</v>
      </c>
      <c r="E258" s="2" t="n">
        <v>0.1</v>
      </c>
      <c r="F258" s="2" t="n">
        <v>45</v>
      </c>
      <c r="G258" s="2" t="s">
        <v>76</v>
      </c>
      <c r="H258" s="2"/>
      <c r="I258" s="2"/>
      <c r="J258" s="2" t="s">
        <v>61</v>
      </c>
      <c r="K258" s="2" t="n">
        <v>10</v>
      </c>
      <c r="L258" s="2"/>
      <c r="M258" s="2"/>
      <c r="N258" s="2" t="s">
        <v>614</v>
      </c>
      <c r="O258" s="5" t="b">
        <f aca="false">FALSE()</f>
        <v>0</v>
      </c>
    </row>
    <row r="259" customFormat="false" ht="15" hidden="false" customHeight="false" outlineLevel="0" collapsed="false">
      <c r="A259" s="2" t="s">
        <v>638</v>
      </c>
      <c r="B259" s="2" t="s">
        <v>639</v>
      </c>
      <c r="C259" s="2" t="n">
        <v>3.2</v>
      </c>
      <c r="D259" s="2" t="n">
        <v>4.6</v>
      </c>
      <c r="E259" s="2" t="n">
        <v>3.6</v>
      </c>
      <c r="F259" s="2" t="n">
        <v>65</v>
      </c>
      <c r="G259" s="2" t="s">
        <v>76</v>
      </c>
      <c r="H259" s="2"/>
      <c r="I259" s="2"/>
      <c r="J259" s="2" t="s">
        <v>61</v>
      </c>
      <c r="K259" s="2" t="n">
        <v>10</v>
      </c>
      <c r="L259" s="2" t="s">
        <v>69</v>
      </c>
      <c r="M259" s="2"/>
      <c r="N259" s="2" t="s">
        <v>614</v>
      </c>
      <c r="O259" s="5"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3"/>
    <col collapsed="false" customWidth="true" hidden="false" outlineLevel="0" max="4" min="4" style="0" width="11"/>
    <col collapsed="false" customWidth="true" hidden="false" outlineLevel="0" max="6" min="5" style="0" width="46"/>
    <col collapsed="false" customWidth="true" hidden="false" outlineLevel="0" max="7" min="7" style="0" width="16"/>
    <col collapsed="false" customWidth="true" hidden="false" outlineLevel="0" max="8" min="8" style="0" width="46"/>
  </cols>
  <sheetData>
    <row r="1" customFormat="false" ht="15" hidden="false" customHeight="false" outlineLevel="0" collapsed="false">
      <c r="A1" s="4" t="s">
        <v>37</v>
      </c>
      <c r="B1" s="4" t="s">
        <v>38</v>
      </c>
      <c r="C1" s="4" t="s">
        <v>640</v>
      </c>
      <c r="D1" s="4" t="s">
        <v>641</v>
      </c>
      <c r="E1" s="4" t="s">
        <v>642</v>
      </c>
      <c r="F1" s="4" t="s">
        <v>643</v>
      </c>
      <c r="G1" s="4" t="s">
        <v>644</v>
      </c>
      <c r="H1" s="4" t="s">
        <v>645</v>
      </c>
    </row>
    <row r="2" customFormat="false" ht="15" hidden="false" customHeight="false" outlineLevel="0" collapsed="false">
      <c r="A2" s="2" t="s">
        <v>646</v>
      </c>
      <c r="B2" s="2" t="s">
        <v>647</v>
      </c>
      <c r="C2" s="2" t="s">
        <v>648</v>
      </c>
      <c r="D2" s="2" t="n">
        <v>1</v>
      </c>
      <c r="E2" s="2" t="s">
        <v>649</v>
      </c>
      <c r="F2" s="2"/>
      <c r="G2" s="2" t="n">
        <v>300</v>
      </c>
      <c r="H2" s="2"/>
    </row>
    <row r="3" customFormat="false" ht="15" hidden="false" customHeight="false" outlineLevel="0" collapsed="false">
      <c r="A3" s="2" t="s">
        <v>650</v>
      </c>
      <c r="B3" s="2" t="s">
        <v>651</v>
      </c>
      <c r="C3" s="2" t="s">
        <v>648</v>
      </c>
      <c r="D3" s="2" t="n">
        <v>1</v>
      </c>
      <c r="E3" s="2" t="s">
        <v>649</v>
      </c>
      <c r="F3" s="2"/>
      <c r="G3" s="2" t="n">
        <v>354</v>
      </c>
      <c r="H3" s="2"/>
    </row>
    <row r="4" customFormat="false" ht="15" hidden="false" customHeight="false" outlineLevel="0" collapsed="false">
      <c r="A4" s="2" t="s">
        <v>652</v>
      </c>
      <c r="B4" s="2" t="s">
        <v>653</v>
      </c>
      <c r="C4" s="2" t="s">
        <v>648</v>
      </c>
      <c r="D4" s="2" t="n">
        <v>1</v>
      </c>
      <c r="E4" s="2" t="s">
        <v>649</v>
      </c>
      <c r="F4" s="2"/>
      <c r="G4" s="2" t="n">
        <v>302</v>
      </c>
      <c r="H4" s="2"/>
    </row>
    <row r="5" customFormat="false" ht="15" hidden="false" customHeight="false" outlineLevel="0" collapsed="false">
      <c r="A5" s="2" t="s">
        <v>654</v>
      </c>
      <c r="B5" s="2" t="s">
        <v>655</v>
      </c>
      <c r="C5" s="2" t="s">
        <v>648</v>
      </c>
      <c r="D5" s="2" t="n">
        <v>1</v>
      </c>
      <c r="E5" s="6" t="s">
        <v>656</v>
      </c>
      <c r="F5" s="2"/>
      <c r="G5" s="2" t="n">
        <v>497</v>
      </c>
      <c r="H5" s="2"/>
    </row>
    <row r="6" customFormat="false" ht="15" hidden="false" customHeight="false" outlineLevel="0" collapsed="false">
      <c r="A6" s="2" t="s">
        <v>657</v>
      </c>
      <c r="B6" s="2" t="s">
        <v>658</v>
      </c>
      <c r="C6" s="2" t="s">
        <v>648</v>
      </c>
      <c r="D6" s="2" t="n">
        <v>1</v>
      </c>
      <c r="E6" s="6" t="s">
        <v>656</v>
      </c>
      <c r="F6" s="2"/>
      <c r="G6" s="2" t="n">
        <v>500</v>
      </c>
      <c r="H6" s="2"/>
    </row>
    <row r="7" customFormat="false" ht="15" hidden="false" customHeight="false" outlineLevel="0" collapsed="false">
      <c r="A7" s="2" t="s">
        <v>659</v>
      </c>
      <c r="B7" s="2" t="s">
        <v>660</v>
      </c>
      <c r="C7" s="2" t="s">
        <v>648</v>
      </c>
      <c r="D7" s="2" t="n">
        <v>1</v>
      </c>
      <c r="E7" s="6" t="s">
        <v>656</v>
      </c>
      <c r="F7" s="2"/>
      <c r="G7" s="2" t="n">
        <v>595</v>
      </c>
      <c r="H7" s="2"/>
    </row>
    <row r="8" customFormat="false" ht="15" hidden="false" customHeight="false" outlineLevel="0" collapsed="false">
      <c r="A8" s="2" t="s">
        <v>661</v>
      </c>
      <c r="B8" s="2" t="s">
        <v>662</v>
      </c>
      <c r="C8" s="2" t="s">
        <v>663</v>
      </c>
      <c r="D8" s="2" t="n">
        <v>1</v>
      </c>
      <c r="E8" s="6" t="s">
        <v>664</v>
      </c>
      <c r="F8" s="2"/>
      <c r="G8" s="2" t="n">
        <v>233</v>
      </c>
      <c r="H8" s="2"/>
    </row>
    <row r="9" customFormat="false" ht="15" hidden="false" customHeight="false" outlineLevel="0" collapsed="false">
      <c r="A9" s="2" t="s">
        <v>665</v>
      </c>
      <c r="B9" s="2" t="s">
        <v>666</v>
      </c>
      <c r="C9" s="2" t="s">
        <v>663</v>
      </c>
      <c r="D9" s="2" t="n">
        <v>1</v>
      </c>
      <c r="E9" s="6" t="s">
        <v>667</v>
      </c>
      <c r="F9" s="2"/>
      <c r="G9" s="2" t="n">
        <v>567</v>
      </c>
      <c r="H9" s="2"/>
    </row>
    <row r="10" customFormat="false" ht="15" hidden="false" customHeight="false" outlineLevel="0" collapsed="false">
      <c r="A10" s="2" t="s">
        <v>668</v>
      </c>
      <c r="B10" s="2" t="s">
        <v>669</v>
      </c>
      <c r="C10" s="2" t="s">
        <v>663</v>
      </c>
      <c r="D10" s="2" t="n">
        <v>1</v>
      </c>
      <c r="E10" s="6" t="s">
        <v>670</v>
      </c>
      <c r="F10" s="2"/>
      <c r="G10" s="2" t="n">
        <v>567</v>
      </c>
      <c r="H10" s="2"/>
    </row>
    <row r="11" customFormat="false" ht="15" hidden="false" customHeight="false" outlineLevel="0" collapsed="false">
      <c r="A11" s="2" t="s">
        <v>671</v>
      </c>
      <c r="B11" s="2" t="s">
        <v>672</v>
      </c>
      <c r="C11" s="2" t="s">
        <v>663</v>
      </c>
      <c r="D11" s="2" t="n">
        <v>20</v>
      </c>
      <c r="E11" s="6" t="s">
        <v>673</v>
      </c>
      <c r="F11" s="2" t="s">
        <v>674</v>
      </c>
      <c r="G11" s="2" t="n">
        <v>105</v>
      </c>
      <c r="H11" s="2"/>
    </row>
    <row r="12" customFormat="false" ht="15" hidden="false" customHeight="false" outlineLevel="0" collapsed="false">
      <c r="A12" s="2" t="s">
        <v>675</v>
      </c>
      <c r="B12" s="2" t="s">
        <v>676</v>
      </c>
      <c r="C12" s="2" t="s">
        <v>663</v>
      </c>
      <c r="D12" s="2" t="n">
        <v>10</v>
      </c>
      <c r="E12" s="6" t="s">
        <v>677</v>
      </c>
      <c r="F12" s="2" t="s">
        <v>678</v>
      </c>
      <c r="G12" s="2" t="n">
        <v>165</v>
      </c>
      <c r="H12" s="2"/>
    </row>
    <row r="13" customFormat="false" ht="15" hidden="false" customHeight="false" outlineLevel="0" collapsed="false">
      <c r="A13" s="2" t="s">
        <v>679</v>
      </c>
      <c r="B13" s="2" t="s">
        <v>680</v>
      </c>
      <c r="C13" s="2" t="s">
        <v>663</v>
      </c>
      <c r="D13" s="2" t="n">
        <v>1</v>
      </c>
      <c r="E13" s="6" t="s">
        <v>681</v>
      </c>
      <c r="F13" s="2"/>
      <c r="G13" s="2" t="n">
        <v>366</v>
      </c>
      <c r="H13" s="2"/>
    </row>
    <row r="14" customFormat="false" ht="15" hidden="false" customHeight="false" outlineLevel="0" collapsed="false">
      <c r="A14" s="2" t="s">
        <v>682</v>
      </c>
      <c r="B14" s="2" t="s">
        <v>683</v>
      </c>
      <c r="C14" s="2" t="s">
        <v>663</v>
      </c>
      <c r="D14" s="2" t="n">
        <v>16</v>
      </c>
      <c r="E14" s="6" t="s">
        <v>684</v>
      </c>
      <c r="F14" s="2" t="s">
        <v>685</v>
      </c>
      <c r="G14" s="2" t="n">
        <v>232</v>
      </c>
      <c r="H14" s="2"/>
    </row>
    <row r="15" customFormat="false" ht="15" hidden="false" customHeight="false" outlineLevel="0" collapsed="false">
      <c r="A15" s="2" t="s">
        <v>686</v>
      </c>
      <c r="B15" s="2" t="s">
        <v>687</v>
      </c>
      <c r="C15" s="2" t="s">
        <v>663</v>
      </c>
      <c r="D15" s="2" t="n">
        <v>1</v>
      </c>
      <c r="E15" s="6" t="s">
        <v>688</v>
      </c>
      <c r="F15" s="2"/>
      <c r="G15" s="2" t="n">
        <v>366</v>
      </c>
      <c r="H15" s="2"/>
    </row>
    <row r="16" customFormat="false" ht="15" hidden="false" customHeight="false" outlineLevel="0" collapsed="false">
      <c r="A16" s="2" t="s">
        <v>689</v>
      </c>
      <c r="B16" s="2" t="s">
        <v>690</v>
      </c>
      <c r="C16" s="2" t="s">
        <v>663</v>
      </c>
      <c r="D16" s="2" t="n">
        <v>1</v>
      </c>
      <c r="E16" s="6" t="s">
        <v>691</v>
      </c>
      <c r="F16" s="2"/>
      <c r="G16" s="2" t="n">
        <v>393</v>
      </c>
      <c r="H16" s="2"/>
    </row>
    <row r="17" customFormat="false" ht="15" hidden="false" customHeight="false" outlineLevel="0" collapsed="false">
      <c r="A17" s="2" t="s">
        <v>692</v>
      </c>
      <c r="B17" s="2" t="s">
        <v>693</v>
      </c>
      <c r="C17" s="2" t="s">
        <v>663</v>
      </c>
      <c r="D17" s="2" t="n">
        <v>1</v>
      </c>
      <c r="E17" s="6" t="s">
        <v>694</v>
      </c>
      <c r="F17" s="2"/>
      <c r="G17" s="2" t="n">
        <v>497</v>
      </c>
      <c r="H17" s="2"/>
    </row>
    <row r="18" customFormat="false" ht="15" hidden="false" customHeight="false" outlineLevel="0" collapsed="false">
      <c r="A18" s="2" t="s">
        <v>695</v>
      </c>
      <c r="B18" s="2" t="s">
        <v>696</v>
      </c>
      <c r="C18" s="2" t="s">
        <v>663</v>
      </c>
      <c r="D18" s="2" t="n">
        <v>1</v>
      </c>
      <c r="E18" s="6" t="s">
        <v>697</v>
      </c>
      <c r="F18" s="2"/>
      <c r="G18" s="2" t="n">
        <v>422</v>
      </c>
      <c r="H18" s="2"/>
    </row>
    <row r="19" customFormat="false" ht="15" hidden="false" customHeight="false" outlineLevel="0" collapsed="false">
      <c r="A19" s="2" t="s">
        <v>698</v>
      </c>
      <c r="B19" s="2" t="s">
        <v>699</v>
      </c>
      <c r="C19" s="2" t="s">
        <v>663</v>
      </c>
      <c r="D19" s="2" t="n">
        <v>5</v>
      </c>
      <c r="E19" s="6" t="s">
        <v>700</v>
      </c>
      <c r="F19" s="2" t="s">
        <v>701</v>
      </c>
      <c r="G19" s="2" t="n">
        <v>369</v>
      </c>
      <c r="H19" s="2"/>
    </row>
    <row r="20" customFormat="false" ht="15" hidden="false" customHeight="false" outlineLevel="0" collapsed="false">
      <c r="A20" s="2" t="s">
        <v>702</v>
      </c>
      <c r="B20" s="2" t="s">
        <v>703</v>
      </c>
      <c r="C20" s="2" t="s">
        <v>663</v>
      </c>
      <c r="D20" s="2" t="n">
        <v>4</v>
      </c>
      <c r="E20" s="6" t="s">
        <v>704</v>
      </c>
      <c r="F20" s="2" t="s">
        <v>705</v>
      </c>
      <c r="G20" s="2" t="n">
        <v>350</v>
      </c>
      <c r="H20" s="2"/>
    </row>
    <row r="21" customFormat="false" ht="15" hidden="false" customHeight="false" outlineLevel="0" collapsed="false">
      <c r="A21" s="2" t="s">
        <v>706</v>
      </c>
      <c r="B21" s="2" t="s">
        <v>707</v>
      </c>
      <c r="C21" s="2" t="s">
        <v>663</v>
      </c>
      <c r="D21" s="2" t="n">
        <v>1</v>
      </c>
      <c r="E21" s="6" t="s">
        <v>708</v>
      </c>
      <c r="F21" s="2"/>
      <c r="G21" s="2" t="n">
        <v>580</v>
      </c>
      <c r="H21" s="2"/>
    </row>
    <row r="22" customFormat="false" ht="15" hidden="false" customHeight="false" outlineLevel="0" collapsed="false">
      <c r="A22" s="2" t="s">
        <v>709</v>
      </c>
      <c r="B22" s="2" t="s">
        <v>710</v>
      </c>
      <c r="C22" s="2" t="s">
        <v>663</v>
      </c>
      <c r="D22" s="2" t="n">
        <v>1</v>
      </c>
      <c r="E22" s="6" t="s">
        <v>711</v>
      </c>
      <c r="F22" s="2"/>
      <c r="G22" s="2" t="n">
        <v>467</v>
      </c>
      <c r="H22" s="2"/>
    </row>
    <row r="23" customFormat="false" ht="15" hidden="false" customHeight="false" outlineLevel="0" collapsed="false">
      <c r="A23" s="2" t="s">
        <v>712</v>
      </c>
      <c r="B23" s="2" t="s">
        <v>713</v>
      </c>
      <c r="C23" s="2" t="s">
        <v>663</v>
      </c>
      <c r="D23" s="2" t="n">
        <v>1</v>
      </c>
      <c r="E23" s="6" t="s">
        <v>714</v>
      </c>
      <c r="F23" s="2"/>
      <c r="G23" s="2" t="n">
        <v>664</v>
      </c>
      <c r="H23" s="2"/>
    </row>
    <row r="24" customFormat="false" ht="15" hidden="false" customHeight="false" outlineLevel="0" collapsed="false">
      <c r="A24" s="2" t="s">
        <v>715</v>
      </c>
      <c r="B24" s="2" t="s">
        <v>716</v>
      </c>
      <c r="C24" s="2" t="s">
        <v>663</v>
      </c>
      <c r="D24" s="2" t="n">
        <v>1</v>
      </c>
      <c r="E24" s="6" t="s">
        <v>717</v>
      </c>
      <c r="F24" s="2"/>
      <c r="G24" s="2" t="n">
        <v>651</v>
      </c>
      <c r="H24" s="2"/>
    </row>
    <row r="25" customFormat="false" ht="15" hidden="false" customHeight="false" outlineLevel="0" collapsed="false">
      <c r="A25" s="2" t="s">
        <v>718</v>
      </c>
      <c r="B25" s="2" t="s">
        <v>719</v>
      </c>
      <c r="C25" s="2" t="s">
        <v>663</v>
      </c>
      <c r="D25" s="2" t="n">
        <v>1</v>
      </c>
      <c r="E25" s="6" t="s">
        <v>720</v>
      </c>
      <c r="F25" s="2"/>
      <c r="G25" s="2" t="n">
        <v>664</v>
      </c>
      <c r="H25" s="2"/>
    </row>
    <row r="26" customFormat="false" ht="15" hidden="false" customHeight="false" outlineLevel="0" collapsed="false">
      <c r="A26" s="2" t="s">
        <v>721</v>
      </c>
      <c r="B26" s="2" t="s">
        <v>722</v>
      </c>
      <c r="C26" s="2" t="s">
        <v>663</v>
      </c>
      <c r="D26" s="2" t="n">
        <v>1</v>
      </c>
      <c r="E26" s="6" t="s">
        <v>723</v>
      </c>
      <c r="F26" s="2"/>
      <c r="G26" s="2" t="n">
        <v>597</v>
      </c>
      <c r="H26" s="2"/>
    </row>
    <row r="27" customFormat="false" ht="15" hidden="false" customHeight="false" outlineLevel="0" collapsed="false">
      <c r="A27" s="2" t="s">
        <v>724</v>
      </c>
      <c r="B27" s="2" t="s">
        <v>725</v>
      </c>
      <c r="C27" s="2" t="s">
        <v>663</v>
      </c>
      <c r="D27" s="2" t="n">
        <v>1</v>
      </c>
      <c r="E27" s="6" t="s">
        <v>726</v>
      </c>
      <c r="F27" s="2"/>
      <c r="G27" s="2" t="n">
        <v>708</v>
      </c>
      <c r="H27" s="2"/>
    </row>
    <row r="28" customFormat="false" ht="15" hidden="false" customHeight="false" outlineLevel="0" collapsed="false">
      <c r="A28" s="2" t="s">
        <v>727</v>
      </c>
      <c r="B28" s="2" t="s">
        <v>728</v>
      </c>
      <c r="C28" s="2" t="s">
        <v>663</v>
      </c>
      <c r="D28" s="2" t="n">
        <v>1</v>
      </c>
      <c r="E28" s="6" t="s">
        <v>729</v>
      </c>
      <c r="F28" s="2"/>
      <c r="G28" s="2" t="n">
        <v>802</v>
      </c>
      <c r="H28" s="2" t="s">
        <v>730</v>
      </c>
    </row>
    <row r="29" customFormat="false" ht="15" hidden="false" customHeight="false" outlineLevel="0" collapsed="false">
      <c r="A29" s="2" t="s">
        <v>731</v>
      </c>
      <c r="B29" s="2" t="s">
        <v>732</v>
      </c>
      <c r="C29" s="2" t="s">
        <v>663</v>
      </c>
      <c r="D29" s="2" t="n">
        <v>1</v>
      </c>
      <c r="E29" s="6" t="s">
        <v>733</v>
      </c>
      <c r="F29" s="2"/>
      <c r="G29" s="2" t="n">
        <v>539</v>
      </c>
      <c r="H29" s="2"/>
    </row>
    <row r="30" customFormat="false" ht="15" hidden="false" customHeight="false" outlineLevel="0" collapsed="false">
      <c r="A30" s="2" t="s">
        <v>734</v>
      </c>
      <c r="B30" s="2" t="s">
        <v>735</v>
      </c>
      <c r="C30" s="2" t="s">
        <v>736</v>
      </c>
      <c r="D30" s="2" t="n">
        <v>1</v>
      </c>
      <c r="E30" s="6" t="s">
        <v>737</v>
      </c>
      <c r="F30" s="2"/>
      <c r="G30" s="2" t="n">
        <v>484</v>
      </c>
      <c r="H30" s="2"/>
    </row>
    <row r="31" customFormat="false" ht="15" hidden="false" customHeight="false" outlineLevel="0" collapsed="false">
      <c r="A31" s="2" t="s">
        <v>738</v>
      </c>
      <c r="B31" s="2" t="s">
        <v>739</v>
      </c>
      <c r="C31" s="2" t="s">
        <v>736</v>
      </c>
      <c r="D31" s="2" t="n">
        <v>1</v>
      </c>
      <c r="E31" s="6" t="s">
        <v>740</v>
      </c>
      <c r="F31" s="2"/>
      <c r="G31" s="2" t="n">
        <v>637</v>
      </c>
      <c r="H31" s="2"/>
    </row>
    <row r="32" customFormat="false" ht="15" hidden="false" customHeight="false" outlineLevel="0" collapsed="false">
      <c r="A32" s="2" t="s">
        <v>741</v>
      </c>
      <c r="B32" s="2" t="s">
        <v>742</v>
      </c>
      <c r="C32" s="2" t="s">
        <v>736</v>
      </c>
      <c r="D32" s="2" t="n">
        <v>2</v>
      </c>
      <c r="E32" s="6" t="s">
        <v>743</v>
      </c>
      <c r="F32" s="2"/>
      <c r="G32" s="2" t="n">
        <v>660</v>
      </c>
      <c r="H32" s="2" t="s">
        <v>744</v>
      </c>
    </row>
    <row r="33" customFormat="false" ht="15" hidden="false" customHeight="false" outlineLevel="0" collapsed="false">
      <c r="A33" s="2" t="s">
        <v>745</v>
      </c>
      <c r="B33" s="2" t="s">
        <v>746</v>
      </c>
      <c r="C33" s="2" t="s">
        <v>736</v>
      </c>
      <c r="D33" s="2" t="n">
        <v>1</v>
      </c>
      <c r="E33" s="6" t="s">
        <v>747</v>
      </c>
      <c r="F33" s="2"/>
      <c r="G33" s="2" t="n">
        <v>501</v>
      </c>
      <c r="H33" s="2"/>
    </row>
    <row r="34" customFormat="false" ht="15" hidden="false" customHeight="false" outlineLevel="0" collapsed="false">
      <c r="A34" s="2" t="s">
        <v>748</v>
      </c>
      <c r="B34" s="2" t="s">
        <v>749</v>
      </c>
      <c r="C34" s="2" t="s">
        <v>736</v>
      </c>
      <c r="D34" s="2" t="n">
        <v>4</v>
      </c>
      <c r="E34" s="6" t="s">
        <v>750</v>
      </c>
      <c r="F34" s="2"/>
      <c r="G34" s="2" t="n">
        <v>563</v>
      </c>
      <c r="H34" s="2"/>
    </row>
    <row r="35" customFormat="false" ht="15" hidden="false" customHeight="false" outlineLevel="0" collapsed="false">
      <c r="A35" s="2" t="s">
        <v>751</v>
      </c>
      <c r="B35" s="2" t="s">
        <v>752</v>
      </c>
      <c r="C35" s="2" t="s">
        <v>736</v>
      </c>
      <c r="D35" s="2" t="n">
        <v>1</v>
      </c>
      <c r="E35" s="6" t="s">
        <v>753</v>
      </c>
      <c r="F35" s="2"/>
      <c r="G35" s="2" t="n">
        <v>592</v>
      </c>
      <c r="H35" s="2" t="s">
        <v>754</v>
      </c>
    </row>
    <row r="36" customFormat="false" ht="15" hidden="false" customHeight="false" outlineLevel="0" collapsed="false">
      <c r="A36" s="2" t="s">
        <v>755</v>
      </c>
      <c r="B36" s="2" t="s">
        <v>756</v>
      </c>
      <c r="C36" s="2" t="s">
        <v>736</v>
      </c>
      <c r="D36" s="2" t="n">
        <v>1</v>
      </c>
      <c r="E36" s="6" t="s">
        <v>757</v>
      </c>
      <c r="F36" s="2"/>
      <c r="G36" s="2" t="n">
        <v>637</v>
      </c>
      <c r="H36" s="2"/>
    </row>
    <row r="37" customFormat="false" ht="15" hidden="false" customHeight="false" outlineLevel="0" collapsed="false">
      <c r="A37" s="2" t="s">
        <v>758</v>
      </c>
      <c r="B37" s="2" t="s">
        <v>759</v>
      </c>
      <c r="C37" s="2" t="s">
        <v>736</v>
      </c>
      <c r="D37" s="2" t="n">
        <v>1</v>
      </c>
      <c r="E37" s="6" t="s">
        <v>760</v>
      </c>
      <c r="F37" s="2"/>
      <c r="G37" s="2" t="n">
        <v>784</v>
      </c>
      <c r="H37" s="2" t="s">
        <v>761</v>
      </c>
    </row>
    <row r="38" customFormat="false" ht="15" hidden="false" customHeight="false" outlineLevel="0" collapsed="false">
      <c r="A38" s="2" t="s">
        <v>762</v>
      </c>
      <c r="B38" s="2" t="s">
        <v>763</v>
      </c>
      <c r="C38" s="2" t="s">
        <v>736</v>
      </c>
      <c r="D38" s="2" t="n">
        <v>1</v>
      </c>
      <c r="E38" s="6" t="s">
        <v>764</v>
      </c>
      <c r="F38" s="2"/>
      <c r="G38" s="2" t="n">
        <v>381</v>
      </c>
      <c r="H38" s="2"/>
    </row>
    <row r="39" customFormat="false" ht="15" hidden="false" customHeight="false" outlineLevel="0" collapsed="false">
      <c r="A39" s="2" t="s">
        <v>765</v>
      </c>
      <c r="B39" s="2" t="s">
        <v>766</v>
      </c>
      <c r="C39" s="2" t="s">
        <v>736</v>
      </c>
      <c r="D39" s="2" t="n">
        <v>1</v>
      </c>
      <c r="E39" s="6" t="s">
        <v>767</v>
      </c>
      <c r="F39" s="2"/>
      <c r="G39" s="2" t="n">
        <v>763</v>
      </c>
      <c r="H39" s="2"/>
    </row>
    <row r="40" customFormat="false" ht="15" hidden="false" customHeight="false" outlineLevel="0" collapsed="false">
      <c r="A40" s="2" t="s">
        <v>768</v>
      </c>
      <c r="B40" s="2" t="s">
        <v>769</v>
      </c>
      <c r="C40" s="2" t="s">
        <v>736</v>
      </c>
      <c r="D40" s="2" t="n">
        <v>2</v>
      </c>
      <c r="E40" s="6" t="s">
        <v>770</v>
      </c>
      <c r="F40" s="2"/>
      <c r="G40" s="2" t="n">
        <v>491</v>
      </c>
      <c r="H40" s="2"/>
    </row>
    <row r="41" customFormat="false" ht="15" hidden="false" customHeight="false" outlineLevel="0" collapsed="false">
      <c r="A41" s="2" t="s">
        <v>771</v>
      </c>
      <c r="B41" s="2" t="s">
        <v>772</v>
      </c>
      <c r="C41" s="2" t="s">
        <v>736</v>
      </c>
      <c r="D41" s="2" t="n">
        <v>4</v>
      </c>
      <c r="E41" s="6" t="s">
        <v>773</v>
      </c>
      <c r="F41" s="2"/>
      <c r="G41" s="2" t="n">
        <v>508</v>
      </c>
      <c r="H41" s="2"/>
    </row>
    <row r="42" customFormat="false" ht="15" hidden="false" customHeight="false" outlineLevel="0" collapsed="false">
      <c r="A42" s="2" t="s">
        <v>774</v>
      </c>
      <c r="B42" s="2" t="s">
        <v>775</v>
      </c>
      <c r="C42" s="2" t="s">
        <v>736</v>
      </c>
      <c r="D42" s="2" t="n">
        <v>1</v>
      </c>
      <c r="E42" s="6" t="s">
        <v>776</v>
      </c>
      <c r="F42" s="2"/>
      <c r="G42" s="2" t="n">
        <v>725</v>
      </c>
      <c r="H42" s="2"/>
    </row>
    <row r="43" customFormat="false" ht="15" hidden="false" customHeight="false" outlineLevel="0" collapsed="false">
      <c r="A43" s="2" t="s">
        <v>777</v>
      </c>
      <c r="B43" s="2" t="s">
        <v>778</v>
      </c>
      <c r="C43" s="2" t="s">
        <v>736</v>
      </c>
      <c r="D43" s="2" t="n">
        <v>1</v>
      </c>
      <c r="E43" s="6" t="s">
        <v>779</v>
      </c>
      <c r="F43" s="2"/>
      <c r="G43" s="2" t="n">
        <v>639</v>
      </c>
      <c r="H43" s="2"/>
    </row>
    <row r="44" customFormat="false" ht="15" hidden="false" customHeight="false" outlineLevel="0" collapsed="false">
      <c r="A44" s="2" t="s">
        <v>780</v>
      </c>
      <c r="B44" s="2" t="s">
        <v>781</v>
      </c>
      <c r="C44" s="2" t="s">
        <v>736</v>
      </c>
      <c r="D44" s="2" t="n">
        <v>1</v>
      </c>
      <c r="E44" s="6" t="s">
        <v>782</v>
      </c>
      <c r="F44" s="2"/>
      <c r="G44" s="2" t="n">
        <v>556</v>
      </c>
      <c r="H44" s="2"/>
    </row>
    <row r="45" customFormat="false" ht="15" hidden="false" customHeight="false" outlineLevel="0" collapsed="false">
      <c r="A45" s="2" t="s">
        <v>783</v>
      </c>
      <c r="B45" s="2" t="s">
        <v>784</v>
      </c>
      <c r="C45" s="2" t="s">
        <v>736</v>
      </c>
      <c r="D45" s="2" t="n">
        <v>2</v>
      </c>
      <c r="E45" s="6" t="s">
        <v>785</v>
      </c>
      <c r="F45" s="2"/>
      <c r="G45" s="2" t="n">
        <v>542</v>
      </c>
      <c r="H45" s="2"/>
    </row>
    <row r="46" customFormat="false" ht="15" hidden="false" customHeight="false" outlineLevel="0" collapsed="false">
      <c r="A46" s="2" t="s">
        <v>786</v>
      </c>
      <c r="B46" s="2" t="s">
        <v>787</v>
      </c>
      <c r="C46" s="2" t="s">
        <v>736</v>
      </c>
      <c r="D46" s="2" t="n">
        <v>4</v>
      </c>
      <c r="E46" s="6" t="s">
        <v>788</v>
      </c>
      <c r="F46" s="2"/>
      <c r="G46" s="2" t="n">
        <v>552</v>
      </c>
      <c r="H46" s="2"/>
    </row>
    <row r="47" customFormat="false" ht="15" hidden="false" customHeight="false" outlineLevel="0" collapsed="false">
      <c r="A47" s="2" t="s">
        <v>789</v>
      </c>
      <c r="B47" s="2" t="s">
        <v>790</v>
      </c>
      <c r="C47" s="2" t="s">
        <v>736</v>
      </c>
      <c r="D47" s="2" t="n">
        <v>4</v>
      </c>
      <c r="E47" s="6" t="s">
        <v>791</v>
      </c>
      <c r="F47" s="2"/>
      <c r="G47" s="2" t="n">
        <v>718</v>
      </c>
      <c r="H47" s="2"/>
    </row>
    <row r="48" customFormat="false" ht="15" hidden="false" customHeight="false" outlineLevel="0" collapsed="false">
      <c r="A48" s="2" t="s">
        <v>792</v>
      </c>
      <c r="B48" s="2" t="s">
        <v>793</v>
      </c>
      <c r="C48" s="2" t="s">
        <v>736</v>
      </c>
      <c r="D48" s="2" t="n">
        <v>1</v>
      </c>
      <c r="E48" s="6" t="s">
        <v>794</v>
      </c>
      <c r="F48" s="2"/>
      <c r="G48" s="2" t="n">
        <v>696</v>
      </c>
      <c r="H48" s="2"/>
    </row>
    <row r="49" customFormat="false" ht="15" hidden="false" customHeight="false" outlineLevel="0" collapsed="false">
      <c r="A49" s="2" t="s">
        <v>795</v>
      </c>
      <c r="B49" s="2" t="s">
        <v>796</v>
      </c>
      <c r="C49" s="2" t="s">
        <v>736</v>
      </c>
      <c r="D49" s="2" t="n">
        <v>1</v>
      </c>
      <c r="E49" s="6" t="s">
        <v>797</v>
      </c>
      <c r="F49" s="2"/>
      <c r="G49" s="2" t="n">
        <v>686</v>
      </c>
      <c r="H49" s="2"/>
    </row>
    <row r="50" customFormat="false" ht="15" hidden="false" customHeight="false" outlineLevel="0" collapsed="false">
      <c r="A50" s="2" t="s">
        <v>798</v>
      </c>
      <c r="B50" s="2" t="s">
        <v>799</v>
      </c>
      <c r="C50" s="2" t="s">
        <v>736</v>
      </c>
      <c r="D50" s="2" t="n">
        <v>2</v>
      </c>
      <c r="E50" s="6" t="s">
        <v>800</v>
      </c>
      <c r="F50" s="2"/>
      <c r="G50" s="2" t="n">
        <v>549</v>
      </c>
      <c r="H50" s="2"/>
    </row>
    <row r="51" customFormat="false" ht="15" hidden="false" customHeight="false" outlineLevel="0" collapsed="false">
      <c r="A51" s="2" t="s">
        <v>801</v>
      </c>
      <c r="B51" s="2" t="s">
        <v>802</v>
      </c>
      <c r="C51" s="2" t="s">
        <v>736</v>
      </c>
      <c r="D51" s="2" t="n">
        <v>2</v>
      </c>
      <c r="E51" s="6" t="s">
        <v>803</v>
      </c>
      <c r="F51" s="2"/>
      <c r="G51" s="2" t="n">
        <v>779</v>
      </c>
      <c r="H51" s="2"/>
    </row>
    <row r="52" customFormat="false" ht="15" hidden="false" customHeight="false" outlineLevel="0" collapsed="false">
      <c r="A52" s="2" t="s">
        <v>804</v>
      </c>
      <c r="B52" s="2" t="s">
        <v>805</v>
      </c>
      <c r="C52" s="2" t="s">
        <v>736</v>
      </c>
      <c r="D52" s="2" t="n">
        <v>2</v>
      </c>
      <c r="E52" s="6" t="s">
        <v>806</v>
      </c>
      <c r="F52" s="2"/>
      <c r="G52" s="2" t="n">
        <v>520</v>
      </c>
      <c r="H52" s="2"/>
    </row>
    <row r="53" customFormat="false" ht="15" hidden="false" customHeight="false" outlineLevel="0" collapsed="false">
      <c r="A53" s="2" t="s">
        <v>807</v>
      </c>
      <c r="B53" s="2" t="s">
        <v>808</v>
      </c>
      <c r="C53" s="2" t="s">
        <v>736</v>
      </c>
      <c r="D53" s="2" t="n">
        <v>4</v>
      </c>
      <c r="E53" s="6" t="s">
        <v>809</v>
      </c>
      <c r="F53" s="2"/>
      <c r="G53" s="2" t="n">
        <v>709</v>
      </c>
      <c r="H53" s="2"/>
    </row>
    <row r="54" customFormat="false" ht="15" hidden="false" customHeight="false" outlineLevel="0" collapsed="false">
      <c r="A54" s="2" t="s">
        <v>810</v>
      </c>
      <c r="B54" s="2" t="s">
        <v>811</v>
      </c>
      <c r="C54" s="2" t="s">
        <v>736</v>
      </c>
      <c r="D54" s="2" t="n">
        <v>4</v>
      </c>
      <c r="E54" s="6" t="s">
        <v>812</v>
      </c>
      <c r="F54" s="2"/>
      <c r="G54" s="2" t="n">
        <v>604</v>
      </c>
      <c r="H54" s="2"/>
    </row>
    <row r="55" customFormat="false" ht="15" hidden="false" customHeight="false" outlineLevel="0" collapsed="false">
      <c r="A55" s="2" t="s">
        <v>813</v>
      </c>
      <c r="B55" s="2" t="s">
        <v>814</v>
      </c>
      <c r="C55" s="2" t="s">
        <v>736</v>
      </c>
      <c r="D55" s="2" t="n">
        <v>2</v>
      </c>
      <c r="E55" s="6" t="s">
        <v>815</v>
      </c>
      <c r="F55" s="2"/>
      <c r="G55" s="2" t="n">
        <v>755</v>
      </c>
      <c r="H55" s="2"/>
    </row>
    <row r="56" customFormat="false" ht="15" hidden="false" customHeight="false" outlineLevel="0" collapsed="false">
      <c r="A56" s="2" t="s">
        <v>816</v>
      </c>
      <c r="B56" s="2" t="s">
        <v>817</v>
      </c>
      <c r="C56" s="2" t="s">
        <v>736</v>
      </c>
      <c r="D56" s="2" t="n">
        <v>4</v>
      </c>
      <c r="E56" s="6" t="s">
        <v>818</v>
      </c>
      <c r="F56" s="2"/>
      <c r="G56" s="2" t="n">
        <v>762</v>
      </c>
      <c r="H56" s="2"/>
    </row>
    <row r="57" customFormat="false" ht="15" hidden="false" customHeight="false" outlineLevel="0" collapsed="false">
      <c r="A57" s="2" t="s">
        <v>819</v>
      </c>
      <c r="B57" s="2" t="s">
        <v>820</v>
      </c>
      <c r="C57" s="2" t="s">
        <v>736</v>
      </c>
      <c r="D57" s="2" t="n">
        <v>1</v>
      </c>
      <c r="E57" s="6" t="s">
        <v>821</v>
      </c>
      <c r="F57" s="2"/>
      <c r="G57" s="2" t="n">
        <v>858</v>
      </c>
      <c r="H57" s="2"/>
    </row>
    <row r="58" customFormat="false" ht="15" hidden="false" customHeight="false" outlineLevel="0" collapsed="false">
      <c r="A58" s="2" t="s">
        <v>822</v>
      </c>
      <c r="B58" s="2" t="s">
        <v>823</v>
      </c>
      <c r="C58" s="2" t="s">
        <v>736</v>
      </c>
      <c r="D58" s="2" t="n">
        <v>1</v>
      </c>
      <c r="E58" s="6" t="s">
        <v>824</v>
      </c>
      <c r="F58" s="2"/>
      <c r="G58" s="2" t="n">
        <v>512</v>
      </c>
      <c r="H58" s="2"/>
    </row>
    <row r="59" customFormat="false" ht="15" hidden="false" customHeight="false" outlineLevel="0" collapsed="false">
      <c r="A59" s="2" t="s">
        <v>825</v>
      </c>
      <c r="B59" s="2" t="s">
        <v>826</v>
      </c>
      <c r="C59" s="2" t="s">
        <v>736</v>
      </c>
      <c r="D59" s="2" t="n">
        <v>1</v>
      </c>
      <c r="E59" s="6" t="s">
        <v>827</v>
      </c>
      <c r="F59" s="2"/>
      <c r="G59" s="2" t="n">
        <v>863</v>
      </c>
      <c r="H59" s="2" t="s">
        <v>828</v>
      </c>
    </row>
    <row r="60" customFormat="false" ht="15" hidden="false" customHeight="false" outlineLevel="0" collapsed="false">
      <c r="A60" s="2" t="s">
        <v>829</v>
      </c>
      <c r="B60" s="2" t="s">
        <v>830</v>
      </c>
      <c r="C60" s="2" t="s">
        <v>736</v>
      </c>
      <c r="D60" s="2" t="n">
        <v>1</v>
      </c>
      <c r="E60" s="6" t="s">
        <v>831</v>
      </c>
      <c r="F60" s="2"/>
      <c r="G60" s="2" t="n">
        <v>823</v>
      </c>
      <c r="H60" s="2"/>
    </row>
    <row r="61" customFormat="false" ht="15" hidden="false" customHeight="false" outlineLevel="0" collapsed="false">
      <c r="A61" s="2" t="s">
        <v>832</v>
      </c>
      <c r="B61" s="2" t="s">
        <v>833</v>
      </c>
      <c r="C61" s="2" t="s">
        <v>736</v>
      </c>
      <c r="D61" s="2" t="n">
        <v>1</v>
      </c>
      <c r="E61" s="6" t="s">
        <v>834</v>
      </c>
      <c r="F61" s="2"/>
      <c r="G61" s="2" t="n">
        <v>818</v>
      </c>
      <c r="H61" s="2"/>
    </row>
    <row r="62" customFormat="false" ht="15" hidden="false" customHeight="false" outlineLevel="0" collapsed="false">
      <c r="A62" s="2" t="s">
        <v>835</v>
      </c>
      <c r="B62" s="2" t="s">
        <v>836</v>
      </c>
      <c r="C62" s="2" t="s">
        <v>736</v>
      </c>
      <c r="D62" s="2" t="n">
        <v>1</v>
      </c>
      <c r="E62" s="6" t="s">
        <v>837</v>
      </c>
      <c r="F62" s="2"/>
      <c r="G62" s="2" t="n">
        <v>754</v>
      </c>
      <c r="H62" s="2"/>
    </row>
    <row r="63" customFormat="false" ht="15" hidden="false" customHeight="false" outlineLevel="0" collapsed="false">
      <c r="A63" s="2" t="s">
        <v>838</v>
      </c>
      <c r="B63" s="2" t="s">
        <v>839</v>
      </c>
      <c r="C63" s="2" t="s">
        <v>736</v>
      </c>
      <c r="D63" s="2" t="n">
        <v>1</v>
      </c>
      <c r="E63" s="6" t="s">
        <v>840</v>
      </c>
      <c r="F63" s="2"/>
      <c r="G63" s="2" t="n">
        <v>784</v>
      </c>
      <c r="H63" s="2"/>
    </row>
    <row r="64" customFormat="false" ht="15" hidden="false" customHeight="false" outlineLevel="0" collapsed="false">
      <c r="A64" s="2" t="s">
        <v>841</v>
      </c>
      <c r="B64" s="2" t="s">
        <v>842</v>
      </c>
      <c r="C64" s="2" t="s">
        <v>736</v>
      </c>
      <c r="D64" s="2" t="n">
        <v>1</v>
      </c>
      <c r="E64" s="6" t="s">
        <v>843</v>
      </c>
      <c r="F64" s="2"/>
      <c r="G64" s="2" t="n">
        <v>787</v>
      </c>
      <c r="H64" s="2"/>
    </row>
    <row r="65" customFormat="false" ht="15" hidden="false" customHeight="false" outlineLevel="0" collapsed="false">
      <c r="A65" s="2" t="s">
        <v>844</v>
      </c>
      <c r="B65" s="2" t="s">
        <v>845</v>
      </c>
      <c r="C65" s="2" t="s">
        <v>736</v>
      </c>
      <c r="D65" s="2" t="n">
        <v>1</v>
      </c>
      <c r="E65" s="6" t="s">
        <v>846</v>
      </c>
      <c r="F65" s="2"/>
      <c r="G65" s="2" t="n">
        <v>678</v>
      </c>
      <c r="H65" s="2"/>
    </row>
    <row r="66" customFormat="false" ht="15" hidden="false" customHeight="false" outlineLevel="0" collapsed="false">
      <c r="A66" s="2" t="s">
        <v>847</v>
      </c>
      <c r="B66" s="2" t="s">
        <v>848</v>
      </c>
      <c r="C66" s="2" t="s">
        <v>736</v>
      </c>
      <c r="D66" s="2" t="n">
        <v>1</v>
      </c>
      <c r="E66" s="6" t="s">
        <v>849</v>
      </c>
      <c r="F66" s="2"/>
      <c r="G66" s="2" t="n">
        <v>733</v>
      </c>
      <c r="H66" s="2"/>
    </row>
    <row r="67" customFormat="false" ht="15" hidden="false" customHeight="false" outlineLevel="0" collapsed="false">
      <c r="A67" s="2" t="s">
        <v>850</v>
      </c>
      <c r="B67" s="2" t="s">
        <v>851</v>
      </c>
      <c r="C67" s="2" t="s">
        <v>736</v>
      </c>
      <c r="D67" s="2" t="n">
        <v>1</v>
      </c>
      <c r="E67" s="6" t="s">
        <v>852</v>
      </c>
      <c r="F67" s="2"/>
      <c r="G67" s="2" t="n">
        <v>796</v>
      </c>
      <c r="H67" s="2"/>
    </row>
    <row r="68" customFormat="false" ht="15" hidden="false" customHeight="false" outlineLevel="0" collapsed="false">
      <c r="A68" s="2" t="s">
        <v>853</v>
      </c>
      <c r="B68" s="2" t="s">
        <v>854</v>
      </c>
      <c r="C68" s="2" t="s">
        <v>736</v>
      </c>
      <c r="D68" s="2" t="n">
        <v>1</v>
      </c>
      <c r="E68" s="6" t="s">
        <v>855</v>
      </c>
      <c r="F68" s="2"/>
      <c r="G68" s="2" t="n">
        <v>832</v>
      </c>
      <c r="H68" s="2"/>
    </row>
    <row r="69" customFormat="false" ht="15" hidden="false" customHeight="false" outlineLevel="0" collapsed="false">
      <c r="A69" s="2" t="s">
        <v>856</v>
      </c>
      <c r="B69" s="2" t="s">
        <v>857</v>
      </c>
      <c r="C69" s="2" t="s">
        <v>736</v>
      </c>
      <c r="D69" s="2" t="n">
        <v>1</v>
      </c>
      <c r="E69" s="6" t="s">
        <v>858</v>
      </c>
      <c r="F69" s="2"/>
      <c r="G69" s="2" t="n">
        <v>699</v>
      </c>
      <c r="H69" s="2"/>
    </row>
    <row r="70" customFormat="false" ht="15" hidden="false" customHeight="false" outlineLevel="0" collapsed="false">
      <c r="A70" s="2" t="s">
        <v>859</v>
      </c>
      <c r="B70" s="2" t="s">
        <v>860</v>
      </c>
      <c r="C70" s="2" t="s">
        <v>736</v>
      </c>
      <c r="D70" s="2" t="n">
        <v>1</v>
      </c>
      <c r="E70" s="6" t="s">
        <v>861</v>
      </c>
      <c r="F70" s="2"/>
      <c r="G70" s="2" t="n">
        <v>664</v>
      </c>
      <c r="H70" s="2"/>
    </row>
    <row r="71" customFormat="false" ht="15" hidden="false" customHeight="false" outlineLevel="0" collapsed="false">
      <c r="A71" s="2" t="s">
        <v>862</v>
      </c>
      <c r="B71" s="2" t="s">
        <v>863</v>
      </c>
      <c r="C71" s="2" t="s">
        <v>736</v>
      </c>
      <c r="D71" s="2" t="n">
        <v>1</v>
      </c>
      <c r="E71" s="6" t="s">
        <v>864</v>
      </c>
      <c r="F71" s="2"/>
      <c r="G71" s="2" t="n">
        <v>772</v>
      </c>
      <c r="H71" s="2"/>
    </row>
    <row r="72" customFormat="false" ht="15" hidden="false" customHeight="false" outlineLevel="0" collapsed="false">
      <c r="A72" s="2" t="s">
        <v>865</v>
      </c>
      <c r="B72" s="2" t="s">
        <v>866</v>
      </c>
      <c r="C72" s="2" t="s">
        <v>736</v>
      </c>
      <c r="D72" s="2" t="n">
        <v>1</v>
      </c>
      <c r="E72" s="6" t="s">
        <v>867</v>
      </c>
      <c r="F72" s="2"/>
      <c r="G72" s="2" t="n">
        <v>706</v>
      </c>
      <c r="H72" s="2" t="s">
        <v>868</v>
      </c>
    </row>
    <row r="73" customFormat="false" ht="15" hidden="false" customHeight="false" outlineLevel="0" collapsed="false">
      <c r="A73" s="2" t="s">
        <v>869</v>
      </c>
      <c r="B73" s="2" t="s">
        <v>870</v>
      </c>
      <c r="C73" s="2" t="s">
        <v>736</v>
      </c>
      <c r="D73" s="2" t="n">
        <v>1</v>
      </c>
      <c r="E73" s="6" t="s">
        <v>871</v>
      </c>
      <c r="F73" s="2"/>
      <c r="G73" s="2" t="n">
        <v>697</v>
      </c>
      <c r="H73" s="2" t="s">
        <v>872</v>
      </c>
    </row>
    <row r="74" customFormat="false" ht="15" hidden="false" customHeight="false" outlineLevel="0" collapsed="false">
      <c r="A74" s="2" t="s">
        <v>873</v>
      </c>
      <c r="B74" s="2" t="s">
        <v>874</v>
      </c>
      <c r="C74" s="2" t="s">
        <v>736</v>
      </c>
      <c r="D74" s="2" t="n">
        <v>1</v>
      </c>
      <c r="E74" s="6" t="s">
        <v>875</v>
      </c>
      <c r="F74" s="2"/>
      <c r="G74" s="2" t="n">
        <v>912</v>
      </c>
      <c r="H74" s="2" t="s">
        <v>876</v>
      </c>
    </row>
    <row r="75" customFormat="false" ht="15" hidden="false" customHeight="false" outlineLevel="0" collapsed="false">
      <c r="A75" s="2" t="s">
        <v>877</v>
      </c>
      <c r="B75" s="2" t="s">
        <v>878</v>
      </c>
      <c r="C75" s="2" t="s">
        <v>736</v>
      </c>
      <c r="D75" s="2" t="n">
        <v>1</v>
      </c>
      <c r="E75" s="6" t="s">
        <v>879</v>
      </c>
      <c r="F75" s="2"/>
      <c r="G75" s="2" t="n">
        <v>692</v>
      </c>
      <c r="H75" s="2"/>
    </row>
    <row r="76" customFormat="false" ht="15" hidden="false" customHeight="false" outlineLevel="0" collapsed="false">
      <c r="A76" s="2" t="s">
        <v>880</v>
      </c>
      <c r="B76" s="2" t="s">
        <v>881</v>
      </c>
      <c r="C76" s="2" t="s">
        <v>736</v>
      </c>
      <c r="D76" s="2" t="n">
        <v>1</v>
      </c>
      <c r="E76" s="2" t="s">
        <v>882</v>
      </c>
      <c r="F76" s="2" t="s">
        <v>883</v>
      </c>
      <c r="G76" s="2"/>
      <c r="H76" s="2"/>
    </row>
    <row r="77" customFormat="false" ht="15" hidden="false" customHeight="false" outlineLevel="0" collapsed="false">
      <c r="A77" s="2" t="s">
        <v>884</v>
      </c>
      <c r="B77" s="2" t="s">
        <v>885</v>
      </c>
      <c r="C77" s="2" t="s">
        <v>736</v>
      </c>
      <c r="D77" s="2" t="n">
        <v>1</v>
      </c>
      <c r="E77" s="2" t="s">
        <v>882</v>
      </c>
      <c r="F77" s="2" t="s">
        <v>883</v>
      </c>
      <c r="G77" s="2"/>
      <c r="H77" s="2"/>
    </row>
    <row r="78" customFormat="false" ht="15" hidden="false" customHeight="false" outlineLevel="0" collapsed="false">
      <c r="A78" s="2" t="s">
        <v>886</v>
      </c>
      <c r="B78" s="2" t="s">
        <v>887</v>
      </c>
      <c r="C78" s="2" t="s">
        <v>888</v>
      </c>
      <c r="D78" s="2" t="n">
        <v>1</v>
      </c>
      <c r="E78" s="6" t="s">
        <v>889</v>
      </c>
      <c r="F78" s="6" t="s">
        <v>890</v>
      </c>
      <c r="G78" s="2" t="n">
        <v>460</v>
      </c>
      <c r="H78" s="2"/>
    </row>
    <row r="79" customFormat="false" ht="15" hidden="false" customHeight="false" outlineLevel="0" collapsed="false">
      <c r="A79" s="2" t="s">
        <v>891</v>
      </c>
      <c r="B79" s="2" t="s">
        <v>892</v>
      </c>
      <c r="C79" s="2" t="s">
        <v>888</v>
      </c>
      <c r="D79" s="2" t="n">
        <v>1</v>
      </c>
      <c r="E79" s="6" t="s">
        <v>893</v>
      </c>
      <c r="F79" s="6" t="s">
        <v>894</v>
      </c>
      <c r="G79" s="2" t="n">
        <v>415</v>
      </c>
      <c r="H79" s="2"/>
    </row>
    <row r="80" customFormat="false" ht="15" hidden="false" customHeight="false" outlineLevel="0" collapsed="false">
      <c r="A80" s="2" t="s">
        <v>895</v>
      </c>
      <c r="B80" s="2" t="s">
        <v>896</v>
      </c>
      <c r="C80" s="2" t="s">
        <v>888</v>
      </c>
      <c r="D80" s="2" t="n">
        <v>1</v>
      </c>
      <c r="E80" s="6" t="s">
        <v>897</v>
      </c>
      <c r="F80" s="6" t="s">
        <v>898</v>
      </c>
      <c r="G80" s="2" t="n">
        <v>395</v>
      </c>
      <c r="H80" s="2"/>
    </row>
    <row r="81" customFormat="false" ht="15" hidden="false" customHeight="false" outlineLevel="0" collapsed="false">
      <c r="A81" s="2" t="s">
        <v>899</v>
      </c>
      <c r="B81" s="2" t="s">
        <v>900</v>
      </c>
      <c r="C81" s="2" t="s">
        <v>736</v>
      </c>
      <c r="D81" s="2" t="n">
        <v>1</v>
      </c>
      <c r="E81" s="6" t="s">
        <v>901</v>
      </c>
      <c r="F81" s="6" t="s">
        <v>902</v>
      </c>
      <c r="G81" s="2" t="n">
        <v>675</v>
      </c>
      <c r="H81" s="2" t="s">
        <v>903</v>
      </c>
    </row>
    <row r="82" customFormat="false" ht="15" hidden="false" customHeight="false" outlineLevel="0" collapsed="false">
      <c r="A82" s="2" t="s">
        <v>904</v>
      </c>
      <c r="B82" s="2" t="s">
        <v>905</v>
      </c>
      <c r="C82" s="2" t="s">
        <v>736</v>
      </c>
      <c r="D82" s="2" t="n">
        <v>1</v>
      </c>
      <c r="E82" s="6" t="s">
        <v>906</v>
      </c>
      <c r="F82" s="6" t="s">
        <v>907</v>
      </c>
      <c r="G82" s="2" t="n">
        <v>515</v>
      </c>
      <c r="H82" s="2" t="s">
        <v>908</v>
      </c>
    </row>
    <row r="83" customFormat="false" ht="15" hidden="false" customHeight="false" outlineLevel="0" collapsed="false">
      <c r="A83" s="2" t="s">
        <v>909</v>
      </c>
      <c r="B83" s="2" t="s">
        <v>910</v>
      </c>
      <c r="C83" s="2" t="s">
        <v>736</v>
      </c>
      <c r="D83" s="2" t="n">
        <v>1</v>
      </c>
      <c r="E83" s="6" t="s">
        <v>911</v>
      </c>
      <c r="F83" s="6" t="s">
        <v>912</v>
      </c>
      <c r="G83" s="2" t="n">
        <v>295</v>
      </c>
      <c r="H83" s="2"/>
    </row>
    <row r="84" customFormat="false" ht="15" hidden="false" customHeight="false" outlineLevel="0" collapsed="false">
      <c r="A84" s="2" t="s">
        <v>913</v>
      </c>
      <c r="B84" s="2" t="s">
        <v>914</v>
      </c>
      <c r="C84" s="2" t="s">
        <v>736</v>
      </c>
      <c r="D84" s="2" t="n">
        <v>1</v>
      </c>
      <c r="E84" s="6" t="s">
        <v>915</v>
      </c>
      <c r="F84" s="6" t="s">
        <v>916</v>
      </c>
      <c r="G84" s="2" t="n">
        <v>270</v>
      </c>
      <c r="H84" s="2"/>
    </row>
    <row r="85" customFormat="false" ht="15" hidden="false" customHeight="false" outlineLevel="0" collapsed="false">
      <c r="A85" s="2" t="s">
        <v>917</v>
      </c>
      <c r="B85" s="2" t="s">
        <v>918</v>
      </c>
      <c r="C85" s="2" t="s">
        <v>736</v>
      </c>
      <c r="D85" s="2" t="n">
        <v>1</v>
      </c>
      <c r="E85" s="6" t="s">
        <v>919</v>
      </c>
      <c r="F85" s="6" t="s">
        <v>920</v>
      </c>
      <c r="G85" s="2" t="n">
        <v>325</v>
      </c>
      <c r="H85" s="2"/>
    </row>
    <row r="86" customFormat="false" ht="15" hidden="false" customHeight="false" outlineLevel="0" collapsed="false">
      <c r="A86" s="2" t="s">
        <v>921</v>
      </c>
      <c r="B86" s="2" t="s">
        <v>922</v>
      </c>
      <c r="C86" s="2" t="s">
        <v>736</v>
      </c>
      <c r="D86" s="2" t="n">
        <v>1</v>
      </c>
      <c r="E86" s="6" t="s">
        <v>923</v>
      </c>
      <c r="F86" s="6" t="s">
        <v>924</v>
      </c>
      <c r="G86" s="2" t="n">
        <v>315</v>
      </c>
      <c r="H86" s="2"/>
    </row>
    <row r="87" customFormat="false" ht="15" hidden="false" customHeight="false" outlineLevel="0" collapsed="false">
      <c r="A87" s="2" t="s">
        <v>925</v>
      </c>
      <c r="B87" s="2" t="s">
        <v>926</v>
      </c>
      <c r="C87" s="2" t="s">
        <v>736</v>
      </c>
      <c r="D87" s="2" t="n">
        <v>1</v>
      </c>
      <c r="E87" s="6" t="s">
        <v>927</v>
      </c>
      <c r="F87" s="6" t="s">
        <v>928</v>
      </c>
      <c r="G87" s="2" t="n">
        <v>559</v>
      </c>
      <c r="H87" s="2" t="s">
        <v>929</v>
      </c>
    </row>
    <row r="88" customFormat="false" ht="15" hidden="false" customHeight="false" outlineLevel="0" collapsed="false">
      <c r="A88" s="2" t="s">
        <v>930</v>
      </c>
      <c r="B88" s="2" t="s">
        <v>931</v>
      </c>
      <c r="C88" s="2" t="s">
        <v>736</v>
      </c>
      <c r="D88" s="2" t="n">
        <v>1</v>
      </c>
      <c r="E88" s="6" t="s">
        <v>932</v>
      </c>
      <c r="F88" s="6" t="s">
        <v>933</v>
      </c>
      <c r="G88" s="2" t="n">
        <v>454</v>
      </c>
      <c r="H88" s="2" t="s">
        <v>934</v>
      </c>
    </row>
    <row r="89" customFormat="false" ht="15" hidden="false" customHeight="false" outlineLevel="0" collapsed="false">
      <c r="A89" s="2" t="s">
        <v>935</v>
      </c>
      <c r="B89" s="2" t="s">
        <v>936</v>
      </c>
      <c r="C89" s="2" t="s">
        <v>736</v>
      </c>
      <c r="D89" s="2" t="n">
        <v>1</v>
      </c>
      <c r="E89" s="6" t="s">
        <v>937</v>
      </c>
      <c r="F89" s="6" t="s">
        <v>938</v>
      </c>
      <c r="G89" s="2" t="n">
        <v>445</v>
      </c>
      <c r="H89" s="2" t="s">
        <v>939</v>
      </c>
    </row>
    <row r="90" customFormat="false" ht="15" hidden="false" customHeight="false" outlineLevel="0" collapsed="false">
      <c r="A90" s="2" t="s">
        <v>940</v>
      </c>
      <c r="B90" s="2" t="s">
        <v>941</v>
      </c>
      <c r="C90" s="2" t="s">
        <v>736</v>
      </c>
      <c r="D90" s="2" t="n">
        <v>1</v>
      </c>
      <c r="E90" s="6" t="s">
        <v>942</v>
      </c>
      <c r="F90" s="6" t="s">
        <v>943</v>
      </c>
      <c r="G90" s="2" t="n">
        <v>435</v>
      </c>
      <c r="H90" s="2"/>
    </row>
    <row r="91" customFormat="false" ht="15" hidden="false" customHeight="false" outlineLevel="0" collapsed="false">
      <c r="A91" s="2" t="s">
        <v>944</v>
      </c>
      <c r="B91" s="2" t="s">
        <v>945</v>
      </c>
      <c r="C91" s="2" t="s">
        <v>736</v>
      </c>
      <c r="D91" s="2" t="n">
        <v>1</v>
      </c>
      <c r="E91" s="6" t="s">
        <v>946</v>
      </c>
      <c r="F91" s="6" t="s">
        <v>947</v>
      </c>
      <c r="G91" s="2" t="n">
        <v>415</v>
      </c>
      <c r="H91" s="2"/>
    </row>
    <row r="92" customFormat="false" ht="15" hidden="false" customHeight="false" outlineLevel="0" collapsed="false">
      <c r="A92" s="2" t="s">
        <v>948</v>
      </c>
      <c r="B92" s="2" t="s">
        <v>949</v>
      </c>
      <c r="C92" s="2" t="s">
        <v>736</v>
      </c>
      <c r="D92" s="2" t="n">
        <v>1</v>
      </c>
      <c r="E92" s="6" t="s">
        <v>950</v>
      </c>
      <c r="F92" s="6" t="s">
        <v>951</v>
      </c>
      <c r="G92" s="2" t="n">
        <v>465</v>
      </c>
      <c r="H92" s="2"/>
    </row>
    <row r="93" customFormat="false" ht="15" hidden="false" customHeight="false" outlineLevel="0" collapsed="false">
      <c r="A93" s="2" t="s">
        <v>952</v>
      </c>
      <c r="B93" s="2" t="s">
        <v>953</v>
      </c>
      <c r="C93" s="2" t="s">
        <v>736</v>
      </c>
      <c r="D93" s="2" t="n">
        <v>1</v>
      </c>
      <c r="E93" s="6" t="s">
        <v>954</v>
      </c>
      <c r="F93" s="6" t="s">
        <v>955</v>
      </c>
      <c r="G93" s="2" t="n">
        <v>390</v>
      </c>
      <c r="H93" s="2"/>
    </row>
    <row r="94" customFormat="false" ht="15" hidden="false" customHeight="false" outlineLevel="0" collapsed="false">
      <c r="A94" s="2" t="s">
        <v>956</v>
      </c>
      <c r="B94" s="2" t="s">
        <v>957</v>
      </c>
      <c r="C94" s="2" t="s">
        <v>736</v>
      </c>
      <c r="D94" s="2" t="n">
        <v>1</v>
      </c>
      <c r="E94" s="6" t="s">
        <v>958</v>
      </c>
      <c r="F94" s="6" t="s">
        <v>959</v>
      </c>
      <c r="G94" s="2" t="n">
        <v>435</v>
      </c>
      <c r="H94" s="2"/>
    </row>
    <row r="95" customFormat="false" ht="15" hidden="false" customHeight="false" outlineLevel="0" collapsed="false">
      <c r="A95" s="2" t="s">
        <v>960</v>
      </c>
      <c r="B95" s="2" t="s">
        <v>961</v>
      </c>
      <c r="C95" s="2" t="s">
        <v>736</v>
      </c>
      <c r="D95" s="2" t="n">
        <v>1</v>
      </c>
      <c r="E95" s="6" t="s">
        <v>962</v>
      </c>
      <c r="F95" s="6" t="s">
        <v>963</v>
      </c>
      <c r="G95" s="2" t="n">
        <v>440</v>
      </c>
      <c r="H95" s="2"/>
    </row>
    <row r="96" customFormat="false" ht="15" hidden="false" customHeight="false" outlineLevel="0" collapsed="false">
      <c r="A96" s="2" t="s">
        <v>964</v>
      </c>
      <c r="B96" s="2" t="s">
        <v>965</v>
      </c>
      <c r="C96" s="2" t="s">
        <v>736</v>
      </c>
      <c r="D96" s="2" t="n">
        <v>1</v>
      </c>
      <c r="E96" s="6" t="s">
        <v>966</v>
      </c>
      <c r="F96" s="6" t="s">
        <v>967</v>
      </c>
      <c r="G96" s="2" t="n">
        <v>395</v>
      </c>
      <c r="H96" s="2"/>
    </row>
    <row r="97" customFormat="false" ht="15" hidden="false" customHeight="false" outlineLevel="0" collapsed="false">
      <c r="A97" s="2" t="s">
        <v>968</v>
      </c>
      <c r="B97" s="2" t="s">
        <v>969</v>
      </c>
      <c r="C97" s="2" t="s">
        <v>736</v>
      </c>
      <c r="D97" s="2" t="n">
        <v>1</v>
      </c>
      <c r="E97" s="6" t="s">
        <v>970</v>
      </c>
      <c r="F97" s="6" t="s">
        <v>971</v>
      </c>
      <c r="G97" s="2" t="n">
        <v>405</v>
      </c>
      <c r="H97" s="2"/>
    </row>
    <row r="98" customFormat="false" ht="15" hidden="false" customHeight="false" outlineLevel="0" collapsed="false">
      <c r="A98" s="2" t="s">
        <v>972</v>
      </c>
      <c r="B98" s="2" t="s">
        <v>973</v>
      </c>
      <c r="C98" s="2" t="s">
        <v>736</v>
      </c>
      <c r="D98" s="2" t="n">
        <v>1</v>
      </c>
      <c r="E98" s="6" t="s">
        <v>974</v>
      </c>
      <c r="F98" s="6" t="s">
        <v>975</v>
      </c>
      <c r="G98" s="2" t="n">
        <v>425</v>
      </c>
      <c r="H98" s="2"/>
    </row>
    <row r="99" customFormat="false" ht="15" hidden="false" customHeight="false" outlineLevel="0" collapsed="false">
      <c r="A99" s="2" t="s">
        <v>976</v>
      </c>
      <c r="B99" s="2" t="s">
        <v>977</v>
      </c>
      <c r="C99" s="2" t="s">
        <v>736</v>
      </c>
      <c r="D99" s="2" t="n">
        <v>1</v>
      </c>
      <c r="E99" s="6" t="s">
        <v>978</v>
      </c>
      <c r="F99" s="6" t="s">
        <v>979</v>
      </c>
      <c r="G99" s="2" t="n">
        <v>395</v>
      </c>
      <c r="H99" s="2"/>
    </row>
    <row r="100" customFormat="false" ht="15" hidden="false" customHeight="false" outlineLevel="0" collapsed="false">
      <c r="A100" s="2" t="s">
        <v>980</v>
      </c>
      <c r="B100" s="2" t="s">
        <v>981</v>
      </c>
      <c r="C100" s="2" t="s">
        <v>736</v>
      </c>
      <c r="D100" s="2" t="n">
        <v>1</v>
      </c>
      <c r="E100" s="6" t="s">
        <v>982</v>
      </c>
      <c r="F100" s="6" t="s">
        <v>983</v>
      </c>
      <c r="G100" s="2" t="n">
        <v>415</v>
      </c>
      <c r="H100" s="2"/>
    </row>
    <row r="101" customFormat="false" ht="15" hidden="false" customHeight="false" outlineLevel="0" collapsed="false">
      <c r="A101" s="2" t="s">
        <v>984</v>
      </c>
      <c r="B101" s="2" t="s">
        <v>985</v>
      </c>
      <c r="C101" s="2" t="s">
        <v>736</v>
      </c>
      <c r="D101" s="2" t="n">
        <v>1</v>
      </c>
      <c r="E101" s="6" t="s">
        <v>986</v>
      </c>
      <c r="F101" s="6" t="s">
        <v>987</v>
      </c>
      <c r="G101" s="2" t="n">
        <v>430</v>
      </c>
      <c r="H101" s="2"/>
    </row>
    <row r="102" customFormat="false" ht="15" hidden="false" customHeight="false" outlineLevel="0" collapsed="false">
      <c r="A102" s="2" t="s">
        <v>988</v>
      </c>
      <c r="B102" s="2" t="s">
        <v>989</v>
      </c>
      <c r="C102" s="2" t="s">
        <v>736</v>
      </c>
      <c r="D102" s="2" t="n">
        <v>1</v>
      </c>
      <c r="E102" s="6" t="s">
        <v>990</v>
      </c>
      <c r="F102" s="6" t="s">
        <v>991</v>
      </c>
      <c r="G102" s="2" t="n">
        <v>395</v>
      </c>
      <c r="H102" s="2"/>
    </row>
    <row r="103" customFormat="false" ht="15" hidden="false" customHeight="false" outlineLevel="0" collapsed="false">
      <c r="A103" s="2" t="s">
        <v>992</v>
      </c>
      <c r="B103" s="2" t="s">
        <v>993</v>
      </c>
      <c r="C103" s="2" t="s">
        <v>736</v>
      </c>
      <c r="D103" s="2" t="n">
        <v>1</v>
      </c>
      <c r="E103" s="6" t="s">
        <v>994</v>
      </c>
      <c r="F103" s="6" t="s">
        <v>995</v>
      </c>
      <c r="G103" s="2" t="n">
        <v>345</v>
      </c>
      <c r="H103" s="2"/>
    </row>
    <row r="104" customFormat="false" ht="15" hidden="false" customHeight="false" outlineLevel="0" collapsed="false">
      <c r="A104" s="2" t="s">
        <v>996</v>
      </c>
      <c r="B104" s="2" t="s">
        <v>997</v>
      </c>
      <c r="C104" s="2" t="s">
        <v>736</v>
      </c>
      <c r="D104" s="2" t="n">
        <v>1</v>
      </c>
      <c r="E104" s="6" t="s">
        <v>998</v>
      </c>
      <c r="F104" s="6" t="s">
        <v>999</v>
      </c>
      <c r="G104" s="2" t="n">
        <v>350</v>
      </c>
      <c r="H104" s="2"/>
    </row>
    <row r="105" customFormat="false" ht="15" hidden="false" customHeight="false" outlineLevel="0" collapsed="false">
      <c r="A105" s="2" t="s">
        <v>1000</v>
      </c>
      <c r="B105" s="2" t="s">
        <v>1001</v>
      </c>
      <c r="C105" s="2" t="s">
        <v>736</v>
      </c>
      <c r="D105" s="2" t="n">
        <v>1</v>
      </c>
      <c r="E105" s="6" t="s">
        <v>1002</v>
      </c>
      <c r="F105" s="6" t="s">
        <v>1003</v>
      </c>
      <c r="G105" s="2" t="n">
        <v>335</v>
      </c>
      <c r="H105" s="2"/>
    </row>
    <row r="106" customFormat="false" ht="15" hidden="false" customHeight="false" outlineLevel="0" collapsed="false">
      <c r="A106" s="2" t="s">
        <v>1004</v>
      </c>
      <c r="B106" s="2" t="s">
        <v>1005</v>
      </c>
      <c r="C106" s="2" t="s">
        <v>736</v>
      </c>
      <c r="D106" s="2" t="n">
        <v>1</v>
      </c>
      <c r="E106" s="6" t="s">
        <v>1006</v>
      </c>
      <c r="F106" s="6" t="s">
        <v>1007</v>
      </c>
      <c r="G106" s="2" t="n">
        <v>410</v>
      </c>
      <c r="H106" s="2"/>
    </row>
    <row r="107" customFormat="false" ht="15" hidden="false" customHeight="false" outlineLevel="0" collapsed="false">
      <c r="A107" s="2" t="s">
        <v>1008</v>
      </c>
      <c r="B107" s="2" t="s">
        <v>1009</v>
      </c>
      <c r="C107" s="2" t="s">
        <v>736</v>
      </c>
      <c r="D107" s="2" t="n">
        <v>1</v>
      </c>
      <c r="E107" s="6" t="s">
        <v>1010</v>
      </c>
      <c r="F107" s="6" t="s">
        <v>1011</v>
      </c>
      <c r="G107" s="2" t="n">
        <v>385</v>
      </c>
      <c r="H107" s="2"/>
    </row>
    <row r="108" customFormat="false" ht="15" hidden="false" customHeight="false" outlineLevel="0" collapsed="false">
      <c r="A108" s="2" t="s">
        <v>1012</v>
      </c>
      <c r="B108" s="2" t="s">
        <v>1013</v>
      </c>
      <c r="C108" s="2" t="s">
        <v>736</v>
      </c>
      <c r="D108" s="2" t="n">
        <v>1</v>
      </c>
      <c r="E108" s="6" t="s">
        <v>1014</v>
      </c>
      <c r="F108" s="6" t="s">
        <v>1015</v>
      </c>
      <c r="G108" s="2" t="n">
        <v>290</v>
      </c>
      <c r="H108" s="2"/>
    </row>
    <row r="109" customFormat="false" ht="15" hidden="false" customHeight="false" outlineLevel="0" collapsed="false">
      <c r="A109" s="2" t="s">
        <v>1016</v>
      </c>
      <c r="B109" s="2" t="s">
        <v>1017</v>
      </c>
      <c r="C109" s="2" t="s">
        <v>736</v>
      </c>
      <c r="D109" s="2" t="n">
        <v>1</v>
      </c>
      <c r="E109" s="6" t="s">
        <v>1018</v>
      </c>
      <c r="F109" s="6" t="s">
        <v>1019</v>
      </c>
      <c r="G109" s="2" t="n">
        <v>360</v>
      </c>
      <c r="H109" s="2"/>
    </row>
    <row r="110" customFormat="false" ht="15" hidden="false" customHeight="false" outlineLevel="0" collapsed="false">
      <c r="A110" s="2" t="s">
        <v>1020</v>
      </c>
      <c r="B110" s="2" t="s">
        <v>1021</v>
      </c>
      <c r="C110" s="2" t="s">
        <v>736</v>
      </c>
      <c r="D110" s="2" t="n">
        <v>1</v>
      </c>
      <c r="E110" s="6" t="s">
        <v>1022</v>
      </c>
      <c r="F110" s="6" t="s">
        <v>1023</v>
      </c>
      <c r="G110" s="2" t="n">
        <v>739</v>
      </c>
      <c r="H110" s="2" t="s">
        <v>939</v>
      </c>
    </row>
    <row r="111" customFormat="false" ht="15" hidden="false" customHeight="false" outlineLevel="0" collapsed="false">
      <c r="A111" s="2" t="s">
        <v>1024</v>
      </c>
      <c r="B111" s="2" t="s">
        <v>1025</v>
      </c>
      <c r="C111" s="2" t="s">
        <v>736</v>
      </c>
      <c r="D111" s="2" t="n">
        <v>1</v>
      </c>
      <c r="E111" s="6" t="s">
        <v>1026</v>
      </c>
      <c r="F111" s="6" t="s">
        <v>1027</v>
      </c>
      <c r="G111" s="2" t="n">
        <v>515</v>
      </c>
      <c r="H111" s="2" t="s">
        <v>1028</v>
      </c>
    </row>
    <row r="112" customFormat="false" ht="15" hidden="false" customHeight="false" outlineLevel="0" collapsed="false">
      <c r="A112" s="2" t="s">
        <v>1029</v>
      </c>
      <c r="B112" s="2" t="s">
        <v>1030</v>
      </c>
      <c r="C112" s="2" t="s">
        <v>736</v>
      </c>
      <c r="D112" s="2" t="n">
        <v>1</v>
      </c>
      <c r="E112" s="6" t="s">
        <v>1031</v>
      </c>
      <c r="F112" s="6" t="s">
        <v>1032</v>
      </c>
      <c r="G112" s="2" t="n">
        <v>590</v>
      </c>
      <c r="H112" s="2" t="s">
        <v>1033</v>
      </c>
    </row>
    <row r="113" customFormat="false" ht="15" hidden="false" customHeight="false" outlineLevel="0" collapsed="false">
      <c r="A113" s="2" t="s">
        <v>1034</v>
      </c>
      <c r="B113" s="2" t="s">
        <v>1035</v>
      </c>
      <c r="C113" s="2" t="s">
        <v>736</v>
      </c>
      <c r="D113" s="2" t="n">
        <v>1</v>
      </c>
      <c r="E113" s="6" t="s">
        <v>1036</v>
      </c>
      <c r="F113" s="6" t="s">
        <v>1037</v>
      </c>
      <c r="G113" s="2" t="n">
        <v>510</v>
      </c>
      <c r="H113" s="2"/>
    </row>
    <row r="114" customFormat="false" ht="15" hidden="false" customHeight="false" outlineLevel="0" collapsed="false">
      <c r="A114" s="2" t="s">
        <v>1038</v>
      </c>
      <c r="B114" s="2" t="s">
        <v>1039</v>
      </c>
      <c r="C114" s="2" t="s">
        <v>736</v>
      </c>
      <c r="D114" s="2" t="n">
        <v>1</v>
      </c>
      <c r="E114" s="6" t="s">
        <v>1040</v>
      </c>
      <c r="F114" s="6" t="s">
        <v>1041</v>
      </c>
      <c r="G114" s="2" t="n">
        <v>505</v>
      </c>
      <c r="H114" s="2"/>
    </row>
    <row r="115" customFormat="false" ht="15" hidden="false" customHeight="false" outlineLevel="0" collapsed="false">
      <c r="A115" s="2" t="s">
        <v>1042</v>
      </c>
      <c r="B115" s="2" t="s">
        <v>1043</v>
      </c>
      <c r="C115" s="2" t="s">
        <v>736</v>
      </c>
      <c r="D115" s="2" t="n">
        <v>1</v>
      </c>
      <c r="E115" s="6" t="s">
        <v>1044</v>
      </c>
      <c r="F115" s="6" t="s">
        <v>1045</v>
      </c>
      <c r="G115" s="2" t="n">
        <v>515</v>
      </c>
      <c r="H115" s="2"/>
    </row>
    <row r="116" customFormat="false" ht="15" hidden="false" customHeight="false" outlineLevel="0" collapsed="false">
      <c r="A116" s="2" t="s">
        <v>1046</v>
      </c>
      <c r="B116" s="2" t="s">
        <v>1047</v>
      </c>
      <c r="C116" s="2" t="s">
        <v>736</v>
      </c>
      <c r="D116" s="2" t="n">
        <v>1</v>
      </c>
      <c r="E116" s="6" t="s">
        <v>1048</v>
      </c>
      <c r="F116" s="6" t="s">
        <v>1049</v>
      </c>
      <c r="G116" s="2" t="n">
        <v>732</v>
      </c>
      <c r="H116" s="2" t="s">
        <v>1050</v>
      </c>
    </row>
    <row r="117" customFormat="false" ht="15" hidden="false" customHeight="false" outlineLevel="0" collapsed="false">
      <c r="A117" s="2" t="s">
        <v>1051</v>
      </c>
      <c r="B117" s="2" t="s">
        <v>1052</v>
      </c>
      <c r="C117" s="2" t="s">
        <v>736</v>
      </c>
      <c r="D117" s="2" t="n">
        <v>1</v>
      </c>
      <c r="E117" s="6" t="s">
        <v>1053</v>
      </c>
      <c r="F117" s="6" t="s">
        <v>1054</v>
      </c>
      <c r="G117" s="2" t="n">
        <v>440</v>
      </c>
      <c r="H117" s="2"/>
    </row>
    <row r="118" customFormat="false" ht="15" hidden="false" customHeight="false" outlineLevel="0" collapsed="false">
      <c r="A118" s="2" t="s">
        <v>1055</v>
      </c>
      <c r="B118" s="2" t="s">
        <v>1056</v>
      </c>
      <c r="C118" s="2" t="s">
        <v>736</v>
      </c>
      <c r="D118" s="2" t="n">
        <v>1</v>
      </c>
      <c r="E118" s="6" t="s">
        <v>1057</v>
      </c>
      <c r="F118" s="6" t="s">
        <v>1058</v>
      </c>
      <c r="G118" s="2" t="n">
        <v>505</v>
      </c>
      <c r="H118" s="2"/>
    </row>
    <row r="119" customFormat="false" ht="15" hidden="false" customHeight="false" outlineLevel="0" collapsed="false">
      <c r="A119" s="2" t="s">
        <v>1059</v>
      </c>
      <c r="B119" s="2" t="s">
        <v>1060</v>
      </c>
      <c r="C119" s="2" t="s">
        <v>736</v>
      </c>
      <c r="D119" s="2" t="n">
        <v>1</v>
      </c>
      <c r="E119" s="6" t="s">
        <v>1061</v>
      </c>
      <c r="F119" s="6" t="s">
        <v>1062</v>
      </c>
      <c r="G119" s="2" t="n">
        <v>490</v>
      </c>
      <c r="H119" s="2"/>
    </row>
    <row r="120" customFormat="false" ht="15" hidden="false" customHeight="false" outlineLevel="0" collapsed="false">
      <c r="A120" s="2" t="s">
        <v>1063</v>
      </c>
      <c r="B120" s="2" t="s">
        <v>1064</v>
      </c>
      <c r="C120" s="2" t="s">
        <v>736</v>
      </c>
      <c r="D120" s="2" t="n">
        <v>1</v>
      </c>
      <c r="E120" s="6" t="s">
        <v>1065</v>
      </c>
      <c r="F120" s="6" t="s">
        <v>1066</v>
      </c>
      <c r="G120" s="2" t="n">
        <v>525</v>
      </c>
      <c r="H120" s="2"/>
    </row>
    <row r="121" customFormat="false" ht="15" hidden="false" customHeight="false" outlineLevel="0" collapsed="false">
      <c r="A121" s="2" t="s">
        <v>1067</v>
      </c>
      <c r="B121" s="2" t="s">
        <v>1068</v>
      </c>
      <c r="C121" s="2" t="s">
        <v>736</v>
      </c>
      <c r="D121" s="2" t="n">
        <v>1</v>
      </c>
      <c r="E121" s="6" t="s">
        <v>1069</v>
      </c>
      <c r="F121" s="6" t="s">
        <v>1070</v>
      </c>
      <c r="G121" s="2" t="n">
        <v>505</v>
      </c>
      <c r="H121" s="2"/>
    </row>
    <row r="122" customFormat="false" ht="15" hidden="false" customHeight="false" outlineLevel="0" collapsed="false">
      <c r="A122" s="2" t="s">
        <v>1071</v>
      </c>
      <c r="B122" s="2" t="s">
        <v>1072</v>
      </c>
      <c r="C122" s="2" t="s">
        <v>736</v>
      </c>
      <c r="D122" s="2" t="n">
        <v>1</v>
      </c>
      <c r="E122" s="6" t="s">
        <v>1073</v>
      </c>
      <c r="F122" s="6" t="s">
        <v>1074</v>
      </c>
      <c r="G122" s="2" t="n">
        <v>485</v>
      </c>
      <c r="H122" s="2"/>
    </row>
    <row r="123" customFormat="false" ht="15" hidden="false" customHeight="false" outlineLevel="0" collapsed="false">
      <c r="A123" s="2" t="s">
        <v>1075</v>
      </c>
      <c r="B123" s="2" t="s">
        <v>1076</v>
      </c>
      <c r="C123" s="2" t="s">
        <v>736</v>
      </c>
      <c r="D123" s="2" t="n">
        <v>1</v>
      </c>
      <c r="E123" s="6" t="s">
        <v>1077</v>
      </c>
      <c r="F123" s="6" t="s">
        <v>1078</v>
      </c>
      <c r="G123" s="2" t="n">
        <v>490</v>
      </c>
      <c r="H123" s="2"/>
    </row>
    <row r="124" customFormat="false" ht="15" hidden="false" customHeight="false" outlineLevel="0" collapsed="false">
      <c r="A124" s="2" t="s">
        <v>1079</v>
      </c>
      <c r="B124" s="2" t="s">
        <v>1080</v>
      </c>
      <c r="C124" s="2" t="s">
        <v>736</v>
      </c>
      <c r="D124" s="2" t="n">
        <v>1</v>
      </c>
      <c r="E124" s="6" t="s">
        <v>1081</v>
      </c>
      <c r="F124" s="6" t="s">
        <v>1082</v>
      </c>
      <c r="G124" s="2" t="n">
        <v>455</v>
      </c>
      <c r="H124" s="2"/>
    </row>
    <row r="125" customFormat="false" ht="15" hidden="false" customHeight="false" outlineLevel="0" collapsed="false">
      <c r="A125" s="2" t="s">
        <v>1083</v>
      </c>
      <c r="B125" s="2" t="s">
        <v>1084</v>
      </c>
      <c r="C125" s="2" t="s">
        <v>736</v>
      </c>
      <c r="D125" s="2" t="n">
        <v>1</v>
      </c>
      <c r="E125" s="6" t="s">
        <v>1085</v>
      </c>
      <c r="F125" s="6" t="s">
        <v>1086</v>
      </c>
      <c r="G125" s="2" t="n">
        <v>500</v>
      </c>
      <c r="H125" s="2"/>
    </row>
    <row r="126" customFormat="false" ht="15" hidden="false" customHeight="false" outlineLevel="0" collapsed="false">
      <c r="A126" s="2" t="s">
        <v>1087</v>
      </c>
      <c r="B126" s="2" t="s">
        <v>1088</v>
      </c>
      <c r="C126" s="2" t="s">
        <v>736</v>
      </c>
      <c r="D126" s="2" t="n">
        <v>1</v>
      </c>
      <c r="E126" s="6" t="s">
        <v>1089</v>
      </c>
      <c r="F126" s="6" t="s">
        <v>1090</v>
      </c>
      <c r="G126" s="2" t="n">
        <v>470</v>
      </c>
      <c r="H126" s="2"/>
    </row>
    <row r="127" customFormat="false" ht="15" hidden="false" customHeight="false" outlineLevel="0" collapsed="false">
      <c r="A127" s="2" t="s">
        <v>1091</v>
      </c>
      <c r="B127" s="2" t="s">
        <v>1092</v>
      </c>
      <c r="C127" s="2" t="s">
        <v>736</v>
      </c>
      <c r="D127" s="2" t="n">
        <v>1</v>
      </c>
      <c r="E127" s="6" t="s">
        <v>1093</v>
      </c>
      <c r="F127" s="6" t="s">
        <v>1094</v>
      </c>
      <c r="G127" s="2" t="n">
        <v>430</v>
      </c>
      <c r="H127" s="2"/>
    </row>
    <row r="128" customFormat="false" ht="15" hidden="false" customHeight="false" outlineLevel="0" collapsed="false">
      <c r="A128" s="2" t="s">
        <v>1095</v>
      </c>
      <c r="B128" s="2" t="s">
        <v>1096</v>
      </c>
      <c r="C128" s="2" t="s">
        <v>736</v>
      </c>
      <c r="D128" s="2" t="n">
        <v>1</v>
      </c>
      <c r="E128" s="6" t="s">
        <v>1097</v>
      </c>
      <c r="F128" s="6" t="s">
        <v>1098</v>
      </c>
      <c r="G128" s="2" t="n">
        <v>460</v>
      </c>
      <c r="H128" s="2"/>
    </row>
    <row r="129" customFormat="false" ht="15" hidden="false" customHeight="false" outlineLevel="0" collapsed="false">
      <c r="A129" s="2" t="s">
        <v>1099</v>
      </c>
      <c r="B129" s="2" t="s">
        <v>1100</v>
      </c>
      <c r="C129" s="2" t="s">
        <v>736</v>
      </c>
      <c r="D129" s="2" t="n">
        <v>1</v>
      </c>
      <c r="E129" s="6" t="s">
        <v>1101</v>
      </c>
      <c r="F129" s="6" t="s">
        <v>1102</v>
      </c>
      <c r="G129" s="2" t="n">
        <v>465</v>
      </c>
      <c r="H129" s="2"/>
    </row>
    <row r="130" customFormat="false" ht="15" hidden="false" customHeight="false" outlineLevel="0" collapsed="false">
      <c r="A130" s="2" t="s">
        <v>1103</v>
      </c>
      <c r="B130" s="2" t="s">
        <v>1104</v>
      </c>
      <c r="C130" s="2" t="s">
        <v>736</v>
      </c>
      <c r="D130" s="2" t="n">
        <v>1</v>
      </c>
      <c r="E130" s="6" t="s">
        <v>1105</v>
      </c>
      <c r="F130" s="6" t="s">
        <v>1106</v>
      </c>
      <c r="G130" s="2" t="n">
        <v>430</v>
      </c>
      <c r="H130" s="2"/>
    </row>
    <row r="131" customFormat="false" ht="15" hidden="false" customHeight="false" outlineLevel="0" collapsed="false">
      <c r="A131" s="2" t="s">
        <v>1107</v>
      </c>
      <c r="B131" s="2" t="s">
        <v>1108</v>
      </c>
      <c r="C131" s="2" t="s">
        <v>736</v>
      </c>
      <c r="D131" s="2" t="n">
        <v>1</v>
      </c>
      <c r="E131" s="6" t="s">
        <v>1109</v>
      </c>
      <c r="F131" s="6" t="s">
        <v>1110</v>
      </c>
      <c r="G131" s="2" t="n">
        <v>460</v>
      </c>
      <c r="H131" s="2"/>
    </row>
    <row r="132" customFormat="false" ht="15" hidden="false" customHeight="false" outlineLevel="0" collapsed="false">
      <c r="A132" s="2" t="s">
        <v>1111</v>
      </c>
      <c r="B132" s="2" t="s">
        <v>1112</v>
      </c>
      <c r="C132" s="2" t="s">
        <v>736</v>
      </c>
      <c r="D132" s="2" t="n">
        <v>1</v>
      </c>
      <c r="E132" s="6" t="s">
        <v>1113</v>
      </c>
      <c r="F132" s="6" t="s">
        <v>1114</v>
      </c>
      <c r="G132" s="2" t="n">
        <v>450</v>
      </c>
      <c r="H132" s="2"/>
    </row>
    <row r="133" customFormat="false" ht="15" hidden="false" customHeight="false" outlineLevel="0" collapsed="false">
      <c r="A133" s="2" t="s">
        <v>1115</v>
      </c>
      <c r="B133" s="2" t="s">
        <v>1116</v>
      </c>
      <c r="C133" s="2" t="s">
        <v>736</v>
      </c>
      <c r="D133" s="2" t="n">
        <v>1</v>
      </c>
      <c r="E133" s="6" t="s">
        <v>1117</v>
      </c>
      <c r="F133" s="6" t="s">
        <v>1118</v>
      </c>
      <c r="G133" s="2" t="n">
        <v>455</v>
      </c>
      <c r="H133" s="2"/>
    </row>
    <row r="134" customFormat="false" ht="15" hidden="false" customHeight="false" outlineLevel="0" collapsed="false">
      <c r="A134" s="2" t="s">
        <v>1119</v>
      </c>
      <c r="B134" s="2" t="s">
        <v>1120</v>
      </c>
      <c r="C134" s="2" t="s">
        <v>736</v>
      </c>
      <c r="D134" s="2" t="n">
        <v>1</v>
      </c>
      <c r="E134" s="6" t="s">
        <v>1121</v>
      </c>
      <c r="F134" s="6" t="s">
        <v>1122</v>
      </c>
      <c r="G134" s="2" t="n">
        <v>410</v>
      </c>
      <c r="H134" s="2"/>
    </row>
    <row r="135" customFormat="false" ht="15" hidden="false" customHeight="false" outlineLevel="0" collapsed="false">
      <c r="A135" s="2" t="s">
        <v>1123</v>
      </c>
      <c r="B135" s="2" t="s">
        <v>1124</v>
      </c>
      <c r="C135" s="2" t="s">
        <v>736</v>
      </c>
      <c r="D135" s="2" t="n">
        <v>1</v>
      </c>
      <c r="E135" s="6" t="s">
        <v>1125</v>
      </c>
      <c r="F135" s="6" t="s">
        <v>1126</v>
      </c>
      <c r="G135" s="2" t="n">
        <v>450</v>
      </c>
      <c r="H135" s="2"/>
    </row>
    <row r="136" customFormat="false" ht="15" hidden="false" customHeight="false" outlineLevel="0" collapsed="false">
      <c r="A136" s="2" t="s">
        <v>1127</v>
      </c>
      <c r="B136" s="2" t="s">
        <v>1128</v>
      </c>
      <c r="C136" s="2" t="s">
        <v>736</v>
      </c>
      <c r="D136" s="2" t="n">
        <v>1</v>
      </c>
      <c r="E136" s="6" t="s">
        <v>1129</v>
      </c>
      <c r="F136" s="6" t="s">
        <v>1130</v>
      </c>
      <c r="G136" s="2" t="n">
        <v>445</v>
      </c>
      <c r="H136" s="2"/>
    </row>
    <row r="137" customFormat="false" ht="15" hidden="false" customHeight="false" outlineLevel="0" collapsed="false">
      <c r="A137" s="2" t="s">
        <v>1131</v>
      </c>
      <c r="B137" s="2" t="s">
        <v>1132</v>
      </c>
      <c r="C137" s="2" t="s">
        <v>736</v>
      </c>
      <c r="D137" s="2" t="n">
        <v>1</v>
      </c>
      <c r="E137" s="6" t="s">
        <v>1133</v>
      </c>
      <c r="F137" s="6" t="s">
        <v>1134</v>
      </c>
      <c r="G137" s="2" t="n">
        <v>450</v>
      </c>
      <c r="H137" s="2"/>
    </row>
    <row r="138" customFormat="false" ht="15" hidden="false" customHeight="false" outlineLevel="0" collapsed="false">
      <c r="A138" s="2" t="s">
        <v>1135</v>
      </c>
      <c r="B138" s="2" t="s">
        <v>1136</v>
      </c>
      <c r="C138" s="2" t="s">
        <v>736</v>
      </c>
      <c r="D138" s="2" t="n">
        <v>1</v>
      </c>
      <c r="E138" s="6" t="s">
        <v>1137</v>
      </c>
      <c r="F138" s="6" t="s">
        <v>1138</v>
      </c>
      <c r="G138" s="2" t="n">
        <v>435</v>
      </c>
      <c r="H138" s="2"/>
    </row>
    <row r="139" customFormat="false" ht="15" hidden="false" customHeight="false" outlineLevel="0" collapsed="false">
      <c r="A139" s="2" t="s">
        <v>1139</v>
      </c>
      <c r="B139" s="2" t="s">
        <v>1140</v>
      </c>
      <c r="C139" s="2" t="s">
        <v>736</v>
      </c>
      <c r="D139" s="2" t="n">
        <v>1</v>
      </c>
      <c r="E139" s="6" t="s">
        <v>1141</v>
      </c>
      <c r="F139" s="6" t="s">
        <v>1142</v>
      </c>
      <c r="G139" s="2" t="n">
        <v>475</v>
      </c>
      <c r="H139" s="2"/>
    </row>
    <row r="140" customFormat="false" ht="15" hidden="false" customHeight="false" outlineLevel="0" collapsed="false">
      <c r="A140" s="2" t="s">
        <v>1143</v>
      </c>
      <c r="B140" s="2" t="s">
        <v>1144</v>
      </c>
      <c r="C140" s="2" t="s">
        <v>736</v>
      </c>
      <c r="D140" s="2" t="n">
        <v>1</v>
      </c>
      <c r="E140" s="6" t="s">
        <v>1145</v>
      </c>
      <c r="F140" s="6" t="s">
        <v>1146</v>
      </c>
      <c r="G140" s="2" t="n">
        <v>375</v>
      </c>
      <c r="H140" s="2"/>
    </row>
    <row r="141" customFormat="false" ht="15" hidden="false" customHeight="false" outlineLevel="0" collapsed="false">
      <c r="A141" s="2" t="s">
        <v>1147</v>
      </c>
      <c r="B141" s="2" t="s">
        <v>1148</v>
      </c>
      <c r="C141" s="2" t="s">
        <v>736</v>
      </c>
      <c r="D141" s="2" t="n">
        <v>1</v>
      </c>
      <c r="E141" s="6" t="s">
        <v>1149</v>
      </c>
      <c r="F141" s="6" t="s">
        <v>1150</v>
      </c>
      <c r="G141" s="2" t="n">
        <v>395</v>
      </c>
      <c r="H141" s="2"/>
    </row>
    <row r="142" customFormat="false" ht="15" hidden="false" customHeight="false" outlineLevel="0" collapsed="false">
      <c r="A142" s="2" t="s">
        <v>1151</v>
      </c>
      <c r="B142" s="2" t="s">
        <v>1092</v>
      </c>
      <c r="C142" s="2" t="s">
        <v>736</v>
      </c>
      <c r="D142" s="2" t="n">
        <v>1</v>
      </c>
      <c r="E142" s="6" t="s">
        <v>1152</v>
      </c>
      <c r="F142" s="6" t="s">
        <v>1153</v>
      </c>
      <c r="G142" s="2" t="n">
        <v>345</v>
      </c>
      <c r="H142" s="2"/>
    </row>
    <row r="143" customFormat="false" ht="15" hidden="false" customHeight="false" outlineLevel="0" collapsed="false">
      <c r="A143" s="2" t="s">
        <v>1154</v>
      </c>
      <c r="B143" s="2" t="s">
        <v>1155</v>
      </c>
      <c r="C143" s="2" t="s">
        <v>736</v>
      </c>
      <c r="D143" s="2" t="n">
        <v>1</v>
      </c>
      <c r="E143" s="6" t="s">
        <v>1156</v>
      </c>
      <c r="F143" s="6" t="s">
        <v>1157</v>
      </c>
      <c r="G143" s="2" t="n">
        <v>365</v>
      </c>
      <c r="H143" s="2"/>
    </row>
    <row r="144" customFormat="false" ht="15" hidden="false" customHeight="false" outlineLevel="0" collapsed="false">
      <c r="A144" s="2" t="s">
        <v>1158</v>
      </c>
      <c r="B144" s="2" t="s">
        <v>1159</v>
      </c>
      <c r="C144" s="2" t="s">
        <v>736</v>
      </c>
      <c r="D144" s="2" t="n">
        <v>1</v>
      </c>
      <c r="E144" s="6" t="s">
        <v>1160</v>
      </c>
      <c r="F144" s="6" t="s">
        <v>1161</v>
      </c>
      <c r="G144" s="2" t="n">
        <v>350</v>
      </c>
      <c r="H144" s="2"/>
    </row>
    <row r="145" customFormat="false" ht="15" hidden="false" customHeight="false" outlineLevel="0" collapsed="false">
      <c r="A145" s="2" t="s">
        <v>1162</v>
      </c>
      <c r="B145" s="2" t="s">
        <v>1163</v>
      </c>
      <c r="C145" s="2" t="s">
        <v>736</v>
      </c>
      <c r="D145" s="2" t="n">
        <v>1</v>
      </c>
      <c r="E145" s="6" t="s">
        <v>1164</v>
      </c>
      <c r="F145" s="6" t="s">
        <v>1165</v>
      </c>
      <c r="G145" s="2" t="n">
        <v>395</v>
      </c>
      <c r="H145" s="2"/>
    </row>
    <row r="146" customFormat="false" ht="15" hidden="false" customHeight="false" outlineLevel="0" collapsed="false">
      <c r="A146" s="2" t="s">
        <v>1166</v>
      </c>
      <c r="B146" s="2" t="s">
        <v>1167</v>
      </c>
      <c r="C146" s="2" t="s">
        <v>736</v>
      </c>
      <c r="D146" s="2" t="n">
        <v>1</v>
      </c>
      <c r="E146" s="6" t="s">
        <v>1168</v>
      </c>
      <c r="F146" s="6" t="s">
        <v>1169</v>
      </c>
      <c r="G146" s="2" t="n">
        <v>390</v>
      </c>
      <c r="H146" s="2"/>
    </row>
    <row r="147" customFormat="false" ht="15" hidden="false" customHeight="false" outlineLevel="0" collapsed="false">
      <c r="A147" s="2" t="s">
        <v>1170</v>
      </c>
      <c r="B147" s="2" t="s">
        <v>1171</v>
      </c>
      <c r="C147" s="2" t="s">
        <v>736</v>
      </c>
      <c r="D147" s="2" t="n">
        <v>1</v>
      </c>
      <c r="E147" s="6" t="s">
        <v>1172</v>
      </c>
      <c r="F147" s="6" t="s">
        <v>1173</v>
      </c>
      <c r="G147" s="2" t="n">
        <v>390</v>
      </c>
      <c r="H147" s="2"/>
    </row>
    <row r="148" customFormat="false" ht="15" hidden="false" customHeight="false" outlineLevel="0" collapsed="false">
      <c r="A148" s="2" t="s">
        <v>1174</v>
      </c>
      <c r="B148" s="2" t="s">
        <v>1175</v>
      </c>
      <c r="C148" s="2" t="s">
        <v>736</v>
      </c>
      <c r="D148" s="2" t="n">
        <v>1</v>
      </c>
      <c r="E148" s="6" t="s">
        <v>1176</v>
      </c>
      <c r="F148" s="6" t="s">
        <v>1177</v>
      </c>
      <c r="G148" s="2" t="n">
        <v>150</v>
      </c>
      <c r="H148" s="2"/>
    </row>
    <row r="149" customFormat="false" ht="15" hidden="false" customHeight="false" outlineLevel="0" collapsed="false">
      <c r="A149" s="2" t="s">
        <v>1178</v>
      </c>
      <c r="B149" s="2" t="s">
        <v>1179</v>
      </c>
      <c r="C149" s="2" t="s">
        <v>736</v>
      </c>
      <c r="D149" s="2" t="n">
        <v>1</v>
      </c>
      <c r="E149" s="6" t="s">
        <v>1180</v>
      </c>
      <c r="F149" s="6" t="s">
        <v>1181</v>
      </c>
      <c r="G149" s="2" t="n">
        <v>480</v>
      </c>
      <c r="H149" s="2"/>
    </row>
    <row r="150" customFormat="false" ht="15" hidden="false" customHeight="false" outlineLevel="0" collapsed="false">
      <c r="A150" s="2" t="s">
        <v>1182</v>
      </c>
      <c r="B150" s="2" t="s">
        <v>1183</v>
      </c>
      <c r="C150" s="2" t="s">
        <v>736</v>
      </c>
      <c r="D150" s="2" t="n">
        <v>1</v>
      </c>
      <c r="E150" s="6" t="s">
        <v>1184</v>
      </c>
      <c r="F150" s="6" t="s">
        <v>1185</v>
      </c>
      <c r="G150" s="2" t="n">
        <v>435</v>
      </c>
      <c r="H150" s="2"/>
    </row>
    <row r="151" customFormat="false" ht="15" hidden="false" customHeight="false" outlineLevel="0" collapsed="false">
      <c r="A151" s="2" t="s">
        <v>1186</v>
      </c>
      <c r="B151" s="2" t="s">
        <v>1187</v>
      </c>
      <c r="C151" s="2" t="s">
        <v>736</v>
      </c>
      <c r="D151" s="2" t="n">
        <v>1</v>
      </c>
      <c r="E151" s="6" t="s">
        <v>1188</v>
      </c>
      <c r="F151" s="6" t="s">
        <v>1189</v>
      </c>
      <c r="G151" s="2" t="n">
        <v>415</v>
      </c>
      <c r="H151" s="2"/>
    </row>
    <row r="152" customFormat="false" ht="15" hidden="false" customHeight="false" outlineLevel="0" collapsed="false">
      <c r="A152" s="2" t="s">
        <v>1190</v>
      </c>
      <c r="B152" s="2" t="s">
        <v>1191</v>
      </c>
      <c r="C152" s="2" t="s">
        <v>736</v>
      </c>
      <c r="D152" s="2" t="n">
        <v>1</v>
      </c>
      <c r="E152" s="6" t="s">
        <v>1192</v>
      </c>
      <c r="F152" s="6" t="s">
        <v>1193</v>
      </c>
      <c r="G152" s="2" t="n">
        <v>430</v>
      </c>
      <c r="H152" s="2"/>
    </row>
    <row r="153" customFormat="false" ht="15" hidden="false" customHeight="false" outlineLevel="0" collapsed="false">
      <c r="A153" s="2" t="s">
        <v>1194</v>
      </c>
      <c r="B153" s="2" t="s">
        <v>1195</v>
      </c>
      <c r="C153" s="2" t="s">
        <v>736</v>
      </c>
      <c r="D153" s="2" t="n">
        <v>1</v>
      </c>
      <c r="E153" s="6" t="s">
        <v>1196</v>
      </c>
      <c r="F153" s="6" t="s">
        <v>1197</v>
      </c>
      <c r="G153" s="2" t="n">
        <v>455</v>
      </c>
      <c r="H153" s="2"/>
    </row>
    <row r="154" customFormat="false" ht="15" hidden="false" customHeight="false" outlineLevel="0" collapsed="false">
      <c r="A154" s="2" t="s">
        <v>1198</v>
      </c>
      <c r="B154" s="2" t="s">
        <v>1199</v>
      </c>
      <c r="C154" s="2" t="s">
        <v>736</v>
      </c>
      <c r="D154" s="2" t="n">
        <v>1</v>
      </c>
      <c r="E154" s="6" t="s">
        <v>1200</v>
      </c>
      <c r="F154" s="6" t="s">
        <v>1201</v>
      </c>
      <c r="G154" s="2" t="n">
        <v>533</v>
      </c>
      <c r="H154" s="2" t="s">
        <v>761</v>
      </c>
    </row>
    <row r="155" customFormat="false" ht="15" hidden="false" customHeight="false" outlineLevel="0" collapsed="false">
      <c r="A155" s="2" t="s">
        <v>1202</v>
      </c>
      <c r="B155" s="2" t="s">
        <v>1203</v>
      </c>
      <c r="C155" s="2" t="s">
        <v>736</v>
      </c>
      <c r="D155" s="2" t="n">
        <v>1</v>
      </c>
      <c r="E155" s="6" t="s">
        <v>1204</v>
      </c>
      <c r="F155" s="6" t="s">
        <v>1205</v>
      </c>
      <c r="G155" s="2" t="n">
        <v>370</v>
      </c>
      <c r="H155" s="2"/>
    </row>
    <row r="156" customFormat="false" ht="15" hidden="false" customHeight="false" outlineLevel="0" collapsed="false">
      <c r="A156" s="2" t="s">
        <v>1206</v>
      </c>
      <c r="B156" s="2" t="s">
        <v>1207</v>
      </c>
      <c r="C156" s="2" t="s">
        <v>736</v>
      </c>
      <c r="D156" s="2" t="n">
        <v>1</v>
      </c>
      <c r="E156" s="6" t="s">
        <v>1208</v>
      </c>
      <c r="F156" s="6" t="s">
        <v>1209</v>
      </c>
      <c r="G156" s="2" t="n">
        <v>430</v>
      </c>
      <c r="H156" s="2"/>
    </row>
    <row r="157" customFormat="false" ht="15" hidden="false" customHeight="false" outlineLevel="0" collapsed="false">
      <c r="A157" s="2" t="s">
        <v>1210</v>
      </c>
      <c r="B157" s="2" t="s">
        <v>1211</v>
      </c>
      <c r="C157" s="2" t="s">
        <v>736</v>
      </c>
      <c r="D157" s="2" t="n">
        <v>1</v>
      </c>
      <c r="E157" s="6" t="s">
        <v>1212</v>
      </c>
      <c r="F157" s="6" t="s">
        <v>1213</v>
      </c>
      <c r="G157" s="2" t="n">
        <v>430</v>
      </c>
      <c r="H157" s="2"/>
    </row>
    <row r="158" customFormat="false" ht="15" hidden="false" customHeight="false" outlineLevel="0" collapsed="false">
      <c r="A158" s="2" t="s">
        <v>1214</v>
      </c>
      <c r="B158" s="2" t="s">
        <v>1215</v>
      </c>
      <c r="C158" s="2" t="s">
        <v>736</v>
      </c>
      <c r="D158" s="2" t="n">
        <v>1</v>
      </c>
      <c r="E158" s="6" t="s">
        <v>1216</v>
      </c>
      <c r="F158" s="6" t="s">
        <v>1217</v>
      </c>
      <c r="G158" s="2" t="n">
        <v>405</v>
      </c>
      <c r="H158" s="2"/>
    </row>
    <row r="159" customFormat="false" ht="15" hidden="false" customHeight="false" outlineLevel="0" collapsed="false">
      <c r="A159" s="2" t="s">
        <v>1218</v>
      </c>
      <c r="B159" s="2" t="s">
        <v>1219</v>
      </c>
      <c r="C159" s="2" t="s">
        <v>736</v>
      </c>
      <c r="D159" s="2" t="n">
        <v>1</v>
      </c>
      <c r="E159" s="6" t="s">
        <v>1220</v>
      </c>
      <c r="F159" s="6" t="s">
        <v>1221</v>
      </c>
      <c r="G159" s="2" t="n">
        <v>160</v>
      </c>
      <c r="H159" s="2"/>
    </row>
    <row r="160" customFormat="false" ht="15" hidden="false" customHeight="false" outlineLevel="0" collapsed="false">
      <c r="A160" s="2" t="s">
        <v>1222</v>
      </c>
      <c r="B160" s="2" t="s">
        <v>1223</v>
      </c>
      <c r="C160" s="2" t="s">
        <v>736</v>
      </c>
      <c r="D160" s="2" t="n">
        <v>1</v>
      </c>
      <c r="E160" s="6" t="s">
        <v>1224</v>
      </c>
      <c r="F160" s="6" t="s">
        <v>1225</v>
      </c>
      <c r="G160" s="2" t="n">
        <v>390</v>
      </c>
      <c r="H160" s="2"/>
    </row>
    <row r="161" customFormat="false" ht="15" hidden="false" customHeight="false" outlineLevel="0" collapsed="false">
      <c r="A161" s="2" t="s">
        <v>1226</v>
      </c>
      <c r="B161" s="2" t="s">
        <v>1227</v>
      </c>
      <c r="C161" s="2" t="s">
        <v>736</v>
      </c>
      <c r="D161" s="2" t="n">
        <v>1</v>
      </c>
      <c r="E161" s="6" t="s">
        <v>1228</v>
      </c>
      <c r="F161" s="6" t="s">
        <v>1229</v>
      </c>
      <c r="G161" s="2" t="n">
        <v>370</v>
      </c>
      <c r="H161" s="2"/>
    </row>
    <row r="162" customFormat="false" ht="15" hidden="false" customHeight="false" outlineLevel="0" collapsed="false">
      <c r="A162" s="2" t="s">
        <v>1230</v>
      </c>
      <c r="B162" s="2" t="s">
        <v>1231</v>
      </c>
      <c r="C162" s="2" t="s">
        <v>736</v>
      </c>
      <c r="D162" s="2" t="n">
        <v>1</v>
      </c>
      <c r="E162" s="6" t="s">
        <v>1232</v>
      </c>
      <c r="F162" s="6" t="s">
        <v>1233</v>
      </c>
      <c r="G162" s="2" t="n">
        <v>385</v>
      </c>
      <c r="H162" s="2"/>
    </row>
    <row r="163" customFormat="false" ht="15" hidden="false" customHeight="false" outlineLevel="0" collapsed="false">
      <c r="A163" s="2" t="s">
        <v>1234</v>
      </c>
      <c r="B163" s="2" t="s">
        <v>1235</v>
      </c>
      <c r="C163" s="2" t="s">
        <v>736</v>
      </c>
      <c r="D163" s="2" t="n">
        <v>1</v>
      </c>
      <c r="E163" s="6" t="s">
        <v>1236</v>
      </c>
      <c r="F163" s="6" t="s">
        <v>1237</v>
      </c>
      <c r="G163" s="2" t="n">
        <v>375</v>
      </c>
      <c r="H163" s="2"/>
    </row>
    <row r="164" customFormat="false" ht="15" hidden="false" customHeight="false" outlineLevel="0" collapsed="false">
      <c r="A164" s="2" t="s">
        <v>1238</v>
      </c>
      <c r="B164" s="2" t="s">
        <v>1239</v>
      </c>
      <c r="C164" s="2" t="s">
        <v>736</v>
      </c>
      <c r="D164" s="2" t="n">
        <v>1</v>
      </c>
      <c r="E164" s="6" t="s">
        <v>1240</v>
      </c>
      <c r="F164" s="6" t="s">
        <v>1241</v>
      </c>
      <c r="G164" s="2" t="n">
        <v>375</v>
      </c>
      <c r="H164" s="2"/>
    </row>
    <row r="165" customFormat="false" ht="15" hidden="false" customHeight="false" outlineLevel="0" collapsed="false">
      <c r="A165" s="2" t="s">
        <v>1242</v>
      </c>
      <c r="B165" s="2" t="s">
        <v>1243</v>
      </c>
      <c r="C165" s="2" t="s">
        <v>736</v>
      </c>
      <c r="D165" s="2" t="n">
        <v>1</v>
      </c>
      <c r="E165" s="6" t="s">
        <v>1244</v>
      </c>
      <c r="F165" s="6" t="s">
        <v>1245</v>
      </c>
      <c r="G165" s="2" t="n">
        <v>420</v>
      </c>
      <c r="H165" s="2"/>
    </row>
    <row r="166" customFormat="false" ht="15" hidden="false" customHeight="false" outlineLevel="0" collapsed="false">
      <c r="A166" s="2" t="s">
        <v>1246</v>
      </c>
      <c r="B166" s="2" t="s">
        <v>1247</v>
      </c>
      <c r="C166" s="2" t="s">
        <v>736</v>
      </c>
      <c r="D166" s="2" t="n">
        <v>1</v>
      </c>
      <c r="E166" s="6" t="s">
        <v>1248</v>
      </c>
      <c r="F166" s="6" t="s">
        <v>1249</v>
      </c>
      <c r="G166" s="2" t="n">
        <v>340</v>
      </c>
      <c r="H166" s="2"/>
    </row>
    <row r="167" customFormat="false" ht="15" hidden="false" customHeight="false" outlineLevel="0" collapsed="false">
      <c r="A167" s="2" t="s">
        <v>1250</v>
      </c>
      <c r="B167" s="2" t="s">
        <v>1251</v>
      </c>
      <c r="C167" s="2" t="s">
        <v>736</v>
      </c>
      <c r="D167" s="2" t="n">
        <v>1</v>
      </c>
      <c r="E167" s="6" t="s">
        <v>1252</v>
      </c>
      <c r="F167" s="6" t="s">
        <v>1253</v>
      </c>
      <c r="G167" s="2" t="n">
        <v>370</v>
      </c>
      <c r="H167" s="2"/>
    </row>
    <row r="168" customFormat="false" ht="15" hidden="false" customHeight="false" outlineLevel="0" collapsed="false">
      <c r="A168" s="2" t="s">
        <v>1254</v>
      </c>
      <c r="B168" s="2" t="s">
        <v>1255</v>
      </c>
      <c r="C168" s="2" t="s">
        <v>736</v>
      </c>
      <c r="D168" s="2" t="n">
        <v>1</v>
      </c>
      <c r="E168" s="6" t="s">
        <v>1256</v>
      </c>
      <c r="F168" s="6" t="s">
        <v>1257</v>
      </c>
      <c r="G168" s="2" t="n">
        <v>360</v>
      </c>
      <c r="H168" s="2"/>
    </row>
    <row r="169" customFormat="false" ht="15" hidden="false" customHeight="false" outlineLevel="0" collapsed="false">
      <c r="A169" s="2" t="s">
        <v>1258</v>
      </c>
      <c r="B169" s="2" t="s">
        <v>1259</v>
      </c>
      <c r="C169" s="2" t="s">
        <v>736</v>
      </c>
      <c r="D169" s="2" t="n">
        <v>1</v>
      </c>
      <c r="E169" s="6" t="s">
        <v>1260</v>
      </c>
      <c r="F169" s="6" t="s">
        <v>1261</v>
      </c>
      <c r="G169" s="2" t="n">
        <v>250</v>
      </c>
      <c r="H169" s="2"/>
    </row>
    <row r="170" customFormat="false" ht="15" hidden="false" customHeight="false" outlineLevel="0" collapsed="false">
      <c r="A170" s="2" t="s">
        <v>1262</v>
      </c>
      <c r="B170" s="2" t="s">
        <v>1263</v>
      </c>
      <c r="C170" s="2" t="s">
        <v>736</v>
      </c>
      <c r="D170" s="2" t="n">
        <v>1</v>
      </c>
      <c r="E170" s="6" t="s">
        <v>1264</v>
      </c>
      <c r="F170" s="6" t="s">
        <v>1265</v>
      </c>
      <c r="G170" s="2" t="n">
        <v>430</v>
      </c>
      <c r="H170" s="2"/>
    </row>
    <row r="171" customFormat="false" ht="15" hidden="false" customHeight="false" outlineLevel="0" collapsed="false">
      <c r="A171" s="2" t="s">
        <v>1266</v>
      </c>
      <c r="B171" s="2" t="s">
        <v>1267</v>
      </c>
      <c r="C171" s="2" t="s">
        <v>736</v>
      </c>
      <c r="D171" s="2" t="n">
        <v>1</v>
      </c>
      <c r="E171" s="6" t="s">
        <v>1268</v>
      </c>
      <c r="F171" s="6" t="s">
        <v>1269</v>
      </c>
      <c r="G171" s="2" t="n">
        <v>365</v>
      </c>
      <c r="H171" s="2"/>
    </row>
    <row r="172" customFormat="false" ht="15" hidden="false" customHeight="false" outlineLevel="0" collapsed="false">
      <c r="A172" s="2" t="s">
        <v>1270</v>
      </c>
      <c r="B172" s="2" t="s">
        <v>1271</v>
      </c>
      <c r="C172" s="2" t="s">
        <v>736</v>
      </c>
      <c r="D172" s="2" t="n">
        <v>1</v>
      </c>
      <c r="E172" s="6" t="s">
        <v>1272</v>
      </c>
      <c r="F172" s="6" t="s">
        <v>1273</v>
      </c>
      <c r="G172" s="2" t="n">
        <v>400</v>
      </c>
      <c r="H172" s="2"/>
    </row>
    <row r="173" customFormat="false" ht="15" hidden="false" customHeight="false" outlineLevel="0" collapsed="false">
      <c r="A173" s="2" t="s">
        <v>1274</v>
      </c>
      <c r="B173" s="2" t="s">
        <v>1275</v>
      </c>
      <c r="C173" s="2" t="s">
        <v>736</v>
      </c>
      <c r="D173" s="2" t="n">
        <v>1</v>
      </c>
      <c r="E173" s="6" t="s">
        <v>1276</v>
      </c>
      <c r="F173" s="6" t="s">
        <v>1277</v>
      </c>
      <c r="G173" s="2" t="n">
        <v>155</v>
      </c>
      <c r="H173" s="2"/>
    </row>
    <row r="174" customFormat="false" ht="15" hidden="false" customHeight="false" outlineLevel="0" collapsed="false">
      <c r="A174" s="2" t="s">
        <v>1278</v>
      </c>
      <c r="B174" s="2" t="s">
        <v>1279</v>
      </c>
      <c r="C174" s="2" t="s">
        <v>736</v>
      </c>
      <c r="D174" s="2" t="n">
        <v>1</v>
      </c>
      <c r="E174" s="6" t="s">
        <v>1280</v>
      </c>
      <c r="F174" s="6" t="s">
        <v>1281</v>
      </c>
      <c r="G174" s="2" t="n">
        <v>45</v>
      </c>
      <c r="H174" s="2" t="s">
        <v>1282</v>
      </c>
    </row>
    <row r="175" customFormat="false" ht="15" hidden="false" customHeight="false" outlineLevel="0" collapsed="false">
      <c r="A175" s="2" t="s">
        <v>1283</v>
      </c>
      <c r="B175" s="2" t="s">
        <v>1284</v>
      </c>
      <c r="C175" s="2" t="s">
        <v>736</v>
      </c>
      <c r="D175" s="2" t="n">
        <v>1</v>
      </c>
      <c r="E175" s="6" t="s">
        <v>1285</v>
      </c>
      <c r="F175" s="6" t="s">
        <v>1286</v>
      </c>
      <c r="G175" s="2" t="n">
        <v>385</v>
      </c>
      <c r="H175" s="2"/>
    </row>
    <row r="176" customFormat="false" ht="15" hidden="false" customHeight="false" outlineLevel="0" collapsed="false">
      <c r="A176" s="2" t="s">
        <v>1287</v>
      </c>
      <c r="B176" s="2" t="s">
        <v>1288</v>
      </c>
      <c r="C176" s="2" t="s">
        <v>736</v>
      </c>
      <c r="D176" s="2" t="n">
        <v>1</v>
      </c>
      <c r="E176" s="6" t="s">
        <v>1289</v>
      </c>
      <c r="F176" s="6" t="s">
        <v>1290</v>
      </c>
      <c r="G176" s="2" t="n">
        <v>370</v>
      </c>
      <c r="H176" s="2"/>
    </row>
    <row r="177" customFormat="false" ht="15" hidden="false" customHeight="false" outlineLevel="0" collapsed="false">
      <c r="A177" s="2" t="s">
        <v>1291</v>
      </c>
      <c r="B177" s="2" t="s">
        <v>1292</v>
      </c>
      <c r="C177" s="2" t="s">
        <v>736</v>
      </c>
      <c r="D177" s="2" t="n">
        <v>1</v>
      </c>
      <c r="E177" s="6" t="s">
        <v>1293</v>
      </c>
      <c r="F177" s="6" t="s">
        <v>1294</v>
      </c>
      <c r="G177" s="2" t="n">
        <v>410</v>
      </c>
      <c r="H177" s="2"/>
    </row>
    <row r="178" customFormat="false" ht="15" hidden="false" customHeight="false" outlineLevel="0" collapsed="false">
      <c r="A178" s="2" t="s">
        <v>1295</v>
      </c>
      <c r="B178" s="2" t="s">
        <v>1296</v>
      </c>
      <c r="C178" s="2" t="s">
        <v>736</v>
      </c>
      <c r="D178" s="2" t="n">
        <v>1</v>
      </c>
      <c r="E178" s="6" t="s">
        <v>1297</v>
      </c>
      <c r="F178" s="6" t="s">
        <v>1298</v>
      </c>
      <c r="G178" s="2" t="n">
        <v>400</v>
      </c>
      <c r="H178" s="2"/>
    </row>
    <row r="179" customFormat="false" ht="15" hidden="false" customHeight="false" outlineLevel="0" collapsed="false">
      <c r="A179" s="2" t="s">
        <v>1299</v>
      </c>
      <c r="B179" s="2" t="s">
        <v>1300</v>
      </c>
      <c r="C179" s="2" t="s">
        <v>736</v>
      </c>
      <c r="D179" s="2" t="n">
        <v>1</v>
      </c>
      <c r="E179" s="6" t="s">
        <v>1301</v>
      </c>
      <c r="F179" s="6" t="s">
        <v>1302</v>
      </c>
      <c r="G179" s="2" t="n">
        <v>395</v>
      </c>
      <c r="H179" s="2"/>
    </row>
    <row r="180" customFormat="false" ht="15" hidden="false" customHeight="false" outlineLevel="0" collapsed="false">
      <c r="A180" s="2" t="s">
        <v>1303</v>
      </c>
      <c r="B180" s="2" t="s">
        <v>1304</v>
      </c>
      <c r="C180" s="2" t="s">
        <v>736</v>
      </c>
      <c r="D180" s="2" t="n">
        <v>1</v>
      </c>
      <c r="E180" s="6" t="s">
        <v>1305</v>
      </c>
      <c r="F180" s="6" t="s">
        <v>1306</v>
      </c>
      <c r="G180" s="2" t="n">
        <v>390</v>
      </c>
      <c r="H180" s="2"/>
    </row>
    <row r="181" customFormat="false" ht="15" hidden="false" customHeight="false" outlineLevel="0" collapsed="false">
      <c r="A181" s="2" t="s">
        <v>1307</v>
      </c>
      <c r="B181" s="2" t="s">
        <v>1308</v>
      </c>
      <c r="C181" s="2" t="s">
        <v>736</v>
      </c>
      <c r="D181" s="2" t="n">
        <v>1</v>
      </c>
      <c r="E181" s="6" t="s">
        <v>1309</v>
      </c>
      <c r="F181" s="6" t="s">
        <v>1310</v>
      </c>
      <c r="G181" s="2" t="n">
        <v>415</v>
      </c>
      <c r="H181" s="2"/>
    </row>
    <row r="182" customFormat="false" ht="15" hidden="false" customHeight="false" outlineLevel="0" collapsed="false">
      <c r="A182" s="2" t="s">
        <v>1311</v>
      </c>
      <c r="B182" s="2" t="s">
        <v>1312</v>
      </c>
      <c r="C182" s="2" t="s">
        <v>736</v>
      </c>
      <c r="D182" s="2" t="n">
        <v>1</v>
      </c>
      <c r="E182" s="6" t="s">
        <v>1313</v>
      </c>
      <c r="F182" s="6" t="s">
        <v>1314</v>
      </c>
      <c r="G182" s="2" t="n">
        <v>80</v>
      </c>
      <c r="H182" s="2"/>
    </row>
    <row r="183" customFormat="false" ht="15" hidden="false" customHeight="false" outlineLevel="0" collapsed="false">
      <c r="A183" s="2" t="s">
        <v>1315</v>
      </c>
      <c r="B183" s="2" t="s">
        <v>1316</v>
      </c>
      <c r="C183" s="2" t="s">
        <v>736</v>
      </c>
      <c r="D183" s="2" t="n">
        <v>1</v>
      </c>
      <c r="E183" s="6" t="s">
        <v>1317</v>
      </c>
      <c r="F183" s="6" t="s">
        <v>1318</v>
      </c>
      <c r="G183" s="2" t="n">
        <v>60</v>
      </c>
      <c r="H183" s="2"/>
    </row>
    <row r="184" customFormat="false" ht="15" hidden="false" customHeight="false" outlineLevel="0" collapsed="false">
      <c r="A184" s="2" t="s">
        <v>1319</v>
      </c>
      <c r="B184" s="2" t="s">
        <v>1320</v>
      </c>
      <c r="C184" s="2" t="s">
        <v>736</v>
      </c>
      <c r="D184" s="2" t="n">
        <v>1</v>
      </c>
      <c r="E184" s="6" t="s">
        <v>1321</v>
      </c>
      <c r="F184" s="6" t="s">
        <v>1322</v>
      </c>
      <c r="G184" s="2" t="n">
        <v>70</v>
      </c>
      <c r="H184" s="2"/>
    </row>
    <row r="185" customFormat="false" ht="15" hidden="false" customHeight="false" outlineLevel="0" collapsed="false">
      <c r="A185" s="2" t="s">
        <v>1323</v>
      </c>
      <c r="B185" s="2" t="s">
        <v>1324</v>
      </c>
      <c r="C185" s="2" t="s">
        <v>736</v>
      </c>
      <c r="D185" s="2" t="n">
        <v>1</v>
      </c>
      <c r="E185" s="6" t="s">
        <v>1325</v>
      </c>
      <c r="F185" s="6" t="s">
        <v>1326</v>
      </c>
      <c r="G185" s="2" t="n">
        <v>120</v>
      </c>
      <c r="H185" s="2"/>
    </row>
    <row r="186" customFormat="false" ht="15" hidden="false" customHeight="false" outlineLevel="0" collapsed="false">
      <c r="A186" s="2" t="s">
        <v>1327</v>
      </c>
      <c r="B186" s="2" t="s">
        <v>1328</v>
      </c>
      <c r="C186" s="2" t="s">
        <v>736</v>
      </c>
      <c r="D186" s="2" t="n">
        <v>1</v>
      </c>
      <c r="E186" s="6" t="s">
        <v>1329</v>
      </c>
      <c r="F186" s="6" t="s">
        <v>1330</v>
      </c>
      <c r="G186" s="2" t="n">
        <v>35</v>
      </c>
      <c r="H186" s="2"/>
    </row>
    <row r="187" customFormat="false" ht="15" hidden="false" customHeight="false" outlineLevel="0" collapsed="false">
      <c r="A187" s="2" t="s">
        <v>1331</v>
      </c>
      <c r="B187" s="2" t="s">
        <v>1332</v>
      </c>
      <c r="C187" s="2" t="s">
        <v>736</v>
      </c>
      <c r="D187" s="2" t="n">
        <v>1</v>
      </c>
      <c r="E187" s="6" t="s">
        <v>1333</v>
      </c>
      <c r="F187" s="6" t="s">
        <v>1334</v>
      </c>
      <c r="G187" s="2" t="n">
        <v>155</v>
      </c>
      <c r="H187" s="2"/>
    </row>
    <row r="188" customFormat="false" ht="15" hidden="false" customHeight="false" outlineLevel="0" collapsed="false">
      <c r="A188" s="2" t="s">
        <v>1335</v>
      </c>
      <c r="B188" s="2" t="s">
        <v>1336</v>
      </c>
      <c r="C188" s="2" t="s">
        <v>736</v>
      </c>
      <c r="D188" s="2" t="n">
        <v>1</v>
      </c>
      <c r="E188" s="6" t="s">
        <v>1337</v>
      </c>
      <c r="F188" s="6" t="s">
        <v>1338</v>
      </c>
      <c r="G188" s="2" t="n">
        <v>100</v>
      </c>
      <c r="H188" s="2"/>
    </row>
    <row r="189" customFormat="false" ht="15" hidden="false" customHeight="false" outlineLevel="0" collapsed="false">
      <c r="A189" s="2" t="s">
        <v>1339</v>
      </c>
      <c r="B189" s="2" t="s">
        <v>1340</v>
      </c>
      <c r="C189" s="2" t="s">
        <v>736</v>
      </c>
      <c r="D189" s="2" t="n">
        <v>1</v>
      </c>
      <c r="E189" s="6" t="s">
        <v>1341</v>
      </c>
      <c r="F189" s="6" t="s">
        <v>1342</v>
      </c>
      <c r="G189" s="2" t="n">
        <v>105</v>
      </c>
      <c r="H189" s="2"/>
    </row>
    <row r="190" customFormat="false" ht="15" hidden="false" customHeight="false" outlineLevel="0" collapsed="false">
      <c r="A190" s="2" t="s">
        <v>1343</v>
      </c>
      <c r="B190" s="2" t="s">
        <v>1344</v>
      </c>
      <c r="C190" s="2" t="s">
        <v>736</v>
      </c>
      <c r="D190" s="2" t="n">
        <v>1</v>
      </c>
      <c r="E190" s="6" t="s">
        <v>1345</v>
      </c>
      <c r="F190" s="6" t="s">
        <v>1346</v>
      </c>
      <c r="G190" s="2" t="n">
        <v>170</v>
      </c>
      <c r="H190" s="2"/>
    </row>
    <row r="191" customFormat="false" ht="15" hidden="false" customHeight="false" outlineLevel="0" collapsed="false">
      <c r="A191" s="2" t="s">
        <v>1347</v>
      </c>
      <c r="B191" s="2" t="s">
        <v>1348</v>
      </c>
      <c r="C191" s="2" t="s">
        <v>736</v>
      </c>
      <c r="D191" s="2" t="n">
        <v>1</v>
      </c>
      <c r="E191" s="6" t="s">
        <v>1349</v>
      </c>
      <c r="F191" s="6" t="s">
        <v>1350</v>
      </c>
      <c r="G191" s="2" t="n">
        <v>140</v>
      </c>
      <c r="H191" s="2"/>
    </row>
    <row r="192" customFormat="false" ht="15" hidden="false" customHeight="false" outlineLevel="0" collapsed="false">
      <c r="A192" s="2" t="s">
        <v>1351</v>
      </c>
      <c r="B192" s="2" t="s">
        <v>1352</v>
      </c>
      <c r="C192" s="2" t="s">
        <v>736</v>
      </c>
      <c r="D192" s="2" t="n">
        <v>1</v>
      </c>
      <c r="E192" s="6" t="s">
        <v>1353</v>
      </c>
      <c r="F192" s="6" t="s">
        <v>1354</v>
      </c>
      <c r="G192" s="2" t="n">
        <v>140</v>
      </c>
      <c r="H192" s="2"/>
    </row>
    <row r="193" customFormat="false" ht="15" hidden="false" customHeight="false" outlineLevel="0" collapsed="false">
      <c r="A193" s="2" t="s">
        <v>1355</v>
      </c>
      <c r="B193" s="2" t="s">
        <v>1356</v>
      </c>
      <c r="C193" s="2" t="s">
        <v>736</v>
      </c>
      <c r="D193" s="2" t="n">
        <v>1</v>
      </c>
      <c r="E193" s="6" t="s">
        <v>1357</v>
      </c>
      <c r="F193" s="6" t="s">
        <v>1358</v>
      </c>
      <c r="G193" s="2" t="n">
        <v>120</v>
      </c>
      <c r="H193" s="2"/>
    </row>
    <row r="194" customFormat="false" ht="15" hidden="false" customHeight="false" outlineLevel="0" collapsed="false">
      <c r="A194" s="2" t="s">
        <v>1359</v>
      </c>
      <c r="B194" s="2" t="s">
        <v>1360</v>
      </c>
      <c r="C194" s="2" t="s">
        <v>736</v>
      </c>
      <c r="D194" s="2" t="n">
        <v>1</v>
      </c>
      <c r="E194" s="6" t="s">
        <v>1361</v>
      </c>
      <c r="F194" s="6" t="s">
        <v>1362</v>
      </c>
      <c r="G194" s="2" t="n">
        <v>35</v>
      </c>
      <c r="H194" s="2"/>
    </row>
    <row r="195" customFormat="false" ht="15" hidden="false" customHeight="false" outlineLevel="0" collapsed="false">
      <c r="A195" s="2" t="s">
        <v>1363</v>
      </c>
      <c r="B195" s="2" t="s">
        <v>1364</v>
      </c>
      <c r="C195" s="2" t="s">
        <v>736</v>
      </c>
      <c r="D195" s="2" t="n">
        <v>1</v>
      </c>
      <c r="E195" s="6" t="s">
        <v>1365</v>
      </c>
      <c r="F195" s="6" t="s">
        <v>1366</v>
      </c>
      <c r="G195" s="2" t="n">
        <v>115</v>
      </c>
      <c r="H195" s="2"/>
    </row>
    <row r="196" customFormat="false" ht="15" hidden="false" customHeight="false" outlineLevel="0" collapsed="false">
      <c r="A196" s="2" t="s">
        <v>1367</v>
      </c>
      <c r="B196" s="2" t="s">
        <v>1368</v>
      </c>
      <c r="C196" s="2" t="s">
        <v>736</v>
      </c>
      <c r="D196" s="2" t="n">
        <v>2</v>
      </c>
      <c r="E196" s="2" t="s">
        <v>1369</v>
      </c>
      <c r="F196" s="2" t="s">
        <v>1370</v>
      </c>
      <c r="G196" s="2" t="n">
        <v>667</v>
      </c>
      <c r="H196" s="2"/>
    </row>
    <row r="197" customFormat="false" ht="15" hidden="false" customHeight="false" outlineLevel="0" collapsed="false">
      <c r="A197" s="2" t="s">
        <v>1371</v>
      </c>
      <c r="B197" s="2" t="s">
        <v>1372</v>
      </c>
      <c r="C197" s="2" t="s">
        <v>663</v>
      </c>
      <c r="D197" s="2" t="n">
        <v>6</v>
      </c>
      <c r="E197" s="2" t="s">
        <v>1373</v>
      </c>
      <c r="F197" s="2" t="s">
        <v>1374</v>
      </c>
      <c r="G197" s="2" t="n">
        <v>360</v>
      </c>
      <c r="H197" s="2"/>
    </row>
    <row r="198" customFormat="false" ht="15" hidden="false" customHeight="false" outlineLevel="0" collapsed="false">
      <c r="A198" s="2" t="s">
        <v>1375</v>
      </c>
      <c r="B198" s="2" t="s">
        <v>1376</v>
      </c>
      <c r="C198" s="2" t="s">
        <v>736</v>
      </c>
      <c r="D198" s="2" t="n">
        <v>1</v>
      </c>
      <c r="E198" s="2" t="s">
        <v>1377</v>
      </c>
      <c r="F198" s="2" t="s">
        <v>1374</v>
      </c>
      <c r="G198" s="2" t="n">
        <v>497</v>
      </c>
      <c r="H198" s="2"/>
    </row>
    <row r="199" customFormat="false" ht="15" hidden="false" customHeight="false" outlineLevel="0" collapsed="false">
      <c r="A199" s="2" t="s">
        <v>1378</v>
      </c>
      <c r="B199" s="2" t="s">
        <v>746</v>
      </c>
      <c r="C199" s="2" t="s">
        <v>736</v>
      </c>
      <c r="D199" s="2" t="n">
        <v>2</v>
      </c>
      <c r="E199" s="2" t="s">
        <v>1379</v>
      </c>
      <c r="F199" s="2" t="s">
        <v>1374</v>
      </c>
      <c r="G199" s="2" t="n">
        <v>501</v>
      </c>
      <c r="H199" s="2"/>
    </row>
    <row r="200" customFormat="false" ht="15" hidden="false" customHeight="false" outlineLevel="0" collapsed="false">
      <c r="A200" s="2" t="s">
        <v>1380</v>
      </c>
      <c r="B200" s="2" t="s">
        <v>699</v>
      </c>
      <c r="C200" s="2" t="s">
        <v>663</v>
      </c>
      <c r="D200" s="2" t="n">
        <v>5</v>
      </c>
      <c r="E200" s="2" t="s">
        <v>1381</v>
      </c>
      <c r="F200" s="2" t="s">
        <v>1374</v>
      </c>
      <c r="G200" s="2" t="n">
        <v>369</v>
      </c>
      <c r="H200" s="2"/>
    </row>
    <row r="201" customFormat="false" ht="15" hidden="false" customHeight="false" outlineLevel="0" collapsed="false">
      <c r="A201" s="2" t="s">
        <v>1382</v>
      </c>
      <c r="B201" s="2" t="s">
        <v>1383</v>
      </c>
      <c r="C201" s="2" t="s">
        <v>648</v>
      </c>
      <c r="D201" s="2" t="n">
        <v>1</v>
      </c>
      <c r="E201" s="2" t="s">
        <v>1384</v>
      </c>
      <c r="F201" s="2" t="s">
        <v>1374</v>
      </c>
      <c r="G201" s="2" t="n">
        <v>294</v>
      </c>
      <c r="H201" s="2"/>
    </row>
    <row r="202" customFormat="false" ht="15" hidden="false" customHeight="false" outlineLevel="0" collapsed="false">
      <c r="A202" s="2" t="s">
        <v>1385</v>
      </c>
      <c r="B202" s="2" t="s">
        <v>1386</v>
      </c>
      <c r="C202" s="2" t="s">
        <v>736</v>
      </c>
      <c r="D202" s="2" t="n">
        <v>4</v>
      </c>
      <c r="E202" s="2" t="s">
        <v>1387</v>
      </c>
      <c r="F202" s="2" t="s">
        <v>1374</v>
      </c>
      <c r="G202" s="2" t="n">
        <v>726</v>
      </c>
      <c r="H202" s="2"/>
    </row>
    <row r="203" customFormat="false" ht="15" hidden="false" customHeight="false" outlineLevel="0" collapsed="false">
      <c r="A203" s="2" t="s">
        <v>1388</v>
      </c>
      <c r="B203" s="2" t="s">
        <v>1389</v>
      </c>
      <c r="C203" s="2" t="s">
        <v>888</v>
      </c>
      <c r="D203" s="2" t="n">
        <v>1</v>
      </c>
      <c r="E203" s="2" t="s">
        <v>1390</v>
      </c>
      <c r="F203" s="2" t="s">
        <v>1374</v>
      </c>
      <c r="G203" s="2" t="n">
        <v>629</v>
      </c>
      <c r="H203" s="2"/>
    </row>
    <row r="204" customFormat="false" ht="15" hidden="false" customHeight="false" outlineLevel="0" collapsed="false">
      <c r="A204" s="2" t="s">
        <v>1391</v>
      </c>
      <c r="B204" s="2" t="s">
        <v>1392</v>
      </c>
      <c r="C204" s="2" t="s">
        <v>736</v>
      </c>
      <c r="D204" s="2" t="n">
        <v>5</v>
      </c>
      <c r="E204" s="2" t="s">
        <v>1393</v>
      </c>
      <c r="F204" s="2" t="s">
        <v>1374</v>
      </c>
      <c r="G204" s="2" t="n">
        <v>491</v>
      </c>
      <c r="H204" s="2"/>
    </row>
    <row r="205" customFormat="false" ht="15" hidden="false" customHeight="false" outlineLevel="0" collapsed="false">
      <c r="A205" s="2" t="s">
        <v>1394</v>
      </c>
      <c r="B205" s="2" t="s">
        <v>1395</v>
      </c>
      <c r="C205" s="2" t="s">
        <v>888</v>
      </c>
      <c r="D205" s="2" t="n">
        <v>1</v>
      </c>
      <c r="E205" s="2" t="s">
        <v>1396</v>
      </c>
      <c r="F205" s="2" t="s">
        <v>1397</v>
      </c>
      <c r="G205" s="2" t="n">
        <v>504</v>
      </c>
      <c r="H205" s="2"/>
    </row>
    <row r="206" customFormat="false" ht="15" hidden="false" customHeight="false" outlineLevel="0" collapsed="false">
      <c r="A206" s="2" t="s">
        <v>1398</v>
      </c>
      <c r="B206" s="2" t="s">
        <v>1399</v>
      </c>
      <c r="C206" s="2" t="s">
        <v>888</v>
      </c>
      <c r="D206" s="2" t="n">
        <v>1</v>
      </c>
      <c r="E206" s="2" t="s">
        <v>1400</v>
      </c>
      <c r="F206" s="2" t="s">
        <v>1397</v>
      </c>
      <c r="G206" s="2" t="n">
        <v>322</v>
      </c>
      <c r="H206" s="2"/>
    </row>
    <row r="207" customFormat="false" ht="15" hidden="false" customHeight="false" outlineLevel="0" collapsed="false">
      <c r="A207" s="2" t="s">
        <v>1401</v>
      </c>
      <c r="B207" s="2" t="s">
        <v>811</v>
      </c>
      <c r="C207" s="2" t="s">
        <v>736</v>
      </c>
      <c r="D207" s="2" t="n">
        <v>4</v>
      </c>
      <c r="E207" s="2" t="s">
        <v>1402</v>
      </c>
      <c r="F207" s="2" t="s">
        <v>1397</v>
      </c>
      <c r="G207" s="2" t="n">
        <v>611</v>
      </c>
      <c r="H207" s="2"/>
    </row>
    <row r="208" customFormat="false" ht="15" hidden="false" customHeight="false" outlineLevel="0" collapsed="false">
      <c r="A208" s="2" t="s">
        <v>1403</v>
      </c>
      <c r="B208" s="2" t="s">
        <v>1404</v>
      </c>
      <c r="C208" s="2" t="s">
        <v>736</v>
      </c>
      <c r="D208" s="2" t="n">
        <v>1</v>
      </c>
      <c r="E208" s="2" t="s">
        <v>1405</v>
      </c>
      <c r="F208" s="2" t="s">
        <v>1406</v>
      </c>
      <c r="G208" s="2" t="n">
        <v>490</v>
      </c>
      <c r="H208" s="2"/>
    </row>
    <row r="209" customFormat="false" ht="15" hidden="false" customHeight="false" outlineLevel="0" collapsed="false">
      <c r="A209" s="2" t="s">
        <v>1407</v>
      </c>
      <c r="B209" s="2" t="s">
        <v>1408</v>
      </c>
      <c r="C209" s="2" t="s">
        <v>736</v>
      </c>
      <c r="D209" s="2" t="n">
        <v>1</v>
      </c>
      <c r="E209" s="2" t="s">
        <v>1409</v>
      </c>
      <c r="F209" s="2" t="s">
        <v>1410</v>
      </c>
      <c r="G209" s="2" t="n">
        <v>533.8</v>
      </c>
      <c r="H209" s="2"/>
    </row>
    <row r="210" customFormat="false" ht="15" hidden="false" customHeight="false" outlineLevel="0" collapsed="false">
      <c r="A210" s="2" t="s">
        <v>1411</v>
      </c>
      <c r="B210" s="2" t="s">
        <v>1412</v>
      </c>
      <c r="C210" s="2" t="s">
        <v>736</v>
      </c>
      <c r="D210" s="2" t="n">
        <v>1</v>
      </c>
      <c r="E210" s="2" t="s">
        <v>1413</v>
      </c>
      <c r="F210" s="2" t="s">
        <v>1406</v>
      </c>
      <c r="G210" s="2" t="n">
        <v>399.8</v>
      </c>
      <c r="H210" s="2"/>
    </row>
    <row r="211" customFormat="false" ht="15" hidden="false" customHeight="false" outlineLevel="0" collapsed="false">
      <c r="A211" s="2" t="s">
        <v>1414</v>
      </c>
      <c r="B211" s="2" t="s">
        <v>1415</v>
      </c>
      <c r="C211" s="2" t="s">
        <v>736</v>
      </c>
      <c r="D211" s="2" t="n">
        <v>1</v>
      </c>
      <c r="E211" s="2" t="s">
        <v>1416</v>
      </c>
      <c r="F211" s="2" t="s">
        <v>1417</v>
      </c>
      <c r="G211" s="2" t="n">
        <v>631</v>
      </c>
      <c r="H211" s="2"/>
    </row>
    <row r="212" customFormat="false" ht="15" hidden="false" customHeight="false" outlineLevel="0" collapsed="false">
      <c r="A212" s="2" t="s">
        <v>1418</v>
      </c>
      <c r="B212" s="2" t="s">
        <v>1419</v>
      </c>
      <c r="C212" s="2" t="s">
        <v>736</v>
      </c>
      <c r="D212" s="2" t="n">
        <v>1</v>
      </c>
      <c r="E212" s="2" t="s">
        <v>1420</v>
      </c>
      <c r="F212" s="2" t="s">
        <v>1417</v>
      </c>
      <c r="G212" s="2" t="n">
        <v>459</v>
      </c>
      <c r="H212" s="2"/>
    </row>
    <row r="213" customFormat="false" ht="15" hidden="false" customHeight="false" outlineLevel="0" collapsed="false">
      <c r="A213" s="2" t="s">
        <v>1421</v>
      </c>
      <c r="B213" s="2" t="s">
        <v>1422</v>
      </c>
      <c r="C213" s="2" t="s">
        <v>736</v>
      </c>
      <c r="D213" s="2" t="n">
        <v>4</v>
      </c>
      <c r="E213" s="2" t="s">
        <v>1423</v>
      </c>
      <c r="F213" s="2" t="s">
        <v>1417</v>
      </c>
      <c r="G213" s="2" t="n">
        <v>507</v>
      </c>
      <c r="H213" s="2"/>
    </row>
    <row r="214" customFormat="false" ht="15" hidden="false" customHeight="false" outlineLevel="0" collapsed="false">
      <c r="A214" s="2" t="s">
        <v>1424</v>
      </c>
      <c r="B214" s="2" t="s">
        <v>1425</v>
      </c>
      <c r="C214" s="2" t="s">
        <v>648</v>
      </c>
      <c r="D214" s="2" t="n">
        <v>1</v>
      </c>
      <c r="E214" s="2" t="s">
        <v>1426</v>
      </c>
      <c r="F214" s="2" t="s">
        <v>1397</v>
      </c>
      <c r="G214" s="2" t="n">
        <v>282</v>
      </c>
      <c r="H214" s="2"/>
    </row>
    <row r="215" customFormat="false" ht="15" hidden="false" customHeight="false" outlineLevel="0" collapsed="false">
      <c r="A215" s="2" t="s">
        <v>1427</v>
      </c>
      <c r="B215" s="2" t="s">
        <v>1428</v>
      </c>
      <c r="C215" s="2" t="s">
        <v>648</v>
      </c>
      <c r="D215" s="2" t="n">
        <v>1</v>
      </c>
      <c r="E215" s="2" t="s">
        <v>1426</v>
      </c>
      <c r="F215" s="2" t="s">
        <v>1397</v>
      </c>
      <c r="G215" s="2" t="n">
        <v>291</v>
      </c>
      <c r="H215" s="2"/>
    </row>
    <row r="216" customFormat="false" ht="15" hidden="false" customHeight="false" outlineLevel="0" collapsed="false">
      <c r="A216" s="2" t="s">
        <v>1429</v>
      </c>
      <c r="B216" s="2" t="s">
        <v>1430</v>
      </c>
      <c r="C216" s="2" t="s">
        <v>648</v>
      </c>
      <c r="D216" s="2" t="n">
        <v>1</v>
      </c>
      <c r="E216" s="2" t="s">
        <v>1426</v>
      </c>
      <c r="F216" s="2" t="s">
        <v>1397</v>
      </c>
      <c r="G216" s="2" t="n">
        <v>292</v>
      </c>
      <c r="H216" s="2"/>
    </row>
    <row r="217" customFormat="false" ht="15" hidden="false" customHeight="false" outlineLevel="0" collapsed="false">
      <c r="A217" s="2" t="s">
        <v>1431</v>
      </c>
      <c r="B217" s="2" t="s">
        <v>1432</v>
      </c>
      <c r="C217" s="2" t="s">
        <v>736</v>
      </c>
      <c r="D217" s="2" t="n">
        <v>1</v>
      </c>
      <c r="E217" s="2" t="s">
        <v>1433</v>
      </c>
      <c r="F217" s="2" t="s">
        <v>1374</v>
      </c>
      <c r="G217" s="2" t="n">
        <v>556</v>
      </c>
      <c r="H217" s="2"/>
    </row>
    <row r="218" customFormat="false" ht="15" hidden="false" customHeight="false" outlineLevel="0" collapsed="false">
      <c r="A218" s="2" t="s">
        <v>1434</v>
      </c>
      <c r="B218" s="2" t="s">
        <v>1435</v>
      </c>
      <c r="C218" s="2" t="s">
        <v>736</v>
      </c>
      <c r="D218" s="2" t="n">
        <v>4</v>
      </c>
      <c r="E218" s="2" t="s">
        <v>1436</v>
      </c>
      <c r="F218" s="2" t="s">
        <v>1437</v>
      </c>
      <c r="G218" s="2" t="n">
        <v>461</v>
      </c>
      <c r="H218" s="2" t="s">
        <v>1438</v>
      </c>
    </row>
    <row r="219" customFormat="false" ht="15" hidden="false" customHeight="false" outlineLevel="0" collapsed="false">
      <c r="A219" s="2" t="s">
        <v>1439</v>
      </c>
      <c r="B219" s="2" t="s">
        <v>1440</v>
      </c>
      <c r="C219" s="2" t="s">
        <v>888</v>
      </c>
      <c r="D219" s="2" t="n">
        <v>1</v>
      </c>
      <c r="E219" s="2" t="s">
        <v>1441</v>
      </c>
      <c r="F219" s="2" t="s">
        <v>1442</v>
      </c>
      <c r="G219" s="2" t="n">
        <v>343.6</v>
      </c>
      <c r="H219" s="2"/>
    </row>
    <row r="220" customFormat="false" ht="15" hidden="false" customHeight="false" outlineLevel="0" collapsed="false">
      <c r="A220" s="2" t="s">
        <v>1443</v>
      </c>
      <c r="B220" s="2" t="s">
        <v>1444</v>
      </c>
      <c r="C220" s="2" t="s">
        <v>648</v>
      </c>
      <c r="D220" s="2" t="n">
        <v>1</v>
      </c>
      <c r="E220" s="2" t="s">
        <v>1426</v>
      </c>
      <c r="F220" s="2" t="s">
        <v>1442</v>
      </c>
      <c r="G220" s="2" t="n">
        <v>269.1</v>
      </c>
      <c r="H220" s="2"/>
    </row>
    <row r="221" customFormat="false" ht="15" hidden="false" customHeight="false" outlineLevel="0" collapsed="false">
      <c r="A221" s="2" t="s">
        <v>1445</v>
      </c>
      <c r="B221" s="2" t="s">
        <v>1446</v>
      </c>
      <c r="C221" s="2" t="s">
        <v>648</v>
      </c>
      <c r="D221" s="2" t="n">
        <v>1</v>
      </c>
      <c r="E221" s="2" t="s">
        <v>1426</v>
      </c>
      <c r="F221" s="2" t="s">
        <v>1447</v>
      </c>
      <c r="G221" s="2" t="n">
        <v>268.2</v>
      </c>
      <c r="H221" s="2"/>
    </row>
    <row r="222" customFormat="false" ht="15" hidden="false" customHeight="false" outlineLevel="0" collapsed="false">
      <c r="A222" s="2" t="s">
        <v>1448</v>
      </c>
      <c r="B222" s="2" t="s">
        <v>1449</v>
      </c>
      <c r="C222" s="2" t="s">
        <v>648</v>
      </c>
      <c r="D222" s="2" t="n">
        <v>1</v>
      </c>
      <c r="E222" s="2" t="s">
        <v>1426</v>
      </c>
      <c r="F222" s="2" t="s">
        <v>1442</v>
      </c>
      <c r="G222" s="2" t="n">
        <v>393.9</v>
      </c>
      <c r="H222" s="2"/>
    </row>
    <row r="223" customFormat="false" ht="15" hidden="false" customHeight="false" outlineLevel="0" collapsed="false">
      <c r="A223" s="2" t="s">
        <v>1450</v>
      </c>
      <c r="B223" s="2" t="s">
        <v>1451</v>
      </c>
      <c r="C223" s="2" t="s">
        <v>888</v>
      </c>
      <c r="D223" s="2" t="n">
        <v>1</v>
      </c>
      <c r="E223" s="2" t="s">
        <v>1452</v>
      </c>
      <c r="F223" s="2" t="s">
        <v>1453</v>
      </c>
      <c r="G223" s="2" t="n">
        <v>481.3</v>
      </c>
      <c r="H223" s="2"/>
    </row>
    <row r="224" customFormat="false" ht="15" hidden="false" customHeight="false" outlineLevel="0" collapsed="false">
      <c r="A224" s="2" t="s">
        <v>1454</v>
      </c>
      <c r="B224" s="2" t="s">
        <v>1455</v>
      </c>
      <c r="C224" s="2" t="s">
        <v>888</v>
      </c>
      <c r="D224" s="2" t="n">
        <v>1</v>
      </c>
      <c r="E224" s="2" t="s">
        <v>1456</v>
      </c>
      <c r="F224" s="2" t="s">
        <v>1442</v>
      </c>
      <c r="G224" s="2" t="n">
        <v>342</v>
      </c>
      <c r="H224" s="2"/>
    </row>
    <row r="225" customFormat="false" ht="15" hidden="false" customHeight="false" outlineLevel="0" collapsed="false">
      <c r="A225" s="2" t="s">
        <v>1457</v>
      </c>
      <c r="B225" s="2" t="s">
        <v>1458</v>
      </c>
      <c r="C225" s="2" t="s">
        <v>736</v>
      </c>
      <c r="D225" s="2" t="n">
        <v>1</v>
      </c>
      <c r="E225" s="2" t="s">
        <v>1459</v>
      </c>
      <c r="F225" s="2" t="s">
        <v>1460</v>
      </c>
      <c r="G225" s="2" t="n">
        <v>572</v>
      </c>
      <c r="H225" s="2"/>
    </row>
    <row r="226" customFormat="false" ht="15" hidden="false" customHeight="false" outlineLevel="0" collapsed="false">
      <c r="A226" s="2" t="s">
        <v>1461</v>
      </c>
      <c r="B226" s="2" t="s">
        <v>1462</v>
      </c>
      <c r="C226" s="2" t="s">
        <v>736</v>
      </c>
      <c r="D226" s="2" t="n">
        <v>1</v>
      </c>
      <c r="E226" s="2" t="s">
        <v>1463</v>
      </c>
      <c r="F226" s="2" t="s">
        <v>1460</v>
      </c>
      <c r="G226" s="2" t="n">
        <v>756</v>
      </c>
      <c r="H226" s="2"/>
    </row>
    <row r="227" customFormat="false" ht="15" hidden="false" customHeight="false" outlineLevel="0" collapsed="false">
      <c r="A227" s="2" t="s">
        <v>1464</v>
      </c>
      <c r="B227" s="2" t="s">
        <v>1465</v>
      </c>
      <c r="C227" s="2" t="s">
        <v>736</v>
      </c>
      <c r="D227" s="2" t="n">
        <v>1</v>
      </c>
      <c r="E227" s="2" t="s">
        <v>1466</v>
      </c>
      <c r="F227" s="2" t="s">
        <v>1460</v>
      </c>
      <c r="G227" s="2" t="n">
        <v>521</v>
      </c>
      <c r="H227" s="2"/>
    </row>
    <row r="228" customFormat="false" ht="15" hidden="false" customHeight="false" outlineLevel="0" collapsed="false">
      <c r="A228" s="2" t="s">
        <v>1467</v>
      </c>
      <c r="B228" s="2" t="s">
        <v>1468</v>
      </c>
      <c r="C228" s="2" t="s">
        <v>736</v>
      </c>
      <c r="D228" s="2" t="n">
        <v>1</v>
      </c>
      <c r="E228" s="2" t="s">
        <v>1469</v>
      </c>
      <c r="F228" s="2" t="s">
        <v>1460</v>
      </c>
      <c r="G228" s="2" t="n">
        <v>720</v>
      </c>
      <c r="H228" s="2"/>
    </row>
    <row r="229" customFormat="false" ht="15" hidden="false" customHeight="false" outlineLevel="0" collapsed="false">
      <c r="A229" s="2" t="s">
        <v>1470</v>
      </c>
      <c r="B229" s="2" t="s">
        <v>1471</v>
      </c>
      <c r="C229" s="2" t="s">
        <v>663</v>
      </c>
      <c r="D229" s="2" t="n">
        <v>4</v>
      </c>
      <c r="E229" s="2" t="s">
        <v>1472</v>
      </c>
      <c r="F229" s="2" t="s">
        <v>1460</v>
      </c>
      <c r="G229" s="2" t="n">
        <v>327</v>
      </c>
      <c r="H229" s="2"/>
    </row>
    <row r="230" customFormat="false" ht="15" hidden="false" customHeight="false" outlineLevel="0" collapsed="false">
      <c r="A230" s="2" t="s">
        <v>1473</v>
      </c>
      <c r="B230" s="2" t="s">
        <v>1474</v>
      </c>
      <c r="C230" s="2" t="s">
        <v>736</v>
      </c>
      <c r="D230" s="2" t="n">
        <v>1</v>
      </c>
      <c r="E230" s="2" t="s">
        <v>1475</v>
      </c>
      <c r="F230" s="2" t="s">
        <v>1476</v>
      </c>
      <c r="G230" s="2" t="n">
        <v>633</v>
      </c>
      <c r="H230" s="2"/>
    </row>
    <row r="231" customFormat="false" ht="15" hidden="false" customHeight="false" outlineLevel="0" collapsed="false">
      <c r="A231" s="2" t="s">
        <v>1477</v>
      </c>
      <c r="B231" s="2" t="s">
        <v>1478</v>
      </c>
      <c r="C231" s="2" t="s">
        <v>736</v>
      </c>
      <c r="D231" s="2" t="n">
        <v>1</v>
      </c>
      <c r="E231" s="2" t="s">
        <v>1479</v>
      </c>
      <c r="F231" s="2" t="s">
        <v>1460</v>
      </c>
      <c r="G231" s="2" t="n">
        <v>420</v>
      </c>
      <c r="H231" s="2"/>
    </row>
    <row r="232" customFormat="false" ht="15" hidden="false" customHeight="false" outlineLevel="0" collapsed="false">
      <c r="A232" s="2" t="s">
        <v>1480</v>
      </c>
      <c r="B232" s="2" t="s">
        <v>1481</v>
      </c>
      <c r="C232" s="2" t="s">
        <v>736</v>
      </c>
      <c r="D232" s="2" t="n">
        <v>1</v>
      </c>
      <c r="E232" s="2" t="s">
        <v>1482</v>
      </c>
      <c r="F232" s="2" t="s">
        <v>1460</v>
      </c>
      <c r="G232" s="2" t="n">
        <v>670</v>
      </c>
      <c r="H232" s="2" t="s">
        <v>1483</v>
      </c>
    </row>
    <row r="233" customFormat="false" ht="15" hidden="false" customHeight="false" outlineLevel="0" collapsed="false">
      <c r="A233" s="2" t="s">
        <v>1484</v>
      </c>
      <c r="B233" s="2" t="s">
        <v>1485</v>
      </c>
      <c r="C233" s="2" t="s">
        <v>736</v>
      </c>
      <c r="D233" s="2" t="n">
        <v>1</v>
      </c>
      <c r="E233" s="2" t="s">
        <v>1486</v>
      </c>
      <c r="F233" s="2" t="s">
        <v>1460</v>
      </c>
      <c r="G233" s="2" t="n">
        <v>403</v>
      </c>
      <c r="H233" s="2"/>
    </row>
    <row r="234" customFormat="false" ht="15" hidden="false" customHeight="false" outlineLevel="0" collapsed="false">
      <c r="A234" s="2" t="s">
        <v>1487</v>
      </c>
      <c r="B234" s="2" t="s">
        <v>1488</v>
      </c>
      <c r="C234" s="2" t="s">
        <v>736</v>
      </c>
      <c r="D234" s="2" t="n">
        <v>1</v>
      </c>
      <c r="E234" s="2" t="s">
        <v>1489</v>
      </c>
      <c r="F234" s="2" t="s">
        <v>1460</v>
      </c>
      <c r="G234" s="2" t="n">
        <v>165</v>
      </c>
      <c r="H234" s="2"/>
    </row>
    <row r="235" customFormat="false" ht="15" hidden="false" customHeight="false" outlineLevel="0" collapsed="false">
      <c r="A235" s="2" t="s">
        <v>1490</v>
      </c>
      <c r="B235" s="2" t="s">
        <v>1491</v>
      </c>
      <c r="C235" s="2" t="s">
        <v>663</v>
      </c>
      <c r="D235" s="2" t="n">
        <v>8</v>
      </c>
      <c r="E235" s="2" t="s">
        <v>1492</v>
      </c>
      <c r="F235" s="2" t="s">
        <v>1460</v>
      </c>
      <c r="G235" s="2" t="n">
        <v>204</v>
      </c>
      <c r="H235" s="2"/>
    </row>
    <row r="236" customFormat="false" ht="15" hidden="false" customHeight="false" outlineLevel="0" collapsed="false">
      <c r="A236" s="2" t="s">
        <v>1493</v>
      </c>
      <c r="B236" s="2" t="s">
        <v>1494</v>
      </c>
      <c r="C236" s="2" t="s">
        <v>663</v>
      </c>
      <c r="D236" s="2" t="n">
        <v>8</v>
      </c>
      <c r="E236" s="2" t="s">
        <v>1495</v>
      </c>
      <c r="F236" s="2" t="s">
        <v>1460</v>
      </c>
      <c r="G236" s="2" t="n">
        <v>180</v>
      </c>
      <c r="H236" s="2"/>
    </row>
    <row r="237" customFormat="false" ht="15" hidden="false" customHeight="false" outlineLevel="0" collapsed="false">
      <c r="A237" s="2" t="s">
        <v>1496</v>
      </c>
      <c r="B237" s="2" t="s">
        <v>790</v>
      </c>
      <c r="C237" s="2" t="s">
        <v>736</v>
      </c>
      <c r="D237" s="2" t="n">
        <v>1</v>
      </c>
      <c r="E237" s="2" t="s">
        <v>1497</v>
      </c>
      <c r="F237" s="2" t="s">
        <v>1460</v>
      </c>
      <c r="G237" s="2" t="n">
        <v>460</v>
      </c>
      <c r="H237" s="2"/>
    </row>
    <row r="238" customFormat="false" ht="15" hidden="false" customHeight="false" outlineLevel="0" collapsed="false">
      <c r="A238" s="2" t="s">
        <v>1498</v>
      </c>
      <c r="B238" s="2" t="s">
        <v>1499</v>
      </c>
      <c r="C238" s="2" t="s">
        <v>736</v>
      </c>
      <c r="D238" s="2" t="n">
        <v>1</v>
      </c>
      <c r="E238" s="2" t="s">
        <v>1500</v>
      </c>
      <c r="F238" s="2" t="s">
        <v>1460</v>
      </c>
      <c r="G238" s="2" t="n">
        <v>606</v>
      </c>
      <c r="H238" s="2"/>
    </row>
    <row r="239" customFormat="false" ht="15" hidden="false" customHeight="false" outlineLevel="0" collapsed="false">
      <c r="A239" s="2" t="s">
        <v>1501</v>
      </c>
      <c r="B239" s="2" t="s">
        <v>1502</v>
      </c>
      <c r="C239" s="2" t="s">
        <v>736</v>
      </c>
      <c r="D239" s="2" t="n">
        <v>1</v>
      </c>
      <c r="E239" s="2" t="s">
        <v>1503</v>
      </c>
      <c r="F239" s="2" t="s">
        <v>1460</v>
      </c>
      <c r="G239" s="2" t="n">
        <v>608</v>
      </c>
      <c r="H239" s="2"/>
    </row>
    <row r="240" customFormat="false" ht="15" hidden="false" customHeight="false" outlineLevel="0" collapsed="false">
      <c r="A240" s="2" t="s">
        <v>1504</v>
      </c>
      <c r="B240" s="2" t="s">
        <v>1505</v>
      </c>
      <c r="C240" s="2" t="s">
        <v>736</v>
      </c>
      <c r="D240" s="2" t="n">
        <v>1</v>
      </c>
      <c r="E240" s="2" t="s">
        <v>1506</v>
      </c>
      <c r="F240" s="2" t="s">
        <v>1460</v>
      </c>
      <c r="G240" s="2" t="n">
        <v>812</v>
      </c>
      <c r="H240" s="2"/>
    </row>
    <row r="241" customFormat="false" ht="15" hidden="false" customHeight="false" outlineLevel="0" collapsed="false">
      <c r="A241" s="2" t="s">
        <v>1507</v>
      </c>
      <c r="B241" s="2" t="s">
        <v>1508</v>
      </c>
      <c r="C241" s="2" t="s">
        <v>663</v>
      </c>
      <c r="D241" s="2" t="n">
        <v>2</v>
      </c>
      <c r="E241" s="2" t="s">
        <v>1509</v>
      </c>
      <c r="F241" s="2" t="s">
        <v>1460</v>
      </c>
      <c r="G241" s="2" t="n">
        <v>249</v>
      </c>
      <c r="H241" s="2"/>
    </row>
    <row r="242" customFormat="false" ht="15" hidden="false" customHeight="false" outlineLevel="0" collapsed="false">
      <c r="A242" s="2" t="s">
        <v>1510</v>
      </c>
      <c r="B242" s="2" t="s">
        <v>1511</v>
      </c>
      <c r="C242" s="2" t="s">
        <v>736</v>
      </c>
      <c r="D242" s="2" t="n">
        <v>1</v>
      </c>
      <c r="E242" s="2" t="s">
        <v>1512</v>
      </c>
      <c r="F242" s="2" t="s">
        <v>1460</v>
      </c>
      <c r="G242" s="2" t="n">
        <v>450</v>
      </c>
      <c r="H242" s="2"/>
    </row>
    <row r="243" customFormat="false" ht="15" hidden="false" customHeight="false" outlineLevel="0" collapsed="false">
      <c r="A243" s="2" t="s">
        <v>1513</v>
      </c>
      <c r="B243" s="2" t="s">
        <v>1514</v>
      </c>
      <c r="C243" s="2" t="s">
        <v>736</v>
      </c>
      <c r="D243" s="2" t="n">
        <v>1</v>
      </c>
      <c r="E243" s="2" t="s">
        <v>1515</v>
      </c>
      <c r="F243" s="2" t="s">
        <v>1460</v>
      </c>
      <c r="G243" s="2" t="n">
        <v>520</v>
      </c>
      <c r="H243" s="2"/>
    </row>
    <row r="244" customFormat="false" ht="15" hidden="false" customHeight="false" outlineLevel="0" collapsed="false">
      <c r="A244" s="2" t="s">
        <v>1516</v>
      </c>
      <c r="B244" s="2" t="s">
        <v>1517</v>
      </c>
      <c r="C244" s="2" t="s">
        <v>736</v>
      </c>
      <c r="D244" s="2" t="n">
        <v>1</v>
      </c>
      <c r="E244" s="2" t="s">
        <v>1518</v>
      </c>
      <c r="F244" s="2" t="s">
        <v>1460</v>
      </c>
      <c r="G244" s="2" t="n">
        <v>648</v>
      </c>
      <c r="H244" s="2"/>
    </row>
    <row r="245" customFormat="false" ht="15" hidden="false" customHeight="false" outlineLevel="0" collapsed="false">
      <c r="A245" s="2" t="s">
        <v>1519</v>
      </c>
      <c r="B245" s="2" t="s">
        <v>1520</v>
      </c>
      <c r="C245" s="2" t="s">
        <v>736</v>
      </c>
      <c r="D245" s="2" t="n">
        <v>1</v>
      </c>
      <c r="E245" s="2" t="s">
        <v>1521</v>
      </c>
      <c r="F245" s="2" t="s">
        <v>1460</v>
      </c>
      <c r="G245" s="2" t="n">
        <v>492</v>
      </c>
      <c r="H245" s="2"/>
    </row>
    <row r="246" customFormat="false" ht="15" hidden="false" customHeight="false" outlineLevel="0" collapsed="false">
      <c r="A246" s="2" t="s">
        <v>1522</v>
      </c>
      <c r="B246" s="2" t="s">
        <v>1523</v>
      </c>
      <c r="C246" s="2" t="s">
        <v>736</v>
      </c>
      <c r="D246" s="2" t="n">
        <v>1</v>
      </c>
      <c r="E246" s="2" t="s">
        <v>1524</v>
      </c>
      <c r="F246" s="2" t="s">
        <v>1525</v>
      </c>
      <c r="G246" s="2" t="n">
        <v>481</v>
      </c>
      <c r="H246" s="2"/>
    </row>
    <row r="247" customFormat="false" ht="15" hidden="false" customHeight="false" outlineLevel="0" collapsed="false">
      <c r="A247" s="2" t="s">
        <v>1526</v>
      </c>
      <c r="B247" s="2" t="s">
        <v>1527</v>
      </c>
      <c r="C247" s="2" t="s">
        <v>888</v>
      </c>
      <c r="D247" s="2" t="n">
        <v>1</v>
      </c>
      <c r="E247" s="2" t="s">
        <v>1528</v>
      </c>
      <c r="F247" s="2" t="s">
        <v>1460</v>
      </c>
      <c r="G247" s="2" t="n">
        <v>507</v>
      </c>
      <c r="H247" s="2"/>
    </row>
    <row r="248" customFormat="false" ht="15" hidden="false" customHeight="false" outlineLevel="0" collapsed="false">
      <c r="A248" s="2" t="s">
        <v>1529</v>
      </c>
      <c r="B248" s="2" t="s">
        <v>1530</v>
      </c>
      <c r="C248" s="2" t="s">
        <v>736</v>
      </c>
      <c r="D248" s="2" t="n">
        <v>2</v>
      </c>
      <c r="E248" s="2" t="s">
        <v>1531</v>
      </c>
      <c r="F248" s="2" t="s">
        <v>1460</v>
      </c>
      <c r="G248" s="2" t="n">
        <v>528</v>
      </c>
      <c r="H248" s="2"/>
    </row>
    <row r="249" customFormat="false" ht="15" hidden="false" customHeight="false" outlineLevel="0" collapsed="false">
      <c r="A249" s="2" t="s">
        <v>1532</v>
      </c>
      <c r="B249" s="2" t="s">
        <v>1533</v>
      </c>
      <c r="C249" s="2" t="s">
        <v>736</v>
      </c>
      <c r="D249" s="2" t="n">
        <v>2</v>
      </c>
      <c r="E249" s="2" t="s">
        <v>1534</v>
      </c>
      <c r="F249" s="2" t="s">
        <v>1460</v>
      </c>
      <c r="G249" s="2" t="n">
        <v>645</v>
      </c>
      <c r="H249" s="2"/>
    </row>
    <row r="250" customFormat="false" ht="15" hidden="false" customHeight="false" outlineLevel="0" collapsed="false">
      <c r="A250" s="2" t="s">
        <v>1535</v>
      </c>
      <c r="B250" s="2" t="s">
        <v>1536</v>
      </c>
      <c r="C250" s="2" t="s">
        <v>888</v>
      </c>
      <c r="D250" s="2" t="n">
        <v>1</v>
      </c>
      <c r="E250" s="2" t="s">
        <v>1537</v>
      </c>
      <c r="F250" s="2" t="s">
        <v>1460</v>
      </c>
      <c r="G250" s="2" t="n">
        <v>541</v>
      </c>
      <c r="H250" s="2"/>
    </row>
    <row r="251" customFormat="false" ht="15" hidden="false" customHeight="false" outlineLevel="0" collapsed="false">
      <c r="A251" s="2" t="s">
        <v>1538</v>
      </c>
      <c r="B251" s="2" t="s">
        <v>1539</v>
      </c>
      <c r="C251" s="2" t="s">
        <v>736</v>
      </c>
      <c r="D251" s="2" t="n">
        <v>1</v>
      </c>
      <c r="E251" s="2" t="s">
        <v>1540</v>
      </c>
      <c r="F251" s="2" t="s">
        <v>1460</v>
      </c>
      <c r="G251" s="2" t="n">
        <v>605</v>
      </c>
      <c r="H251" s="2"/>
    </row>
    <row r="252" customFormat="false" ht="15" hidden="false" customHeight="false" outlineLevel="0" collapsed="false">
      <c r="A252" s="2" t="s">
        <v>1541</v>
      </c>
      <c r="B252" s="2" t="s">
        <v>1542</v>
      </c>
      <c r="C252" s="2" t="s">
        <v>736</v>
      </c>
      <c r="D252" s="2" t="n">
        <v>1</v>
      </c>
      <c r="E252" s="2" t="s">
        <v>1543</v>
      </c>
      <c r="F252" s="2" t="s">
        <v>1460</v>
      </c>
      <c r="G252" s="2" t="n">
        <v>265</v>
      </c>
      <c r="H252" s="2"/>
    </row>
    <row r="253" customFormat="false" ht="15" hidden="false" customHeight="false" outlineLevel="0" collapsed="false">
      <c r="A253" s="2" t="s">
        <v>1544</v>
      </c>
      <c r="B253" s="2" t="s">
        <v>1545</v>
      </c>
      <c r="C253" s="2" t="s">
        <v>736</v>
      </c>
      <c r="D253" s="2" t="n">
        <v>1</v>
      </c>
      <c r="E253" s="2" t="s">
        <v>1546</v>
      </c>
      <c r="F253" s="2" t="s">
        <v>1460</v>
      </c>
      <c r="G253" s="2" t="n">
        <v>424</v>
      </c>
      <c r="H253" s="2"/>
    </row>
    <row r="254" customFormat="false" ht="15" hidden="false" customHeight="false" outlineLevel="0" collapsed="false">
      <c r="A254" s="2" t="s">
        <v>1547</v>
      </c>
      <c r="B254" s="2" t="s">
        <v>1548</v>
      </c>
      <c r="C254" s="2" t="s">
        <v>736</v>
      </c>
      <c r="D254" s="2" t="n">
        <v>1</v>
      </c>
      <c r="E254" s="2" t="s">
        <v>1549</v>
      </c>
      <c r="F254" s="2" t="s">
        <v>1460</v>
      </c>
      <c r="G254" s="2" t="n">
        <v>560</v>
      </c>
      <c r="H254" s="2"/>
    </row>
    <row r="255" customFormat="false" ht="15" hidden="false" customHeight="false" outlineLevel="0" collapsed="false">
      <c r="A255" s="2" t="s">
        <v>1550</v>
      </c>
      <c r="B255" s="2" t="s">
        <v>1551</v>
      </c>
      <c r="C255" s="2" t="s">
        <v>736</v>
      </c>
      <c r="D255" s="2" t="n">
        <v>1</v>
      </c>
      <c r="E255" s="2" t="s">
        <v>1552</v>
      </c>
      <c r="F255" s="2" t="s">
        <v>1460</v>
      </c>
      <c r="G255" s="2" t="n">
        <v>530</v>
      </c>
      <c r="H255" s="2"/>
    </row>
    <row r="256" customFormat="false" ht="15" hidden="false" customHeight="false" outlineLevel="0" collapsed="false">
      <c r="A256" s="2" t="s">
        <v>1553</v>
      </c>
      <c r="B256" s="2" t="s">
        <v>1554</v>
      </c>
      <c r="C256" s="2" t="s">
        <v>736</v>
      </c>
      <c r="D256" s="2" t="n">
        <v>5</v>
      </c>
      <c r="E256" s="2" t="s">
        <v>1555</v>
      </c>
      <c r="F256" s="2" t="s">
        <v>1460</v>
      </c>
      <c r="G256" s="2" t="n">
        <v>463</v>
      </c>
      <c r="H256" s="2"/>
    </row>
    <row r="257" customFormat="false" ht="15" hidden="false" customHeight="false" outlineLevel="0" collapsed="false">
      <c r="A257" s="2" t="s">
        <v>1556</v>
      </c>
      <c r="B257" s="2" t="s">
        <v>1557</v>
      </c>
      <c r="C257" s="2" t="s">
        <v>736</v>
      </c>
      <c r="D257" s="2" t="n">
        <v>1</v>
      </c>
      <c r="E257" s="2" t="s">
        <v>1540</v>
      </c>
      <c r="F257" s="2" t="s">
        <v>1558</v>
      </c>
      <c r="G257" s="2" t="n">
        <v>605</v>
      </c>
      <c r="H257" s="2"/>
    </row>
    <row r="258" customFormat="false" ht="15" hidden="false" customHeight="false" outlineLevel="0" collapsed="false">
      <c r="A258" s="2" t="s">
        <v>1559</v>
      </c>
      <c r="B258" s="2" t="s">
        <v>1560</v>
      </c>
      <c r="C258" s="2" t="s">
        <v>648</v>
      </c>
      <c r="D258" s="2" t="n">
        <v>1</v>
      </c>
      <c r="E258" s="2" t="s">
        <v>1561</v>
      </c>
      <c r="F258" s="2" t="s">
        <v>1562</v>
      </c>
      <c r="G258" s="2" t="n">
        <v>223</v>
      </c>
      <c r="H258" s="2"/>
    </row>
    <row r="259" customFormat="false" ht="15" hidden="false" customHeight="false" outlineLevel="0" collapsed="false">
      <c r="A259" s="2" t="s">
        <v>1563</v>
      </c>
      <c r="B259" s="2" t="s">
        <v>1564</v>
      </c>
      <c r="C259" s="2" t="s">
        <v>648</v>
      </c>
      <c r="D259" s="2" t="n">
        <v>1</v>
      </c>
      <c r="E259" s="2" t="s">
        <v>1561</v>
      </c>
      <c r="F259" s="2" t="s">
        <v>1562</v>
      </c>
      <c r="G259" s="2" t="n">
        <v>304</v>
      </c>
      <c r="H259" s="2"/>
    </row>
    <row r="260" customFormat="false" ht="15" hidden="false" customHeight="false" outlineLevel="0" collapsed="false">
      <c r="A260" s="2" t="s">
        <v>1565</v>
      </c>
      <c r="B260" s="2" t="s">
        <v>1566</v>
      </c>
      <c r="C260" s="2" t="s">
        <v>648</v>
      </c>
      <c r="D260" s="2" t="n">
        <v>1</v>
      </c>
      <c r="E260" s="2" t="s">
        <v>1561</v>
      </c>
      <c r="F260" s="2" t="s">
        <v>1567</v>
      </c>
      <c r="G260" s="2" t="n">
        <v>270</v>
      </c>
      <c r="H260" s="2"/>
    </row>
    <row r="261" customFormat="false" ht="15" hidden="false" customHeight="false" outlineLevel="0" collapsed="false">
      <c r="A261" s="2" t="s">
        <v>1568</v>
      </c>
      <c r="B261" s="2" t="s">
        <v>1569</v>
      </c>
      <c r="C261" s="2" t="s">
        <v>648</v>
      </c>
      <c r="D261" s="2" t="n">
        <v>1</v>
      </c>
      <c r="E261" s="2" t="s">
        <v>1561</v>
      </c>
      <c r="F261" s="2" t="s">
        <v>1562</v>
      </c>
      <c r="G261" s="2" t="n">
        <v>333</v>
      </c>
      <c r="H261" s="2"/>
    </row>
    <row r="262" customFormat="false" ht="15" hidden="false" customHeight="false" outlineLevel="0" collapsed="false">
      <c r="A262" s="2" t="s">
        <v>1570</v>
      </c>
      <c r="B262" s="2" t="s">
        <v>1571</v>
      </c>
      <c r="C262" s="2" t="s">
        <v>648</v>
      </c>
      <c r="D262" s="2" t="n">
        <v>1</v>
      </c>
      <c r="E262" s="2" t="s">
        <v>1561</v>
      </c>
      <c r="F262" s="2" t="s">
        <v>1562</v>
      </c>
      <c r="G262" s="2" t="n">
        <v>317</v>
      </c>
      <c r="H262" s="2"/>
    </row>
    <row r="263" customFormat="false" ht="15" hidden="false" customHeight="false" outlineLevel="0" collapsed="false">
      <c r="A263" s="2" t="s">
        <v>1572</v>
      </c>
      <c r="B263" s="2" t="s">
        <v>1573</v>
      </c>
      <c r="C263" s="2" t="s">
        <v>648</v>
      </c>
      <c r="D263" s="2" t="n">
        <v>1</v>
      </c>
      <c r="E263" s="2" t="s">
        <v>1561</v>
      </c>
      <c r="F263" s="2" t="s">
        <v>1574</v>
      </c>
      <c r="G263" s="2" t="n">
        <v>303</v>
      </c>
      <c r="H263" s="2"/>
    </row>
    <row r="264" customFormat="false" ht="15" hidden="false" customHeight="false" outlineLevel="0" collapsed="false">
      <c r="A264" s="2" t="s">
        <v>1575</v>
      </c>
      <c r="B264" s="2" t="s">
        <v>1576</v>
      </c>
      <c r="C264" s="2" t="s">
        <v>648</v>
      </c>
      <c r="D264" s="2" t="n">
        <v>1</v>
      </c>
      <c r="E264" s="2" t="s">
        <v>1561</v>
      </c>
      <c r="F264" s="2" t="s">
        <v>1562</v>
      </c>
      <c r="G264" s="2" t="n">
        <v>622</v>
      </c>
      <c r="H264" s="2"/>
    </row>
    <row r="265" customFormat="false" ht="15" hidden="false" customHeight="false" outlineLevel="0" collapsed="false">
      <c r="A265" s="2" t="s">
        <v>1577</v>
      </c>
      <c r="B265" s="2" t="s">
        <v>1578</v>
      </c>
      <c r="C265" s="2" t="s">
        <v>648</v>
      </c>
      <c r="D265" s="2" t="n">
        <v>1</v>
      </c>
      <c r="E265" s="2" t="s">
        <v>1561</v>
      </c>
      <c r="F265" s="2" t="s">
        <v>1579</v>
      </c>
      <c r="G265" s="2" t="n">
        <v>516</v>
      </c>
      <c r="H265" s="2"/>
    </row>
    <row r="266" customFormat="false" ht="15" hidden="false" customHeight="false" outlineLevel="0" collapsed="false">
      <c r="A266" s="2" t="s">
        <v>1580</v>
      </c>
      <c r="B266" s="2" t="s">
        <v>1581</v>
      </c>
      <c r="C266" s="2" t="s">
        <v>648</v>
      </c>
      <c r="D266" s="2" t="n">
        <v>1</v>
      </c>
      <c r="E266" s="2" t="s">
        <v>1561</v>
      </c>
      <c r="F266" s="2" t="s">
        <v>1562</v>
      </c>
      <c r="G266" s="2" t="n">
        <v>582</v>
      </c>
      <c r="H266" s="2"/>
    </row>
    <row r="267" customFormat="false" ht="15" hidden="false" customHeight="false" outlineLevel="0" collapsed="false">
      <c r="A267" s="2" t="s">
        <v>1582</v>
      </c>
      <c r="B267" s="2" t="s">
        <v>1583</v>
      </c>
      <c r="C267" s="2" t="s">
        <v>648</v>
      </c>
      <c r="D267" s="2" t="n">
        <v>1</v>
      </c>
      <c r="E267" s="2" t="s">
        <v>1561</v>
      </c>
      <c r="F267" s="2" t="s">
        <v>1562</v>
      </c>
      <c r="G267" s="2" t="n">
        <v>548</v>
      </c>
      <c r="H267" s="2"/>
    </row>
    <row r="268" customFormat="false" ht="15" hidden="false" customHeight="false" outlineLevel="0" collapsed="false">
      <c r="A268" s="2" t="s">
        <v>1584</v>
      </c>
      <c r="B268" s="2" t="s">
        <v>1585</v>
      </c>
      <c r="C268" s="2" t="s">
        <v>648</v>
      </c>
      <c r="D268" s="2" t="n">
        <v>1</v>
      </c>
      <c r="E268" s="2" t="s">
        <v>1561</v>
      </c>
      <c r="F268" s="2" t="s">
        <v>1562</v>
      </c>
      <c r="G268" s="2" t="n">
        <v>494</v>
      </c>
      <c r="H268" s="2"/>
    </row>
    <row r="269" customFormat="false" ht="15" hidden="false" customHeight="false" outlineLevel="0" collapsed="false">
      <c r="A269" s="2" t="s">
        <v>1586</v>
      </c>
      <c r="B269" s="2" t="s">
        <v>1587</v>
      </c>
      <c r="C269" s="2" t="s">
        <v>648</v>
      </c>
      <c r="D269" s="2" t="n">
        <v>1</v>
      </c>
      <c r="E269" s="2" t="s">
        <v>1561</v>
      </c>
      <c r="F269" s="2" t="s">
        <v>1562</v>
      </c>
      <c r="G269" s="2" t="n">
        <v>376</v>
      </c>
      <c r="H269" s="2"/>
    </row>
    <row r="270" customFormat="false" ht="15" hidden="false" customHeight="false" outlineLevel="0" collapsed="false">
      <c r="A270" s="2" t="s">
        <v>1588</v>
      </c>
      <c r="B270" s="2" t="s">
        <v>1589</v>
      </c>
      <c r="C270" s="2" t="s">
        <v>648</v>
      </c>
      <c r="D270" s="2" t="n">
        <v>1</v>
      </c>
      <c r="E270" s="2" t="s">
        <v>1561</v>
      </c>
      <c r="F270" s="2" t="s">
        <v>1562</v>
      </c>
      <c r="G270" s="2" t="n">
        <v>221</v>
      </c>
      <c r="H270" s="2"/>
    </row>
    <row r="271" customFormat="false" ht="15" hidden="false" customHeight="false" outlineLevel="0" collapsed="false">
      <c r="A271" s="2" t="s">
        <v>1590</v>
      </c>
      <c r="B271" s="2" t="s">
        <v>1591</v>
      </c>
      <c r="C271" s="2" t="s">
        <v>648</v>
      </c>
      <c r="D271" s="2" t="n">
        <v>1</v>
      </c>
      <c r="E271" s="2" t="s">
        <v>1561</v>
      </c>
      <c r="F271" s="2" t="s">
        <v>1592</v>
      </c>
      <c r="G271" s="2" t="n">
        <v>180</v>
      </c>
      <c r="H271" s="2"/>
    </row>
    <row r="272" customFormat="false" ht="15" hidden="false" customHeight="false" outlineLevel="0" collapsed="false">
      <c r="A272" s="2" t="s">
        <v>1593</v>
      </c>
      <c r="B272" s="2" t="s">
        <v>1594</v>
      </c>
      <c r="C272" s="2" t="s">
        <v>648</v>
      </c>
      <c r="D272" s="2" t="n">
        <v>1</v>
      </c>
      <c r="E272" s="2" t="s">
        <v>1561</v>
      </c>
      <c r="F272" s="2" t="s">
        <v>1562</v>
      </c>
      <c r="G272" s="2" t="n">
        <v>364</v>
      </c>
      <c r="H272" s="2"/>
    </row>
    <row r="273" customFormat="false" ht="15" hidden="false" customHeight="false" outlineLevel="0" collapsed="false">
      <c r="A273" s="2" t="s">
        <v>1595</v>
      </c>
      <c r="B273" s="2" t="s">
        <v>1596</v>
      </c>
      <c r="C273" s="2" t="s">
        <v>648</v>
      </c>
      <c r="D273" s="2" t="n">
        <v>1</v>
      </c>
      <c r="E273" s="2" t="s">
        <v>1561</v>
      </c>
      <c r="F273" s="2" t="s">
        <v>1562</v>
      </c>
      <c r="G273" s="2" t="n">
        <v>465</v>
      </c>
      <c r="H273" s="2"/>
    </row>
    <row r="274" customFormat="false" ht="15" hidden="false" customHeight="false" outlineLevel="0" collapsed="false">
      <c r="A274" s="2" t="s">
        <v>1597</v>
      </c>
      <c r="B274" s="2" t="s">
        <v>1598</v>
      </c>
      <c r="C274" s="2" t="s">
        <v>663</v>
      </c>
      <c r="D274" s="2" t="n">
        <v>1</v>
      </c>
      <c r="E274" s="2" t="s">
        <v>1599</v>
      </c>
      <c r="F274" s="2" t="s">
        <v>1562</v>
      </c>
      <c r="G274" s="2" t="n">
        <v>297</v>
      </c>
      <c r="H274" s="2"/>
    </row>
    <row r="275" customFormat="false" ht="15" hidden="false" customHeight="false" outlineLevel="0" collapsed="false">
      <c r="A275" s="2" t="s">
        <v>1600</v>
      </c>
      <c r="B275" s="2" t="s">
        <v>1601</v>
      </c>
      <c r="C275" s="2" t="s">
        <v>888</v>
      </c>
      <c r="D275" s="2" t="n">
        <v>1</v>
      </c>
      <c r="E275" s="2" t="s">
        <v>1602</v>
      </c>
      <c r="F275" s="2" t="s">
        <v>1562</v>
      </c>
      <c r="G275" s="2" t="n">
        <v>408</v>
      </c>
      <c r="H275" s="2"/>
    </row>
    <row r="276" customFormat="false" ht="15" hidden="false" customHeight="false" outlineLevel="0" collapsed="false">
      <c r="A276" s="2" t="s">
        <v>1603</v>
      </c>
      <c r="B276" s="2" t="s">
        <v>1604</v>
      </c>
      <c r="C276" s="2" t="s">
        <v>888</v>
      </c>
      <c r="D276" s="2" t="n">
        <v>6</v>
      </c>
      <c r="E276" s="2" t="s">
        <v>1605</v>
      </c>
      <c r="F276" s="2" t="s">
        <v>1562</v>
      </c>
      <c r="G276" s="2" t="n">
        <v>70</v>
      </c>
      <c r="H276" s="2" t="s">
        <v>1606</v>
      </c>
    </row>
    <row r="277" customFormat="false" ht="15" hidden="false" customHeight="false" outlineLevel="0" collapsed="false">
      <c r="A277" s="2" t="s">
        <v>1607</v>
      </c>
      <c r="B277" s="2" t="s">
        <v>1608</v>
      </c>
      <c r="C277" s="2" t="s">
        <v>663</v>
      </c>
      <c r="D277" s="2" t="n">
        <v>8</v>
      </c>
      <c r="E277" s="2" t="s">
        <v>1609</v>
      </c>
      <c r="F277" s="2" t="s">
        <v>1610</v>
      </c>
      <c r="G277" s="2" t="n">
        <v>82</v>
      </c>
      <c r="H277" s="2"/>
    </row>
    <row r="278" customFormat="false" ht="15" hidden="false" customHeight="false" outlineLevel="0" collapsed="false">
      <c r="A278" s="2" t="s">
        <v>1611</v>
      </c>
      <c r="B278" s="2" t="s">
        <v>1612</v>
      </c>
      <c r="C278" s="2" t="s">
        <v>663</v>
      </c>
      <c r="D278" s="2" t="n">
        <v>1</v>
      </c>
      <c r="E278" s="2" t="s">
        <v>1613</v>
      </c>
      <c r="F278" s="2" t="s">
        <v>1562</v>
      </c>
      <c r="G278" s="2" t="n">
        <v>305</v>
      </c>
      <c r="H278" s="2"/>
    </row>
    <row r="279" customFormat="false" ht="15" hidden="false" customHeight="false" outlineLevel="0" collapsed="false">
      <c r="A279" s="2" t="s">
        <v>1614</v>
      </c>
      <c r="B279" s="2" t="s">
        <v>1615</v>
      </c>
      <c r="C279" s="2" t="s">
        <v>663</v>
      </c>
      <c r="D279" s="2" t="n">
        <v>20</v>
      </c>
      <c r="E279" s="2" t="s">
        <v>1616</v>
      </c>
      <c r="F279" s="2" t="s">
        <v>1562</v>
      </c>
      <c r="G279" s="2" t="n">
        <v>159</v>
      </c>
      <c r="H279" s="2"/>
    </row>
    <row r="280" customFormat="false" ht="15" hidden="false" customHeight="false" outlineLevel="0" collapsed="false">
      <c r="A280" s="2" t="s">
        <v>1617</v>
      </c>
      <c r="B280" s="2" t="s">
        <v>1618</v>
      </c>
      <c r="C280" s="2" t="s">
        <v>663</v>
      </c>
      <c r="D280" s="2" t="n">
        <v>12</v>
      </c>
      <c r="E280" s="2" t="s">
        <v>1619</v>
      </c>
      <c r="F280" s="2" t="s">
        <v>1562</v>
      </c>
      <c r="G280" s="2" t="n">
        <v>168</v>
      </c>
      <c r="H280" s="2"/>
    </row>
    <row r="281" customFormat="false" ht="15" hidden="false" customHeight="false" outlineLevel="0" collapsed="false">
      <c r="A281" s="2" t="s">
        <v>1620</v>
      </c>
      <c r="B281" s="2" t="s">
        <v>1621</v>
      </c>
      <c r="C281" s="2" t="s">
        <v>663</v>
      </c>
      <c r="D281" s="2" t="n">
        <v>10</v>
      </c>
      <c r="E281" s="2" t="s">
        <v>1622</v>
      </c>
      <c r="F281" s="2" t="s">
        <v>1562</v>
      </c>
      <c r="G281" s="2" t="n">
        <v>204</v>
      </c>
      <c r="H281" s="2"/>
    </row>
    <row r="282" customFormat="false" ht="15" hidden="false" customHeight="false" outlineLevel="0" collapsed="false">
      <c r="A282" s="2" t="s">
        <v>1623</v>
      </c>
      <c r="B282" s="2" t="s">
        <v>1624</v>
      </c>
      <c r="C282" s="2" t="s">
        <v>663</v>
      </c>
      <c r="D282" s="2" t="n">
        <v>8</v>
      </c>
      <c r="E282" s="2" t="s">
        <v>1625</v>
      </c>
      <c r="F282" s="2" t="s">
        <v>1562</v>
      </c>
      <c r="G282" s="2" t="n">
        <v>276</v>
      </c>
      <c r="H282" s="2"/>
    </row>
    <row r="283" customFormat="false" ht="15" hidden="false" customHeight="false" outlineLevel="0" collapsed="false">
      <c r="A283" s="2" t="s">
        <v>1626</v>
      </c>
      <c r="B283" s="2" t="s">
        <v>1627</v>
      </c>
      <c r="C283" s="2" t="s">
        <v>663</v>
      </c>
      <c r="D283" s="2" t="n">
        <v>4</v>
      </c>
      <c r="E283" s="2" t="s">
        <v>1628</v>
      </c>
      <c r="F283" s="2" t="s">
        <v>1629</v>
      </c>
      <c r="G283" s="2" t="n">
        <v>200</v>
      </c>
      <c r="H283" s="2"/>
    </row>
    <row r="284" customFormat="false" ht="15" hidden="false" customHeight="false" outlineLevel="0" collapsed="false">
      <c r="A284" s="2" t="s">
        <v>1630</v>
      </c>
      <c r="B284" s="2" t="s">
        <v>1631</v>
      </c>
      <c r="C284" s="2" t="s">
        <v>736</v>
      </c>
      <c r="D284" s="2" t="n">
        <v>1</v>
      </c>
      <c r="E284" s="2" t="s">
        <v>1632</v>
      </c>
      <c r="F284" s="2" t="s">
        <v>1562</v>
      </c>
      <c r="G284" s="2" t="n">
        <v>420</v>
      </c>
      <c r="H284" s="2"/>
    </row>
    <row r="285" customFormat="false" ht="15" hidden="false" customHeight="false" outlineLevel="0" collapsed="false">
      <c r="A285" s="2" t="s">
        <v>1633</v>
      </c>
      <c r="B285" s="2" t="s">
        <v>1634</v>
      </c>
      <c r="C285" s="2" t="s">
        <v>736</v>
      </c>
      <c r="D285" s="2" t="n">
        <v>4</v>
      </c>
      <c r="E285" s="2" t="s">
        <v>1635</v>
      </c>
      <c r="F285" s="2" t="s">
        <v>1636</v>
      </c>
      <c r="G285" s="2" t="n">
        <v>429</v>
      </c>
      <c r="H285" s="2"/>
    </row>
    <row r="286" customFormat="false" ht="15" hidden="false" customHeight="false" outlineLevel="0" collapsed="false">
      <c r="A286" s="2" t="s">
        <v>1637</v>
      </c>
      <c r="B286" s="2" t="s">
        <v>1638</v>
      </c>
      <c r="C286" s="2" t="s">
        <v>736</v>
      </c>
      <c r="D286" s="2" t="n">
        <v>4</v>
      </c>
      <c r="E286" s="2" t="s">
        <v>1639</v>
      </c>
      <c r="F286" s="2" t="s">
        <v>1574</v>
      </c>
      <c r="G286" s="2" t="n">
        <v>324</v>
      </c>
      <c r="H286" s="2"/>
    </row>
    <row r="287" customFormat="false" ht="15" hidden="false" customHeight="false" outlineLevel="0" collapsed="false">
      <c r="A287" s="2" t="s">
        <v>1640</v>
      </c>
      <c r="B287" s="2" t="s">
        <v>1641</v>
      </c>
      <c r="C287" s="2" t="s">
        <v>736</v>
      </c>
      <c r="D287" s="2" t="n">
        <v>1</v>
      </c>
      <c r="E287" s="2" t="s">
        <v>1642</v>
      </c>
      <c r="F287" s="2" t="s">
        <v>1562</v>
      </c>
      <c r="G287" s="2" t="n">
        <v>782</v>
      </c>
      <c r="H287" s="2"/>
    </row>
    <row r="288" customFormat="false" ht="15" hidden="false" customHeight="false" outlineLevel="0" collapsed="false">
      <c r="A288" s="2" t="s">
        <v>1643</v>
      </c>
      <c r="B288" s="2" t="s">
        <v>1644</v>
      </c>
      <c r="C288" s="2" t="s">
        <v>736</v>
      </c>
      <c r="D288" s="2" t="n">
        <v>1</v>
      </c>
      <c r="E288" s="2" t="s">
        <v>1645</v>
      </c>
      <c r="F288" s="2" t="s">
        <v>1646</v>
      </c>
      <c r="G288" s="2" t="n">
        <v>605</v>
      </c>
      <c r="H288" s="2"/>
    </row>
    <row r="289" customFormat="false" ht="15" hidden="false" customHeight="false" outlineLevel="0" collapsed="false">
      <c r="A289" s="2" t="s">
        <v>1647</v>
      </c>
      <c r="B289" s="2" t="s">
        <v>1648</v>
      </c>
      <c r="C289" s="2" t="s">
        <v>888</v>
      </c>
      <c r="D289" s="2" t="n">
        <v>1</v>
      </c>
      <c r="E289" s="2" t="s">
        <v>1649</v>
      </c>
      <c r="F289" s="2" t="s">
        <v>1562</v>
      </c>
      <c r="G289" s="2" t="n">
        <v>618</v>
      </c>
      <c r="H289" s="2"/>
    </row>
    <row r="290" customFormat="false" ht="15" hidden="false" customHeight="false" outlineLevel="0" collapsed="false">
      <c r="A290" s="2" t="s">
        <v>1650</v>
      </c>
      <c r="B290" s="2" t="s">
        <v>1651</v>
      </c>
      <c r="C290" s="2" t="s">
        <v>736</v>
      </c>
      <c r="D290" s="2" t="n">
        <v>4</v>
      </c>
      <c r="E290" s="2" t="s">
        <v>1652</v>
      </c>
      <c r="F290" s="2" t="s">
        <v>1653</v>
      </c>
      <c r="G290" s="2" t="n">
        <v>301</v>
      </c>
      <c r="H290" s="2"/>
    </row>
    <row r="291" customFormat="false" ht="15" hidden="false" customHeight="false" outlineLevel="0" collapsed="false">
      <c r="A291" s="2" t="s">
        <v>1654</v>
      </c>
      <c r="B291" s="2" t="s">
        <v>1655</v>
      </c>
      <c r="C291" s="2" t="s">
        <v>736</v>
      </c>
      <c r="D291" s="2" t="n">
        <v>1</v>
      </c>
      <c r="E291" s="2" t="s">
        <v>1656</v>
      </c>
      <c r="F291" s="2" t="s">
        <v>1562</v>
      </c>
      <c r="G291" s="2" t="n">
        <v>325</v>
      </c>
      <c r="H291" s="2" t="s">
        <v>1657</v>
      </c>
    </row>
    <row r="292" customFormat="false" ht="15" hidden="false" customHeight="false" outlineLevel="0" collapsed="false">
      <c r="A292" s="2" t="s">
        <v>1658</v>
      </c>
      <c r="B292" s="2" t="s">
        <v>1659</v>
      </c>
      <c r="C292" s="2" t="s">
        <v>888</v>
      </c>
      <c r="D292" s="2" t="n">
        <v>4</v>
      </c>
      <c r="E292" s="2" t="s">
        <v>1660</v>
      </c>
      <c r="F292" s="2" t="s">
        <v>1574</v>
      </c>
      <c r="G292" s="2" t="n">
        <v>60</v>
      </c>
      <c r="H292" s="2" t="s">
        <v>1661</v>
      </c>
    </row>
    <row r="293" customFormat="false" ht="15" hidden="false" customHeight="false" outlineLevel="0" collapsed="false">
      <c r="A293" s="2" t="s">
        <v>1662</v>
      </c>
      <c r="B293" s="2" t="s">
        <v>1663</v>
      </c>
      <c r="C293" s="2" t="s">
        <v>736</v>
      </c>
      <c r="D293" s="2" t="n">
        <v>1</v>
      </c>
      <c r="E293" s="2" t="s">
        <v>1664</v>
      </c>
      <c r="F293" s="2" t="s">
        <v>1665</v>
      </c>
      <c r="G293" s="2" t="n">
        <v>575</v>
      </c>
      <c r="H293" s="2"/>
    </row>
    <row r="294" customFormat="false" ht="15" hidden="false" customHeight="false" outlineLevel="0" collapsed="false">
      <c r="A294" s="2" t="s">
        <v>1666</v>
      </c>
      <c r="B294" s="2" t="s">
        <v>1667</v>
      </c>
      <c r="C294" s="2" t="s">
        <v>663</v>
      </c>
      <c r="D294" s="2" t="n">
        <v>1</v>
      </c>
      <c r="E294" s="2" t="s">
        <v>1668</v>
      </c>
      <c r="F294" s="2" t="s">
        <v>1562</v>
      </c>
      <c r="G294" s="2" t="n">
        <v>165</v>
      </c>
      <c r="H294" s="2"/>
    </row>
    <row r="295" customFormat="false" ht="15" hidden="false" customHeight="false" outlineLevel="0" collapsed="false">
      <c r="A295" s="2" t="s">
        <v>1669</v>
      </c>
      <c r="B295" s="2" t="s">
        <v>1670</v>
      </c>
      <c r="C295" s="2" t="s">
        <v>736</v>
      </c>
      <c r="D295" s="2" t="n">
        <v>4</v>
      </c>
      <c r="E295" s="2" t="s">
        <v>1671</v>
      </c>
      <c r="F295" s="2" t="s">
        <v>1562</v>
      </c>
      <c r="G295" s="2" t="n">
        <v>484</v>
      </c>
      <c r="H295" s="2"/>
    </row>
    <row r="296" customFormat="false" ht="15" hidden="false" customHeight="false" outlineLevel="0" collapsed="false">
      <c r="A296" s="2" t="s">
        <v>1672</v>
      </c>
      <c r="B296" s="2" t="s">
        <v>1673</v>
      </c>
      <c r="C296" s="2" t="s">
        <v>736</v>
      </c>
      <c r="D296" s="2" t="n">
        <v>1</v>
      </c>
      <c r="E296" s="2" t="s">
        <v>1674</v>
      </c>
      <c r="F296" s="2" t="s">
        <v>1574</v>
      </c>
      <c r="G296" s="2" t="n">
        <v>747</v>
      </c>
      <c r="H296" s="2"/>
    </row>
    <row r="297" customFormat="false" ht="15" hidden="false" customHeight="false" outlineLevel="0" collapsed="false">
      <c r="A297" s="2" t="s">
        <v>1675</v>
      </c>
      <c r="B297" s="2" t="s">
        <v>1676</v>
      </c>
      <c r="C297" s="2" t="s">
        <v>888</v>
      </c>
      <c r="D297" s="2" t="n">
        <v>1</v>
      </c>
      <c r="E297" s="2" t="s">
        <v>1677</v>
      </c>
      <c r="F297" s="2" t="s">
        <v>1562</v>
      </c>
      <c r="G297" s="2" t="n">
        <v>422</v>
      </c>
      <c r="H29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2" style="0" width="11"/>
    <col collapsed="false" customWidth="true" hidden="false" outlineLevel="0" max="5" min="5" style="0" width="46"/>
    <col collapsed="false" customWidth="true" hidden="false" outlineLevel="0" max="7" min="6" style="0" width="11"/>
    <col collapsed="false" customWidth="true" hidden="false" outlineLevel="0" max="9" min="8" style="0" width="12"/>
  </cols>
  <sheetData>
    <row r="1" customFormat="false" ht="15" hidden="false" customHeight="false" outlineLevel="0" collapsed="false">
      <c r="A1" s="4" t="s">
        <v>1678</v>
      </c>
      <c r="B1" s="4" t="s">
        <v>1679</v>
      </c>
      <c r="C1" s="4" t="s">
        <v>1680</v>
      </c>
      <c r="D1" s="4" t="s">
        <v>1681</v>
      </c>
      <c r="E1" s="4" t="s">
        <v>1682</v>
      </c>
      <c r="F1" s="4" t="s">
        <v>1683</v>
      </c>
      <c r="G1" s="4" t="s">
        <v>1684</v>
      </c>
      <c r="H1" s="4" t="s">
        <v>1685</v>
      </c>
      <c r="I1" s="4" t="s">
        <v>1686</v>
      </c>
    </row>
    <row r="2" customFormat="false" ht="15" hidden="false" customHeight="false" outlineLevel="0" collapsed="false">
      <c r="A2" s="2" t="s">
        <v>646</v>
      </c>
      <c r="B2" s="2" t="s">
        <v>52</v>
      </c>
      <c r="C2" s="2" t="n">
        <v>0.5</v>
      </c>
      <c r="D2" s="2" t="s">
        <v>1687</v>
      </c>
      <c r="E2" s="2" t="s">
        <v>1688</v>
      </c>
      <c r="F2" s="2"/>
      <c r="G2" s="2" t="n">
        <v>1</v>
      </c>
      <c r="H2" s="2" t="s">
        <v>1689</v>
      </c>
      <c r="I2" s="2" t="n">
        <v>1</v>
      </c>
    </row>
    <row r="3" customFormat="false" ht="15" hidden="false" customHeight="false" outlineLevel="0" collapsed="false">
      <c r="A3" s="2" t="s">
        <v>646</v>
      </c>
      <c r="B3" s="2" t="s">
        <v>59</v>
      </c>
      <c r="C3" s="2" t="n">
        <v>38</v>
      </c>
      <c r="D3" s="2" t="s">
        <v>54</v>
      </c>
      <c r="E3" s="2" t="s">
        <v>1690</v>
      </c>
      <c r="F3" s="2" t="n">
        <v>20</v>
      </c>
      <c r="G3" s="2" t="n">
        <v>60</v>
      </c>
      <c r="H3" s="2" t="s">
        <v>1689</v>
      </c>
      <c r="I3" s="2" t="n">
        <v>2</v>
      </c>
    </row>
    <row r="4" customFormat="false" ht="15" hidden="false" customHeight="false" outlineLevel="0" collapsed="false">
      <c r="A4" s="2" t="s">
        <v>646</v>
      </c>
      <c r="B4" s="2" t="s">
        <v>64</v>
      </c>
      <c r="C4" s="2" t="n">
        <v>30</v>
      </c>
      <c r="D4" s="2" t="s">
        <v>54</v>
      </c>
      <c r="E4" s="2" t="s">
        <v>1691</v>
      </c>
      <c r="F4" s="2" t="n">
        <v>15</v>
      </c>
      <c r="G4" s="2" t="n">
        <v>45</v>
      </c>
      <c r="H4" s="2" t="s">
        <v>1689</v>
      </c>
      <c r="I4" s="2" t="n">
        <v>3</v>
      </c>
    </row>
    <row r="5" customFormat="false" ht="15" hidden="false" customHeight="false" outlineLevel="0" collapsed="false">
      <c r="A5" s="2" t="s">
        <v>646</v>
      </c>
      <c r="B5" s="2" t="s">
        <v>67</v>
      </c>
      <c r="C5" s="2" t="n">
        <v>30</v>
      </c>
      <c r="D5" s="2" t="s">
        <v>54</v>
      </c>
      <c r="E5" s="2" t="s">
        <v>1692</v>
      </c>
      <c r="F5" s="2" t="n">
        <v>15</v>
      </c>
      <c r="G5" s="2" t="n">
        <v>45</v>
      </c>
      <c r="H5" s="2" t="s">
        <v>1693</v>
      </c>
      <c r="I5" s="2" t="n">
        <v>4</v>
      </c>
    </row>
    <row r="6" customFormat="false" ht="15" hidden="false" customHeight="false" outlineLevel="0" collapsed="false">
      <c r="A6" s="2" t="s">
        <v>646</v>
      </c>
      <c r="B6" s="2" t="s">
        <v>71</v>
      </c>
      <c r="C6" s="2" t="n">
        <v>30</v>
      </c>
      <c r="D6" s="2" t="s">
        <v>54</v>
      </c>
      <c r="E6" s="2" t="s">
        <v>1694</v>
      </c>
      <c r="F6" s="2" t="n">
        <v>15</v>
      </c>
      <c r="G6" s="2" t="n">
        <v>45</v>
      </c>
      <c r="H6" s="2" t="s">
        <v>1693</v>
      </c>
      <c r="I6" s="2" t="n">
        <v>5</v>
      </c>
    </row>
    <row r="7" customFormat="false" ht="15" hidden="false" customHeight="false" outlineLevel="0" collapsed="false">
      <c r="A7" s="2" t="s">
        <v>646</v>
      </c>
      <c r="B7" s="2" t="s">
        <v>143</v>
      </c>
      <c r="C7" s="2" t="n">
        <v>100</v>
      </c>
      <c r="D7" s="2" t="s">
        <v>76</v>
      </c>
      <c r="E7" s="2" t="s">
        <v>1695</v>
      </c>
      <c r="F7" s="2" t="n">
        <v>50</v>
      </c>
      <c r="G7" s="2" t="n">
        <v>150</v>
      </c>
      <c r="H7" s="2" t="s">
        <v>1689</v>
      </c>
      <c r="I7" s="2" t="n">
        <v>6</v>
      </c>
    </row>
    <row r="8" customFormat="false" ht="15" hidden="false" customHeight="false" outlineLevel="0" collapsed="false">
      <c r="A8" s="2" t="s">
        <v>646</v>
      </c>
      <c r="B8" s="2" t="s">
        <v>146</v>
      </c>
      <c r="C8" s="2" t="n">
        <v>6</v>
      </c>
      <c r="D8" s="2" t="s">
        <v>54</v>
      </c>
      <c r="E8" s="2" t="s">
        <v>1696</v>
      </c>
      <c r="F8" s="2"/>
      <c r="G8" s="2" t="n">
        <v>12</v>
      </c>
      <c r="H8" s="2" t="s">
        <v>1689</v>
      </c>
      <c r="I8" s="2" t="n">
        <v>7</v>
      </c>
    </row>
    <row r="9" customFormat="false" ht="15" hidden="false" customHeight="false" outlineLevel="0" collapsed="false">
      <c r="A9" s="2" t="s">
        <v>659</v>
      </c>
      <c r="B9" s="2" t="s">
        <v>52</v>
      </c>
      <c r="C9" s="2" t="n">
        <v>1</v>
      </c>
      <c r="D9" s="2" t="s">
        <v>1687</v>
      </c>
      <c r="E9" s="2" t="s">
        <v>1697</v>
      </c>
      <c r="F9" s="2" t="n">
        <v>0.5</v>
      </c>
      <c r="G9" s="2" t="n">
        <v>1.5</v>
      </c>
      <c r="H9" s="2" t="s">
        <v>1689</v>
      </c>
      <c r="I9" s="2" t="n">
        <v>1</v>
      </c>
    </row>
    <row r="10" customFormat="false" ht="15" hidden="false" customHeight="false" outlineLevel="0" collapsed="false">
      <c r="A10" s="2" t="s">
        <v>659</v>
      </c>
      <c r="B10" s="2" t="s">
        <v>67</v>
      </c>
      <c r="C10" s="2" t="n">
        <v>15</v>
      </c>
      <c r="D10" s="2" t="s">
        <v>54</v>
      </c>
      <c r="E10" s="2" t="s">
        <v>1698</v>
      </c>
      <c r="F10" s="2"/>
      <c r="G10" s="2" t="n">
        <v>30</v>
      </c>
      <c r="H10" s="2" t="s">
        <v>1693</v>
      </c>
      <c r="I10" s="2" t="n">
        <v>2</v>
      </c>
    </row>
    <row r="11" customFormat="false" ht="15" hidden="false" customHeight="false" outlineLevel="0" collapsed="false">
      <c r="A11" s="2" t="s">
        <v>659</v>
      </c>
      <c r="B11" s="2" t="s">
        <v>77</v>
      </c>
      <c r="C11" s="2" t="n">
        <v>32</v>
      </c>
      <c r="D11" s="2" t="s">
        <v>54</v>
      </c>
      <c r="E11" s="2" t="s">
        <v>1699</v>
      </c>
      <c r="F11" s="2" t="n">
        <v>16</v>
      </c>
      <c r="G11" s="2" t="n">
        <v>48</v>
      </c>
      <c r="H11" s="2" t="s">
        <v>1700</v>
      </c>
      <c r="I11" s="2" t="n">
        <v>3</v>
      </c>
    </row>
    <row r="12" customFormat="false" ht="15" hidden="false" customHeight="false" outlineLevel="0" collapsed="false">
      <c r="A12" s="2" t="s">
        <v>659</v>
      </c>
      <c r="B12" s="2" t="s">
        <v>71</v>
      </c>
      <c r="C12" s="2" t="n">
        <v>30</v>
      </c>
      <c r="D12" s="2" t="s">
        <v>54</v>
      </c>
      <c r="E12" s="2" t="s">
        <v>1694</v>
      </c>
      <c r="F12" s="2" t="n">
        <v>15</v>
      </c>
      <c r="G12" s="2" t="n">
        <v>45</v>
      </c>
      <c r="H12" s="2" t="s">
        <v>1693</v>
      </c>
      <c r="I12" s="2" t="n">
        <v>4</v>
      </c>
    </row>
    <row r="13" customFormat="false" ht="15" hidden="false" customHeight="false" outlineLevel="0" collapsed="false">
      <c r="A13" s="2" t="s">
        <v>659</v>
      </c>
      <c r="B13" s="2" t="s">
        <v>81</v>
      </c>
      <c r="C13" s="2" t="n">
        <v>40</v>
      </c>
      <c r="D13" s="2" t="s">
        <v>54</v>
      </c>
      <c r="E13" s="2" t="s">
        <v>1701</v>
      </c>
      <c r="F13" s="2" t="n">
        <v>20</v>
      </c>
      <c r="G13" s="2" t="n">
        <v>60</v>
      </c>
      <c r="H13" s="2" t="s">
        <v>1689</v>
      </c>
      <c r="I13" s="2" t="n">
        <v>5</v>
      </c>
    </row>
    <row r="14" customFormat="false" ht="15" hidden="false" customHeight="false" outlineLevel="0" collapsed="false">
      <c r="A14" s="2" t="s">
        <v>659</v>
      </c>
      <c r="B14" s="2" t="s">
        <v>74</v>
      </c>
      <c r="C14" s="2" t="n">
        <v>100</v>
      </c>
      <c r="D14" s="2" t="s">
        <v>76</v>
      </c>
      <c r="E14" s="2" t="s">
        <v>1702</v>
      </c>
      <c r="F14" s="2" t="n">
        <v>50</v>
      </c>
      <c r="G14" s="2" t="n">
        <v>150</v>
      </c>
      <c r="H14" s="2" t="s">
        <v>1689</v>
      </c>
      <c r="I14" s="2" t="n">
        <v>6</v>
      </c>
    </row>
    <row r="15" customFormat="false" ht="15" hidden="false" customHeight="false" outlineLevel="0" collapsed="false">
      <c r="A15" s="2" t="s">
        <v>659</v>
      </c>
      <c r="B15" s="2" t="s">
        <v>146</v>
      </c>
      <c r="C15" s="2" t="n">
        <v>6</v>
      </c>
      <c r="D15" s="2" t="s">
        <v>54</v>
      </c>
      <c r="E15" s="2" t="s">
        <v>1696</v>
      </c>
      <c r="F15" s="2"/>
      <c r="G15" s="2" t="n">
        <v>12</v>
      </c>
      <c r="H15" s="2" t="s">
        <v>1689</v>
      </c>
      <c r="I15" s="2" t="n">
        <v>7</v>
      </c>
    </row>
    <row r="16" customFormat="false" ht="15" hidden="false" customHeight="false" outlineLevel="0" collapsed="false">
      <c r="A16" s="2" t="s">
        <v>671</v>
      </c>
      <c r="B16" s="2" t="s">
        <v>81</v>
      </c>
      <c r="C16" s="2" t="n">
        <v>100</v>
      </c>
      <c r="D16" s="2" t="s">
        <v>54</v>
      </c>
      <c r="E16" s="2" t="s">
        <v>1703</v>
      </c>
      <c r="F16" s="2" t="n">
        <v>50</v>
      </c>
      <c r="G16" s="2" t="n">
        <v>150</v>
      </c>
      <c r="H16" s="2" t="s">
        <v>1689</v>
      </c>
      <c r="I16" s="2" t="n">
        <v>1</v>
      </c>
    </row>
    <row r="17" customFormat="false" ht="15" hidden="false" customHeight="false" outlineLevel="0" collapsed="false">
      <c r="A17" s="2" t="s">
        <v>671</v>
      </c>
      <c r="B17" s="2" t="s">
        <v>71</v>
      </c>
      <c r="C17" s="2" t="n">
        <v>50</v>
      </c>
      <c r="D17" s="2" t="s">
        <v>54</v>
      </c>
      <c r="E17" s="2" t="s">
        <v>1704</v>
      </c>
      <c r="F17" s="2" t="n">
        <v>25</v>
      </c>
      <c r="G17" s="2" t="n">
        <v>75</v>
      </c>
      <c r="H17" s="2" t="s">
        <v>1693</v>
      </c>
      <c r="I17" s="2" t="n">
        <v>2</v>
      </c>
    </row>
    <row r="18" customFormat="false" ht="15" hidden="false" customHeight="false" outlineLevel="0" collapsed="false">
      <c r="A18" s="2" t="s">
        <v>671</v>
      </c>
      <c r="B18" s="2" t="s">
        <v>85</v>
      </c>
      <c r="C18" s="2" t="n">
        <v>100</v>
      </c>
      <c r="D18" s="2" t="s">
        <v>54</v>
      </c>
      <c r="E18" s="2" t="s">
        <v>1705</v>
      </c>
      <c r="F18" s="2" t="n">
        <v>50</v>
      </c>
      <c r="G18" s="2" t="n">
        <v>150</v>
      </c>
      <c r="H18" s="2" t="s">
        <v>1700</v>
      </c>
      <c r="I18" s="2" t="n">
        <v>3</v>
      </c>
    </row>
    <row r="19" customFormat="false" ht="15" hidden="false" customHeight="false" outlineLevel="0" collapsed="false">
      <c r="A19" s="2" t="s">
        <v>671</v>
      </c>
      <c r="B19" s="2" t="s">
        <v>89</v>
      </c>
      <c r="C19" s="2" t="n">
        <v>30</v>
      </c>
      <c r="D19" s="2" t="s">
        <v>54</v>
      </c>
      <c r="E19" s="2" t="s">
        <v>1706</v>
      </c>
      <c r="F19" s="2" t="n">
        <v>15</v>
      </c>
      <c r="G19" s="2" t="n">
        <v>45</v>
      </c>
      <c r="H19" s="2" t="s">
        <v>1689</v>
      </c>
      <c r="I19" s="2" t="n">
        <v>4</v>
      </c>
    </row>
    <row r="20" customFormat="false" ht="15" hidden="false" customHeight="false" outlineLevel="0" collapsed="false">
      <c r="A20" s="2" t="s">
        <v>671</v>
      </c>
      <c r="B20" s="2" t="s">
        <v>91</v>
      </c>
      <c r="C20" s="2" t="n">
        <v>50</v>
      </c>
      <c r="D20" s="2" t="s">
        <v>54</v>
      </c>
      <c r="E20" s="2" t="s">
        <v>1707</v>
      </c>
      <c r="F20" s="2" t="n">
        <v>25</v>
      </c>
      <c r="G20" s="2" t="n">
        <v>75</v>
      </c>
      <c r="H20" s="2" t="s">
        <v>1689</v>
      </c>
      <c r="I20" s="2" t="n">
        <v>5</v>
      </c>
    </row>
    <row r="21" customFormat="false" ht="15" hidden="false" customHeight="false" outlineLevel="0" collapsed="false">
      <c r="A21" s="2" t="s">
        <v>671</v>
      </c>
      <c r="B21" s="2" t="s">
        <v>93</v>
      </c>
      <c r="C21" s="2" t="n">
        <v>25</v>
      </c>
      <c r="D21" s="2" t="s">
        <v>54</v>
      </c>
      <c r="E21" s="2" t="s">
        <v>1708</v>
      </c>
      <c r="F21" s="2" t="n">
        <v>10</v>
      </c>
      <c r="G21" s="2" t="n">
        <v>40</v>
      </c>
      <c r="H21" s="2" t="s">
        <v>1689</v>
      </c>
      <c r="I21" s="2" t="n">
        <v>6</v>
      </c>
    </row>
    <row r="22" customFormat="false" ht="15" hidden="false" customHeight="false" outlineLevel="0" collapsed="false">
      <c r="A22" s="2" t="s">
        <v>671</v>
      </c>
      <c r="B22" s="2" t="s">
        <v>67</v>
      </c>
      <c r="C22" s="2" t="n">
        <v>60</v>
      </c>
      <c r="D22" s="2" t="s">
        <v>54</v>
      </c>
      <c r="E22" s="2" t="s">
        <v>1709</v>
      </c>
      <c r="F22" s="2" t="n">
        <v>30</v>
      </c>
      <c r="G22" s="2" t="n">
        <v>90</v>
      </c>
      <c r="H22" s="2" t="s">
        <v>1693</v>
      </c>
      <c r="I22" s="2" t="n">
        <v>7</v>
      </c>
    </row>
    <row r="23" customFormat="false" ht="15" hidden="false" customHeight="false" outlineLevel="0" collapsed="false">
      <c r="A23" s="2" t="s">
        <v>671</v>
      </c>
      <c r="B23" s="2" t="s">
        <v>97</v>
      </c>
      <c r="C23" s="2" t="n">
        <v>10</v>
      </c>
      <c r="D23" s="2" t="s">
        <v>54</v>
      </c>
      <c r="E23" s="2" t="s">
        <v>1710</v>
      </c>
      <c r="F23" s="2" t="n">
        <v>5</v>
      </c>
      <c r="G23" s="2" t="n">
        <v>20</v>
      </c>
      <c r="H23" s="2" t="s">
        <v>1689</v>
      </c>
      <c r="I23" s="2" t="n">
        <v>8</v>
      </c>
    </row>
    <row r="24" customFormat="false" ht="15" hidden="false" customHeight="false" outlineLevel="0" collapsed="false">
      <c r="A24" s="2" t="s">
        <v>671</v>
      </c>
      <c r="B24" s="2" t="s">
        <v>99</v>
      </c>
      <c r="C24" s="2" t="n">
        <v>4</v>
      </c>
      <c r="D24" s="2" t="s">
        <v>54</v>
      </c>
      <c r="E24" s="2" t="s">
        <v>1711</v>
      </c>
      <c r="F24" s="2" t="n">
        <v>2</v>
      </c>
      <c r="G24" s="2" t="n">
        <v>6</v>
      </c>
      <c r="H24" s="2" t="s">
        <v>1689</v>
      </c>
      <c r="I24" s="2" t="n">
        <v>9</v>
      </c>
    </row>
    <row r="25" customFormat="false" ht="15" hidden="false" customHeight="false" outlineLevel="0" collapsed="false">
      <c r="A25" s="2" t="s">
        <v>675</v>
      </c>
      <c r="B25" s="2" t="s">
        <v>102</v>
      </c>
      <c r="C25" s="2" t="n">
        <v>240</v>
      </c>
      <c r="D25" s="2" t="s">
        <v>54</v>
      </c>
      <c r="E25" s="2" t="s">
        <v>1712</v>
      </c>
      <c r="F25" s="2" t="n">
        <v>200</v>
      </c>
      <c r="G25" s="2" t="n">
        <v>280</v>
      </c>
      <c r="H25" s="2" t="s">
        <v>1689</v>
      </c>
      <c r="I25" s="2" t="n">
        <v>1</v>
      </c>
    </row>
    <row r="26" customFormat="false" ht="15" hidden="false" customHeight="false" outlineLevel="0" collapsed="false">
      <c r="A26" s="2" t="s">
        <v>675</v>
      </c>
      <c r="B26" s="2" t="s">
        <v>71</v>
      </c>
      <c r="C26" s="2" t="n">
        <v>30</v>
      </c>
      <c r="D26" s="2" t="s">
        <v>54</v>
      </c>
      <c r="E26" s="2" t="s">
        <v>1713</v>
      </c>
      <c r="F26" s="2" t="n">
        <v>15</v>
      </c>
      <c r="G26" s="2" t="n">
        <v>45</v>
      </c>
      <c r="H26" s="2" t="s">
        <v>1693</v>
      </c>
      <c r="I26" s="2" t="n">
        <v>2</v>
      </c>
    </row>
    <row r="27" customFormat="false" ht="15" hidden="false" customHeight="false" outlineLevel="0" collapsed="false">
      <c r="A27" s="2" t="s">
        <v>675</v>
      </c>
      <c r="B27" s="2" t="s">
        <v>85</v>
      </c>
      <c r="C27" s="2" t="n">
        <v>125</v>
      </c>
      <c r="D27" s="2" t="s">
        <v>54</v>
      </c>
      <c r="E27" s="2" t="s">
        <v>1714</v>
      </c>
      <c r="F27" s="2" t="n">
        <v>60</v>
      </c>
      <c r="G27" s="2" t="n">
        <v>190</v>
      </c>
      <c r="H27" s="2" t="s">
        <v>1700</v>
      </c>
      <c r="I27" s="2" t="n">
        <v>3</v>
      </c>
    </row>
    <row r="28" customFormat="false" ht="15" hidden="false" customHeight="false" outlineLevel="0" collapsed="false">
      <c r="A28" s="2" t="s">
        <v>675</v>
      </c>
      <c r="B28" s="2" t="s">
        <v>105</v>
      </c>
      <c r="C28" s="2" t="n">
        <v>70</v>
      </c>
      <c r="D28" s="2" t="s">
        <v>54</v>
      </c>
      <c r="E28" s="2" t="s">
        <v>1715</v>
      </c>
      <c r="F28" s="2" t="n">
        <v>35</v>
      </c>
      <c r="G28" s="2" t="n">
        <v>105</v>
      </c>
      <c r="H28" s="2" t="s">
        <v>1689</v>
      </c>
      <c r="I28" s="2" t="n">
        <v>4</v>
      </c>
    </row>
    <row r="29" customFormat="false" ht="15" hidden="false" customHeight="false" outlineLevel="0" collapsed="false">
      <c r="A29" s="2" t="s">
        <v>675</v>
      </c>
      <c r="B29" s="2" t="s">
        <v>107</v>
      </c>
      <c r="C29" s="2" t="n">
        <v>1</v>
      </c>
      <c r="D29" s="2" t="s">
        <v>54</v>
      </c>
      <c r="E29" s="2" t="s">
        <v>1716</v>
      </c>
      <c r="F29" s="2" t="n">
        <v>0.5</v>
      </c>
      <c r="G29" s="2" t="n">
        <v>2</v>
      </c>
      <c r="H29" s="2" t="s">
        <v>1689</v>
      </c>
      <c r="I29" s="2" t="n">
        <v>5</v>
      </c>
    </row>
    <row r="30" customFormat="false" ht="15" hidden="false" customHeight="false" outlineLevel="0" collapsed="false">
      <c r="A30" s="2" t="s">
        <v>675</v>
      </c>
      <c r="B30" s="2" t="s">
        <v>107</v>
      </c>
      <c r="C30" s="2" t="n">
        <v>1</v>
      </c>
      <c r="D30" s="2" t="s">
        <v>54</v>
      </c>
      <c r="E30" s="2" t="s">
        <v>1717</v>
      </c>
      <c r="F30" s="2" t="n">
        <v>0.5</v>
      </c>
      <c r="G30" s="2" t="n">
        <v>2</v>
      </c>
      <c r="H30" s="2" t="s">
        <v>1689</v>
      </c>
      <c r="I30" s="2" t="n">
        <v>6</v>
      </c>
    </row>
    <row r="31" customFormat="false" ht="15" hidden="false" customHeight="false" outlineLevel="0" collapsed="false">
      <c r="A31" s="2" t="s">
        <v>675</v>
      </c>
      <c r="B31" s="2" t="s">
        <v>99</v>
      </c>
      <c r="C31" s="2" t="n">
        <v>1</v>
      </c>
      <c r="D31" s="2" t="s">
        <v>54</v>
      </c>
      <c r="E31" s="2" t="s">
        <v>1718</v>
      </c>
      <c r="F31" s="2"/>
      <c r="G31" s="2" t="n">
        <v>2</v>
      </c>
      <c r="H31" s="2" t="s">
        <v>1689</v>
      </c>
      <c r="I31" s="2" t="n">
        <v>7</v>
      </c>
    </row>
    <row r="32" customFormat="false" ht="15" hidden="false" customHeight="false" outlineLevel="0" collapsed="false">
      <c r="A32" s="2" t="s">
        <v>675</v>
      </c>
      <c r="B32" s="2" t="s">
        <v>93</v>
      </c>
      <c r="C32" s="2" t="n">
        <v>50</v>
      </c>
      <c r="D32" s="2" t="s">
        <v>54</v>
      </c>
      <c r="E32" s="2" t="s">
        <v>1719</v>
      </c>
      <c r="F32" s="2" t="n">
        <v>20</v>
      </c>
      <c r="G32" s="2" t="n">
        <v>80</v>
      </c>
      <c r="H32" s="2" t="s">
        <v>1689</v>
      </c>
      <c r="I32" s="2" t="n">
        <v>8</v>
      </c>
    </row>
    <row r="33" customFormat="false" ht="15" hidden="false" customHeight="false" outlineLevel="0" collapsed="false">
      <c r="A33" s="2" t="s">
        <v>709</v>
      </c>
      <c r="B33" s="2" t="s">
        <v>110</v>
      </c>
      <c r="C33" s="2" t="n">
        <v>2</v>
      </c>
      <c r="D33" s="2" t="s">
        <v>1687</v>
      </c>
      <c r="E33" s="2" t="s">
        <v>1720</v>
      </c>
      <c r="F33" s="2" t="n">
        <v>1</v>
      </c>
      <c r="G33" s="2" t="n">
        <v>3</v>
      </c>
      <c r="H33" s="2" t="s">
        <v>1693</v>
      </c>
      <c r="I33" s="2" t="n">
        <v>1</v>
      </c>
    </row>
    <row r="34" customFormat="false" ht="15" hidden="false" customHeight="false" outlineLevel="0" collapsed="false">
      <c r="A34" s="2" t="s">
        <v>709</v>
      </c>
      <c r="B34" s="2" t="s">
        <v>74</v>
      </c>
      <c r="C34" s="2" t="n">
        <v>20</v>
      </c>
      <c r="D34" s="2" t="s">
        <v>76</v>
      </c>
      <c r="E34" s="2" t="s">
        <v>1721</v>
      </c>
      <c r="F34" s="2"/>
      <c r="G34" s="2" t="n">
        <v>40</v>
      </c>
      <c r="H34" s="2" t="s">
        <v>1689</v>
      </c>
      <c r="I34" s="2" t="n">
        <v>2</v>
      </c>
    </row>
    <row r="35" customFormat="false" ht="15" hidden="false" customHeight="false" outlineLevel="0" collapsed="false">
      <c r="A35" s="2" t="s">
        <v>709</v>
      </c>
      <c r="B35" s="2" t="s">
        <v>117</v>
      </c>
      <c r="C35" s="2" t="n">
        <v>0.5</v>
      </c>
      <c r="D35" s="2" t="s">
        <v>1687</v>
      </c>
      <c r="E35" s="2" t="s">
        <v>1722</v>
      </c>
      <c r="F35" s="2" t="n">
        <v>0.25</v>
      </c>
      <c r="G35" s="2" t="n">
        <v>1</v>
      </c>
      <c r="H35" s="2" t="s">
        <v>1700</v>
      </c>
      <c r="I35" s="2" t="n">
        <v>3</v>
      </c>
    </row>
    <row r="36" customFormat="false" ht="15" hidden="false" customHeight="false" outlineLevel="0" collapsed="false">
      <c r="A36" s="2" t="s">
        <v>709</v>
      </c>
      <c r="B36" s="2" t="s">
        <v>121</v>
      </c>
      <c r="C36" s="2" t="n">
        <v>1</v>
      </c>
      <c r="D36" s="2" t="s">
        <v>1687</v>
      </c>
      <c r="E36" s="2" t="s">
        <v>1723</v>
      </c>
      <c r="F36" s="2" t="n">
        <v>1</v>
      </c>
      <c r="G36" s="2" t="n">
        <v>2</v>
      </c>
      <c r="H36" s="2" t="s">
        <v>1689</v>
      </c>
      <c r="I36" s="2" t="n">
        <v>4</v>
      </c>
    </row>
    <row r="37" customFormat="false" ht="15" hidden="false" customHeight="false" outlineLevel="0" collapsed="false">
      <c r="A37" s="2" t="s">
        <v>709</v>
      </c>
      <c r="B37" s="2" t="s">
        <v>125</v>
      </c>
      <c r="C37" s="2" t="n">
        <v>2</v>
      </c>
      <c r="D37" s="2" t="s">
        <v>1687</v>
      </c>
      <c r="E37" s="2" t="s">
        <v>1724</v>
      </c>
      <c r="F37" s="2" t="n">
        <v>1</v>
      </c>
      <c r="G37" s="2" t="n">
        <v>4</v>
      </c>
      <c r="H37" s="2" t="s">
        <v>1693</v>
      </c>
      <c r="I37" s="2" t="n">
        <v>5</v>
      </c>
    </row>
    <row r="38" customFormat="false" ht="15" hidden="false" customHeight="false" outlineLevel="0" collapsed="false">
      <c r="A38" s="2" t="s">
        <v>709</v>
      </c>
      <c r="B38" s="2" t="s">
        <v>129</v>
      </c>
      <c r="C38" s="2" t="n">
        <v>4</v>
      </c>
      <c r="D38" s="2" t="s">
        <v>54</v>
      </c>
      <c r="E38" s="2" t="s">
        <v>1725</v>
      </c>
      <c r="F38" s="2"/>
      <c r="G38" s="2" t="n">
        <v>8</v>
      </c>
      <c r="H38" s="2" t="s">
        <v>1700</v>
      </c>
      <c r="I38" s="2" t="n">
        <v>6</v>
      </c>
    </row>
    <row r="39" customFormat="false" ht="15" hidden="false" customHeight="false" outlineLevel="0" collapsed="false">
      <c r="A39" s="2" t="s">
        <v>709</v>
      </c>
      <c r="B39" s="2" t="s">
        <v>131</v>
      </c>
      <c r="C39" s="2" t="n">
        <v>1</v>
      </c>
      <c r="D39" s="2" t="s">
        <v>54</v>
      </c>
      <c r="E39" s="2" t="s">
        <v>1726</v>
      </c>
      <c r="F39" s="2"/>
      <c r="G39" s="2" t="n">
        <v>1</v>
      </c>
      <c r="H39" s="2" t="s">
        <v>1689</v>
      </c>
      <c r="I39" s="2" t="n">
        <v>7</v>
      </c>
    </row>
    <row r="40" customFormat="false" ht="15" hidden="false" customHeight="false" outlineLevel="0" collapsed="false">
      <c r="A40" s="2" t="s">
        <v>886</v>
      </c>
      <c r="B40" s="2" t="s">
        <v>134</v>
      </c>
      <c r="C40" s="2" t="n">
        <v>3</v>
      </c>
      <c r="D40" s="2" t="s">
        <v>1687</v>
      </c>
      <c r="E40" s="2" t="s">
        <v>1727</v>
      </c>
      <c r="F40" s="2" t="n">
        <v>2</v>
      </c>
      <c r="G40" s="2" t="n">
        <v>4</v>
      </c>
      <c r="H40" s="2" t="s">
        <v>1693</v>
      </c>
      <c r="I40" s="2" t="n">
        <v>1</v>
      </c>
    </row>
    <row r="41" customFormat="false" ht="15" hidden="false" customHeight="false" outlineLevel="0" collapsed="false">
      <c r="A41" s="2" t="s">
        <v>886</v>
      </c>
      <c r="B41" s="2" t="s">
        <v>110</v>
      </c>
      <c r="C41" s="2" t="n">
        <v>2</v>
      </c>
      <c r="D41" s="2" t="s">
        <v>1687</v>
      </c>
      <c r="E41" s="2" t="s">
        <v>1728</v>
      </c>
      <c r="F41" s="2" t="n">
        <v>1</v>
      </c>
      <c r="G41" s="2" t="n">
        <v>3</v>
      </c>
      <c r="H41" s="2" t="s">
        <v>1693</v>
      </c>
      <c r="I41" s="2" t="n">
        <v>2</v>
      </c>
    </row>
    <row r="42" customFormat="false" ht="15" hidden="false" customHeight="false" outlineLevel="0" collapsed="false">
      <c r="A42" s="2" t="s">
        <v>886</v>
      </c>
      <c r="B42" s="2" t="s">
        <v>114</v>
      </c>
      <c r="C42" s="2" t="n">
        <v>2</v>
      </c>
      <c r="D42" s="2" t="s">
        <v>1687</v>
      </c>
      <c r="E42" s="2" t="s">
        <v>1729</v>
      </c>
      <c r="F42" s="2"/>
      <c r="G42" s="2" t="n">
        <v>4</v>
      </c>
      <c r="H42" s="2" t="s">
        <v>1693</v>
      </c>
      <c r="I42" s="2" t="n">
        <v>3</v>
      </c>
    </row>
    <row r="43" customFormat="false" ht="15" hidden="false" customHeight="false" outlineLevel="0" collapsed="false">
      <c r="A43" s="2" t="s">
        <v>886</v>
      </c>
      <c r="B43" s="2" t="s">
        <v>117</v>
      </c>
      <c r="C43" s="2" t="n">
        <v>0.33</v>
      </c>
      <c r="D43" s="2" t="s">
        <v>1687</v>
      </c>
      <c r="E43" s="2" t="s">
        <v>1730</v>
      </c>
      <c r="F43" s="2" t="n">
        <v>0.25</v>
      </c>
      <c r="G43" s="2" t="n">
        <v>0.5</v>
      </c>
      <c r="H43" s="2" t="s">
        <v>1700</v>
      </c>
      <c r="I43" s="2" t="n">
        <v>4</v>
      </c>
    </row>
    <row r="44" customFormat="false" ht="15" hidden="false" customHeight="false" outlineLevel="0" collapsed="false">
      <c r="A44" s="2" t="s">
        <v>886</v>
      </c>
      <c r="B44" s="2" t="s">
        <v>140</v>
      </c>
      <c r="C44" s="2" t="n">
        <v>1</v>
      </c>
      <c r="D44" s="2" t="s">
        <v>1687</v>
      </c>
      <c r="E44" s="2" t="s">
        <v>1731</v>
      </c>
      <c r="F44" s="2" t="n">
        <v>1</v>
      </c>
      <c r="G44" s="2" t="n">
        <v>2</v>
      </c>
      <c r="H44" s="2" t="s">
        <v>1689</v>
      </c>
      <c r="I44" s="2" t="n">
        <v>5</v>
      </c>
    </row>
    <row r="45" customFormat="false" ht="15" hidden="false" customHeight="false" outlineLevel="0" collapsed="false">
      <c r="A45" s="2" t="s">
        <v>886</v>
      </c>
      <c r="B45" s="2" t="s">
        <v>137</v>
      </c>
      <c r="C45" s="2" t="n">
        <v>150</v>
      </c>
      <c r="D45" s="2" t="s">
        <v>54</v>
      </c>
      <c r="E45" s="2" t="s">
        <v>1732</v>
      </c>
      <c r="F45" s="2" t="n">
        <v>100</v>
      </c>
      <c r="G45" s="2" t="n">
        <v>200</v>
      </c>
      <c r="H45" s="2" t="s">
        <v>1689</v>
      </c>
      <c r="I45" s="2" t="n">
        <v>6</v>
      </c>
    </row>
    <row r="46" customFormat="false" ht="15" hidden="false" customHeight="false" outlineLevel="0" collapsed="false">
      <c r="A46" s="2" t="s">
        <v>650</v>
      </c>
      <c r="B46" s="2" t="s">
        <v>52</v>
      </c>
      <c r="C46" s="2" t="n">
        <v>1</v>
      </c>
      <c r="D46" s="2" t="s">
        <v>1687</v>
      </c>
      <c r="E46" s="2" t="s">
        <v>1697</v>
      </c>
      <c r="F46" s="2"/>
      <c r="G46" s="2" t="n">
        <v>2</v>
      </c>
      <c r="H46" s="2" t="s">
        <v>1689</v>
      </c>
      <c r="I46" s="2" t="n">
        <v>1</v>
      </c>
    </row>
    <row r="47" customFormat="false" ht="15" hidden="false" customHeight="false" outlineLevel="0" collapsed="false">
      <c r="A47" s="2" t="s">
        <v>650</v>
      </c>
      <c r="B47" s="2" t="s">
        <v>148</v>
      </c>
      <c r="C47" s="2" t="n">
        <v>45</v>
      </c>
      <c r="D47" s="2" t="s">
        <v>54</v>
      </c>
      <c r="E47" s="2" t="s">
        <v>1733</v>
      </c>
      <c r="F47" s="2" t="n">
        <v>22.5</v>
      </c>
      <c r="G47" s="2" t="n">
        <v>67.5</v>
      </c>
      <c r="H47" s="2" t="s">
        <v>1693</v>
      </c>
      <c r="I47" s="2" t="n">
        <v>2</v>
      </c>
    </row>
    <row r="48" customFormat="false" ht="15" hidden="false" customHeight="false" outlineLevel="0" collapsed="false">
      <c r="A48" s="2" t="s">
        <v>650</v>
      </c>
      <c r="B48" s="2" t="s">
        <v>498</v>
      </c>
      <c r="C48" s="2" t="n">
        <v>30</v>
      </c>
      <c r="D48" s="2" t="s">
        <v>54</v>
      </c>
      <c r="E48" s="2" t="s">
        <v>1734</v>
      </c>
      <c r="F48" s="2" t="n">
        <v>15</v>
      </c>
      <c r="G48" s="2" t="n">
        <v>45</v>
      </c>
      <c r="H48" s="2" t="s">
        <v>1693</v>
      </c>
      <c r="I48" s="2" t="n">
        <v>3</v>
      </c>
    </row>
    <row r="49" customFormat="false" ht="15" hidden="false" customHeight="false" outlineLevel="0" collapsed="false">
      <c r="A49" s="2" t="s">
        <v>650</v>
      </c>
      <c r="B49" s="2" t="s">
        <v>216</v>
      </c>
      <c r="C49" s="2" t="n">
        <v>20</v>
      </c>
      <c r="D49" s="2" t="s">
        <v>54</v>
      </c>
      <c r="E49" s="2" t="s">
        <v>1735</v>
      </c>
      <c r="F49" s="2" t="n">
        <v>10</v>
      </c>
      <c r="G49" s="2" t="n">
        <v>30</v>
      </c>
      <c r="H49" s="2" t="s">
        <v>1689</v>
      </c>
      <c r="I49" s="2" t="n">
        <v>4</v>
      </c>
    </row>
    <row r="50" customFormat="false" ht="15" hidden="false" customHeight="false" outlineLevel="0" collapsed="false">
      <c r="A50" s="2" t="s">
        <v>650</v>
      </c>
      <c r="B50" s="2" t="s">
        <v>204</v>
      </c>
      <c r="C50" s="2" t="n">
        <v>16</v>
      </c>
      <c r="D50" s="2" t="s">
        <v>54</v>
      </c>
      <c r="E50" s="2" t="s">
        <v>1736</v>
      </c>
      <c r="F50" s="2" t="n">
        <v>8</v>
      </c>
      <c r="G50" s="2" t="n">
        <v>24</v>
      </c>
      <c r="H50" s="2" t="s">
        <v>1700</v>
      </c>
      <c r="I50" s="2" t="n">
        <v>5</v>
      </c>
    </row>
    <row r="51" customFormat="false" ht="15" hidden="false" customHeight="false" outlineLevel="0" collapsed="false">
      <c r="A51" s="2" t="s">
        <v>650</v>
      </c>
      <c r="B51" s="2" t="s">
        <v>236</v>
      </c>
      <c r="C51" s="2" t="n">
        <v>100</v>
      </c>
      <c r="D51" s="2" t="s">
        <v>76</v>
      </c>
      <c r="E51" s="2" t="s">
        <v>1737</v>
      </c>
      <c r="F51" s="2" t="n">
        <v>50</v>
      </c>
      <c r="G51" s="2" t="n">
        <v>150</v>
      </c>
      <c r="H51" s="2" t="s">
        <v>1689</v>
      </c>
      <c r="I51" s="2" t="n">
        <v>6</v>
      </c>
    </row>
    <row r="52" customFormat="false" ht="15" hidden="false" customHeight="false" outlineLevel="0" collapsed="false">
      <c r="A52" s="2" t="s">
        <v>650</v>
      </c>
      <c r="B52" s="2" t="s">
        <v>146</v>
      </c>
      <c r="C52" s="2" t="n">
        <v>6</v>
      </c>
      <c r="D52" s="2" t="s">
        <v>54</v>
      </c>
      <c r="E52" s="2" t="s">
        <v>1696</v>
      </c>
      <c r="F52" s="2" t="n">
        <v>5</v>
      </c>
      <c r="G52" s="2" t="n">
        <v>7</v>
      </c>
      <c r="H52" s="2" t="s">
        <v>1689</v>
      </c>
      <c r="I52" s="2" t="n">
        <v>7</v>
      </c>
    </row>
    <row r="53" customFormat="false" ht="15" hidden="false" customHeight="false" outlineLevel="0" collapsed="false">
      <c r="A53" s="2" t="s">
        <v>652</v>
      </c>
      <c r="B53" s="2" t="s">
        <v>343</v>
      </c>
      <c r="C53" s="2" t="n">
        <v>1</v>
      </c>
      <c r="D53" s="2" t="s">
        <v>1687</v>
      </c>
      <c r="E53" s="2" t="s">
        <v>1738</v>
      </c>
      <c r="F53" s="2"/>
      <c r="G53" s="2" t="n">
        <v>2</v>
      </c>
      <c r="H53" s="2" t="s">
        <v>1689</v>
      </c>
      <c r="I53" s="2" t="n">
        <v>1</v>
      </c>
    </row>
    <row r="54" customFormat="false" ht="15" hidden="false" customHeight="false" outlineLevel="0" collapsed="false">
      <c r="A54" s="2" t="s">
        <v>652</v>
      </c>
      <c r="B54" s="2" t="s">
        <v>71</v>
      </c>
      <c r="C54" s="2" t="n">
        <v>30</v>
      </c>
      <c r="D54" s="2" t="s">
        <v>54</v>
      </c>
      <c r="E54" s="2" t="s">
        <v>1739</v>
      </c>
      <c r="F54" s="2" t="n">
        <v>15</v>
      </c>
      <c r="G54" s="2" t="n">
        <v>45</v>
      </c>
      <c r="H54" s="2" t="s">
        <v>1693</v>
      </c>
      <c r="I54" s="2" t="n">
        <v>2</v>
      </c>
    </row>
    <row r="55" customFormat="false" ht="15" hidden="false" customHeight="false" outlineLevel="0" collapsed="false">
      <c r="A55" s="2" t="s">
        <v>652</v>
      </c>
      <c r="B55" s="2" t="s">
        <v>148</v>
      </c>
      <c r="C55" s="2" t="n">
        <v>15</v>
      </c>
      <c r="D55" s="2" t="s">
        <v>54</v>
      </c>
      <c r="E55" s="2" t="s">
        <v>1698</v>
      </c>
      <c r="F55" s="2" t="n">
        <v>7.5</v>
      </c>
      <c r="G55" s="2" t="n">
        <v>22.5</v>
      </c>
      <c r="H55" s="2" t="s">
        <v>1693</v>
      </c>
      <c r="I55" s="2" t="n">
        <v>3</v>
      </c>
    </row>
    <row r="56" customFormat="false" ht="15" hidden="false" customHeight="false" outlineLevel="0" collapsed="false">
      <c r="A56" s="2" t="s">
        <v>652</v>
      </c>
      <c r="B56" s="2" t="s">
        <v>510</v>
      </c>
      <c r="C56" s="2" t="n">
        <v>5</v>
      </c>
      <c r="D56" s="2" t="s">
        <v>54</v>
      </c>
      <c r="E56" s="2" t="s">
        <v>1740</v>
      </c>
      <c r="F56" s="2" t="n">
        <v>2.5</v>
      </c>
      <c r="G56" s="2" t="n">
        <v>7.5</v>
      </c>
      <c r="H56" s="2" t="s">
        <v>1689</v>
      </c>
      <c r="I56" s="2" t="n">
        <v>4</v>
      </c>
    </row>
    <row r="57" customFormat="false" ht="15" hidden="false" customHeight="false" outlineLevel="0" collapsed="false">
      <c r="A57" s="2" t="s">
        <v>652</v>
      </c>
      <c r="B57" s="2" t="s">
        <v>91</v>
      </c>
      <c r="C57" s="2" t="n">
        <v>14</v>
      </c>
      <c r="D57" s="2" t="s">
        <v>54</v>
      </c>
      <c r="E57" s="2" t="s">
        <v>1741</v>
      </c>
      <c r="F57" s="2" t="n">
        <v>7</v>
      </c>
      <c r="G57" s="2" t="n">
        <v>21</v>
      </c>
      <c r="H57" s="2" t="s">
        <v>1689</v>
      </c>
      <c r="I57" s="2" t="n">
        <v>5</v>
      </c>
    </row>
    <row r="58" customFormat="false" ht="15" hidden="false" customHeight="false" outlineLevel="0" collapsed="false">
      <c r="A58" s="2" t="s">
        <v>652</v>
      </c>
      <c r="B58" s="2" t="s">
        <v>143</v>
      </c>
      <c r="C58" s="2" t="n">
        <v>100</v>
      </c>
      <c r="D58" s="2" t="s">
        <v>76</v>
      </c>
      <c r="E58" s="2" t="s">
        <v>1695</v>
      </c>
      <c r="F58" s="2" t="n">
        <v>50</v>
      </c>
      <c r="G58" s="2" t="n">
        <v>150</v>
      </c>
      <c r="H58" s="2" t="s">
        <v>1689</v>
      </c>
      <c r="I58" s="2" t="n">
        <v>6</v>
      </c>
    </row>
    <row r="59" customFormat="false" ht="15" hidden="false" customHeight="false" outlineLevel="0" collapsed="false">
      <c r="A59" s="2" t="s">
        <v>652</v>
      </c>
      <c r="B59" s="2" t="s">
        <v>146</v>
      </c>
      <c r="C59" s="2" t="n">
        <v>6</v>
      </c>
      <c r="D59" s="2" t="s">
        <v>54</v>
      </c>
      <c r="E59" s="2" t="s">
        <v>1696</v>
      </c>
      <c r="F59" s="2" t="n">
        <v>5</v>
      </c>
      <c r="G59" s="2" t="n">
        <v>7</v>
      </c>
      <c r="H59" s="2" t="s">
        <v>1689</v>
      </c>
      <c r="I59" s="2" t="n">
        <v>7</v>
      </c>
    </row>
    <row r="60" customFormat="false" ht="15" hidden="false" customHeight="false" outlineLevel="0" collapsed="false">
      <c r="A60" s="2" t="s">
        <v>654</v>
      </c>
      <c r="B60" s="2" t="s">
        <v>52</v>
      </c>
      <c r="C60" s="2" t="n">
        <v>1</v>
      </c>
      <c r="D60" s="2" t="s">
        <v>1687</v>
      </c>
      <c r="E60" s="2" t="s">
        <v>1697</v>
      </c>
      <c r="F60" s="2"/>
      <c r="G60" s="2" t="n">
        <v>2</v>
      </c>
      <c r="H60" s="2" t="s">
        <v>1689</v>
      </c>
      <c r="I60" s="2" t="n">
        <v>1</v>
      </c>
    </row>
    <row r="61" customFormat="false" ht="15" hidden="false" customHeight="false" outlineLevel="0" collapsed="false">
      <c r="A61" s="2" t="s">
        <v>654</v>
      </c>
      <c r="B61" s="2" t="s">
        <v>229</v>
      </c>
      <c r="C61" s="2" t="n">
        <v>20</v>
      </c>
      <c r="D61" s="2" t="s">
        <v>54</v>
      </c>
      <c r="E61" s="2" t="s">
        <v>1742</v>
      </c>
      <c r="F61" s="2" t="n">
        <v>10</v>
      </c>
      <c r="G61" s="2" t="n">
        <v>30</v>
      </c>
      <c r="H61" s="2" t="s">
        <v>1689</v>
      </c>
      <c r="I61" s="2" t="n">
        <v>2</v>
      </c>
    </row>
    <row r="62" customFormat="false" ht="15" hidden="false" customHeight="false" outlineLevel="0" collapsed="false">
      <c r="A62" s="2" t="s">
        <v>654</v>
      </c>
      <c r="B62" s="2" t="s">
        <v>71</v>
      </c>
      <c r="C62" s="2" t="n">
        <v>30</v>
      </c>
      <c r="D62" s="2" t="s">
        <v>54</v>
      </c>
      <c r="E62" s="2" t="s">
        <v>1743</v>
      </c>
      <c r="F62" s="2" t="n">
        <v>15</v>
      </c>
      <c r="G62" s="2" t="n">
        <v>45</v>
      </c>
      <c r="H62" s="2" t="s">
        <v>1693</v>
      </c>
      <c r="I62" s="2" t="n">
        <v>3</v>
      </c>
    </row>
    <row r="63" customFormat="false" ht="15" hidden="false" customHeight="false" outlineLevel="0" collapsed="false">
      <c r="A63" s="2" t="s">
        <v>654</v>
      </c>
      <c r="B63" s="2" t="s">
        <v>148</v>
      </c>
      <c r="C63" s="2" t="n">
        <v>30</v>
      </c>
      <c r="D63" s="2" t="s">
        <v>54</v>
      </c>
      <c r="E63" s="2" t="s">
        <v>1744</v>
      </c>
      <c r="F63" s="2" t="n">
        <v>15</v>
      </c>
      <c r="G63" s="2" t="n">
        <v>45</v>
      </c>
      <c r="H63" s="2" t="s">
        <v>1693</v>
      </c>
      <c r="I63" s="2" t="n">
        <v>4</v>
      </c>
    </row>
    <row r="64" customFormat="false" ht="15" hidden="false" customHeight="false" outlineLevel="0" collapsed="false">
      <c r="A64" s="2" t="s">
        <v>654</v>
      </c>
      <c r="B64" s="2" t="s">
        <v>74</v>
      </c>
      <c r="C64" s="2" t="n">
        <v>250</v>
      </c>
      <c r="D64" s="2" t="s">
        <v>76</v>
      </c>
      <c r="E64" s="2" t="s">
        <v>1745</v>
      </c>
      <c r="F64" s="2" t="n">
        <v>125</v>
      </c>
      <c r="G64" s="2" t="n">
        <v>375</v>
      </c>
      <c r="H64" s="2" t="s">
        <v>1689</v>
      </c>
      <c r="I64" s="2" t="n">
        <v>5</v>
      </c>
    </row>
    <row r="65" customFormat="false" ht="15" hidden="false" customHeight="false" outlineLevel="0" collapsed="false">
      <c r="A65" s="2" t="s">
        <v>654</v>
      </c>
      <c r="B65" s="2" t="s">
        <v>91</v>
      </c>
      <c r="C65" s="2" t="n">
        <v>42</v>
      </c>
      <c r="D65" s="2" t="s">
        <v>54</v>
      </c>
      <c r="E65" s="2" t="s">
        <v>1746</v>
      </c>
      <c r="F65" s="2" t="n">
        <v>21</v>
      </c>
      <c r="G65" s="2" t="n">
        <v>63</v>
      </c>
      <c r="H65" s="2" t="s">
        <v>1689</v>
      </c>
      <c r="I65" s="2" t="n">
        <v>6</v>
      </c>
    </row>
    <row r="66" customFormat="false" ht="15" hidden="false" customHeight="false" outlineLevel="0" collapsed="false">
      <c r="A66" s="2" t="s">
        <v>654</v>
      </c>
      <c r="B66" s="2" t="s">
        <v>146</v>
      </c>
      <c r="C66" s="2" t="n">
        <v>6</v>
      </c>
      <c r="D66" s="2" t="s">
        <v>54</v>
      </c>
      <c r="E66" s="2" t="s">
        <v>1696</v>
      </c>
      <c r="F66" s="2" t="n">
        <v>5</v>
      </c>
      <c r="G66" s="2" t="n">
        <v>7</v>
      </c>
      <c r="H66" s="2" t="s">
        <v>1689</v>
      </c>
      <c r="I66" s="2" t="n">
        <v>7</v>
      </c>
    </row>
    <row r="67" customFormat="false" ht="15" hidden="false" customHeight="false" outlineLevel="0" collapsed="false">
      <c r="A67" s="2" t="s">
        <v>657</v>
      </c>
      <c r="B67" s="2" t="s">
        <v>52</v>
      </c>
      <c r="C67" s="2" t="n">
        <v>1</v>
      </c>
      <c r="D67" s="2" t="s">
        <v>1687</v>
      </c>
      <c r="E67" s="2" t="s">
        <v>1697</v>
      </c>
      <c r="F67" s="2"/>
      <c r="G67" s="2" t="n">
        <v>2</v>
      </c>
      <c r="H67" s="2" t="s">
        <v>1689</v>
      </c>
      <c r="I67" s="2" t="n">
        <v>1</v>
      </c>
    </row>
    <row r="68" customFormat="false" ht="15" hidden="false" customHeight="false" outlineLevel="0" collapsed="false">
      <c r="A68" s="2" t="s">
        <v>657</v>
      </c>
      <c r="B68" s="2" t="s">
        <v>510</v>
      </c>
      <c r="C68" s="2" t="n">
        <v>6</v>
      </c>
      <c r="D68" s="2" t="s">
        <v>54</v>
      </c>
      <c r="E68" s="2" t="s">
        <v>1747</v>
      </c>
      <c r="F68" s="2" t="n">
        <v>3</v>
      </c>
      <c r="G68" s="2" t="n">
        <v>9</v>
      </c>
      <c r="H68" s="2" t="s">
        <v>1689</v>
      </c>
      <c r="I68" s="2" t="n">
        <v>2</v>
      </c>
    </row>
    <row r="69" customFormat="false" ht="15" hidden="false" customHeight="false" outlineLevel="0" collapsed="false">
      <c r="A69" s="2" t="s">
        <v>657</v>
      </c>
      <c r="B69" s="2" t="s">
        <v>74</v>
      </c>
      <c r="C69" s="2" t="n">
        <v>200</v>
      </c>
      <c r="D69" s="2" t="s">
        <v>76</v>
      </c>
      <c r="E69" s="2" t="s">
        <v>1748</v>
      </c>
      <c r="F69" s="2" t="n">
        <v>100</v>
      </c>
      <c r="G69" s="2" t="n">
        <v>300</v>
      </c>
      <c r="H69" s="2" t="s">
        <v>1689</v>
      </c>
      <c r="I69" s="2" t="n">
        <v>3</v>
      </c>
    </row>
    <row r="70" customFormat="false" ht="15" hidden="false" customHeight="false" outlineLevel="0" collapsed="false">
      <c r="A70" s="2" t="s">
        <v>657</v>
      </c>
      <c r="B70" s="2" t="s">
        <v>285</v>
      </c>
      <c r="C70" s="2" t="n">
        <v>150</v>
      </c>
      <c r="D70" s="2" t="s">
        <v>54</v>
      </c>
      <c r="E70" s="2" t="s">
        <v>1749</v>
      </c>
      <c r="F70" s="2" t="n">
        <v>75</v>
      </c>
      <c r="G70" s="2" t="n">
        <v>225</v>
      </c>
      <c r="H70" s="2" t="s">
        <v>1693</v>
      </c>
      <c r="I70" s="2" t="n">
        <v>4</v>
      </c>
    </row>
    <row r="71" customFormat="false" ht="15" hidden="false" customHeight="false" outlineLevel="0" collapsed="false">
      <c r="A71" s="2" t="s">
        <v>657</v>
      </c>
      <c r="B71" s="2" t="s">
        <v>81</v>
      </c>
      <c r="C71" s="2" t="n">
        <v>40</v>
      </c>
      <c r="D71" s="2" t="s">
        <v>54</v>
      </c>
      <c r="E71" s="2" t="s">
        <v>1701</v>
      </c>
      <c r="F71" s="2" t="n">
        <v>20</v>
      </c>
      <c r="G71" s="2" t="n">
        <v>60</v>
      </c>
      <c r="H71" s="2" t="s">
        <v>1689</v>
      </c>
      <c r="I71" s="2" t="n">
        <v>5</v>
      </c>
    </row>
    <row r="72" customFormat="false" ht="15" hidden="false" customHeight="false" outlineLevel="0" collapsed="false">
      <c r="A72" s="2" t="s">
        <v>657</v>
      </c>
      <c r="B72" s="2" t="s">
        <v>146</v>
      </c>
      <c r="C72" s="2" t="n">
        <v>6</v>
      </c>
      <c r="D72" s="2" t="s">
        <v>54</v>
      </c>
      <c r="E72" s="2" t="s">
        <v>1696</v>
      </c>
      <c r="F72" s="2" t="n">
        <v>5</v>
      </c>
      <c r="G72" s="2" t="n">
        <v>7</v>
      </c>
      <c r="H72" s="2" t="s">
        <v>1689</v>
      </c>
      <c r="I72" s="2" t="n">
        <v>6</v>
      </c>
    </row>
    <row r="73" customFormat="false" ht="15" hidden="false" customHeight="false" outlineLevel="0" collapsed="false">
      <c r="A73" s="2" t="s">
        <v>661</v>
      </c>
      <c r="B73" s="2" t="s">
        <v>71</v>
      </c>
      <c r="C73" s="2" t="n">
        <v>30</v>
      </c>
      <c r="D73" s="2" t="s">
        <v>54</v>
      </c>
      <c r="E73" s="2" t="s">
        <v>1750</v>
      </c>
      <c r="F73" s="2" t="n">
        <v>15</v>
      </c>
      <c r="G73" s="2" t="n">
        <v>45</v>
      </c>
      <c r="H73" s="2" t="s">
        <v>1693</v>
      </c>
      <c r="I73" s="2" t="n">
        <v>1</v>
      </c>
    </row>
    <row r="74" customFormat="false" ht="15" hidden="false" customHeight="false" outlineLevel="0" collapsed="false">
      <c r="A74" s="2" t="s">
        <v>661</v>
      </c>
      <c r="B74" s="2" t="s">
        <v>392</v>
      </c>
      <c r="C74" s="2" t="n">
        <v>150</v>
      </c>
      <c r="D74" s="2" t="s">
        <v>54</v>
      </c>
      <c r="E74" s="2" t="s">
        <v>1751</v>
      </c>
      <c r="F74" s="2" t="n">
        <v>75</v>
      </c>
      <c r="G74" s="2" t="n">
        <v>225</v>
      </c>
      <c r="H74" s="2" t="s">
        <v>1689</v>
      </c>
      <c r="I74" s="2" t="n">
        <v>2</v>
      </c>
    </row>
    <row r="75" customFormat="false" ht="15" hidden="false" customHeight="false" outlineLevel="0" collapsed="false">
      <c r="A75" s="2" t="s">
        <v>661</v>
      </c>
      <c r="B75" s="2" t="s">
        <v>74</v>
      </c>
      <c r="C75" s="2" t="n">
        <v>150</v>
      </c>
      <c r="D75" s="2" t="s">
        <v>76</v>
      </c>
      <c r="E75" s="2" t="s">
        <v>1752</v>
      </c>
      <c r="F75" s="2" t="n">
        <v>75</v>
      </c>
      <c r="G75" s="2" t="n">
        <v>225</v>
      </c>
      <c r="H75" s="2" t="s">
        <v>1689</v>
      </c>
      <c r="I75" s="2" t="n">
        <v>3</v>
      </c>
    </row>
    <row r="76" customFormat="false" ht="15" hidden="false" customHeight="false" outlineLevel="0" collapsed="false">
      <c r="A76" s="2" t="s">
        <v>661</v>
      </c>
      <c r="B76" s="2" t="s">
        <v>510</v>
      </c>
      <c r="C76" s="2" t="n">
        <v>40</v>
      </c>
      <c r="D76" s="2" t="s">
        <v>54</v>
      </c>
      <c r="E76" s="2" t="s">
        <v>1753</v>
      </c>
      <c r="F76" s="2" t="n">
        <v>20</v>
      </c>
      <c r="G76" s="2" t="n">
        <v>60</v>
      </c>
      <c r="H76" s="2" t="s">
        <v>1689</v>
      </c>
      <c r="I76" s="2" t="n">
        <v>4</v>
      </c>
    </row>
    <row r="77" customFormat="false" ht="15" hidden="false" customHeight="false" outlineLevel="0" collapsed="false">
      <c r="A77" s="2" t="s">
        <v>661</v>
      </c>
      <c r="B77" s="2" t="s">
        <v>89</v>
      </c>
      <c r="C77" s="2" t="n">
        <v>4</v>
      </c>
      <c r="D77" s="2" t="s">
        <v>54</v>
      </c>
      <c r="E77" s="2" t="s">
        <v>1754</v>
      </c>
      <c r="F77" s="2" t="n">
        <v>2</v>
      </c>
      <c r="G77" s="2" t="n">
        <v>6</v>
      </c>
      <c r="H77" s="2" t="s">
        <v>1689</v>
      </c>
      <c r="I77" s="2" t="n">
        <v>5</v>
      </c>
    </row>
    <row r="78" customFormat="false" ht="15" hidden="false" customHeight="false" outlineLevel="0" collapsed="false">
      <c r="A78" s="2" t="s">
        <v>665</v>
      </c>
      <c r="B78" s="2" t="s">
        <v>71</v>
      </c>
      <c r="C78" s="2" t="n">
        <v>60</v>
      </c>
      <c r="D78" s="2" t="s">
        <v>54</v>
      </c>
      <c r="E78" s="2" t="s">
        <v>1755</v>
      </c>
      <c r="F78" s="2" t="n">
        <v>30</v>
      </c>
      <c r="G78" s="2" t="n">
        <v>90</v>
      </c>
      <c r="H78" s="2" t="s">
        <v>1693</v>
      </c>
      <c r="I78" s="2" t="n">
        <v>1</v>
      </c>
    </row>
    <row r="79" customFormat="false" ht="15" hidden="false" customHeight="false" outlineLevel="0" collapsed="false">
      <c r="A79" s="2" t="s">
        <v>665</v>
      </c>
      <c r="B79" s="2" t="s">
        <v>97</v>
      </c>
      <c r="C79" s="2" t="n">
        <v>15</v>
      </c>
      <c r="D79" s="2" t="s">
        <v>54</v>
      </c>
      <c r="E79" s="2" t="s">
        <v>1756</v>
      </c>
      <c r="F79" s="2" t="n">
        <v>7.5</v>
      </c>
      <c r="G79" s="2" t="n">
        <v>22.5</v>
      </c>
      <c r="H79" s="2" t="s">
        <v>1689</v>
      </c>
      <c r="I79" s="2" t="n">
        <v>2</v>
      </c>
    </row>
    <row r="80" customFormat="false" ht="15" hidden="false" customHeight="false" outlineLevel="0" collapsed="false">
      <c r="A80" s="2" t="s">
        <v>665</v>
      </c>
      <c r="B80" s="2" t="s">
        <v>536</v>
      </c>
      <c r="C80" s="2" t="n">
        <v>250</v>
      </c>
      <c r="D80" s="2" t="s">
        <v>76</v>
      </c>
      <c r="E80" s="2" t="s">
        <v>1757</v>
      </c>
      <c r="F80" s="2" t="n">
        <v>125</v>
      </c>
      <c r="G80" s="2" t="n">
        <v>375</v>
      </c>
      <c r="H80" s="2" t="s">
        <v>1700</v>
      </c>
      <c r="I80" s="2" t="n">
        <v>3</v>
      </c>
    </row>
    <row r="81" customFormat="false" ht="15" hidden="false" customHeight="false" outlineLevel="0" collapsed="false">
      <c r="A81" s="2" t="s">
        <v>665</v>
      </c>
      <c r="B81" s="2" t="s">
        <v>148</v>
      </c>
      <c r="C81" s="2" t="n">
        <v>100</v>
      </c>
      <c r="D81" s="2" t="s">
        <v>54</v>
      </c>
      <c r="E81" s="2" t="s">
        <v>1758</v>
      </c>
      <c r="F81" s="2" t="n">
        <v>50</v>
      </c>
      <c r="G81" s="2" t="n">
        <v>150</v>
      </c>
      <c r="H81" s="2" t="s">
        <v>1693</v>
      </c>
      <c r="I81" s="2" t="n">
        <v>4</v>
      </c>
    </row>
    <row r="82" customFormat="false" ht="15" hidden="false" customHeight="false" outlineLevel="0" collapsed="false">
      <c r="A82" s="2" t="s">
        <v>665</v>
      </c>
      <c r="B82" s="2" t="s">
        <v>77</v>
      </c>
      <c r="C82" s="2" t="n">
        <v>15</v>
      </c>
      <c r="D82" s="2" t="s">
        <v>54</v>
      </c>
      <c r="E82" s="2" t="s">
        <v>1759</v>
      </c>
      <c r="F82" s="2" t="n">
        <v>7.5</v>
      </c>
      <c r="G82" s="2" t="n">
        <v>22.5</v>
      </c>
      <c r="H82" s="2" t="s">
        <v>1700</v>
      </c>
      <c r="I82" s="2" t="n">
        <v>5</v>
      </c>
    </row>
    <row r="83" customFormat="false" ht="15" hidden="false" customHeight="false" outlineLevel="0" collapsed="false">
      <c r="A83" s="2" t="s">
        <v>665</v>
      </c>
      <c r="B83" s="2" t="s">
        <v>99</v>
      </c>
      <c r="C83" s="2" t="n">
        <v>3</v>
      </c>
      <c r="D83" s="2" t="s">
        <v>54</v>
      </c>
      <c r="E83" s="2" t="s">
        <v>1760</v>
      </c>
      <c r="F83" s="2" t="n">
        <v>1.5</v>
      </c>
      <c r="G83" s="2" t="n">
        <v>4.5</v>
      </c>
      <c r="H83" s="2" t="s">
        <v>1689</v>
      </c>
      <c r="I83" s="2" t="n">
        <v>6</v>
      </c>
    </row>
    <row r="84" customFormat="false" ht="15" hidden="false" customHeight="false" outlineLevel="0" collapsed="false">
      <c r="A84" s="2" t="s">
        <v>665</v>
      </c>
      <c r="B84" s="2" t="s">
        <v>146</v>
      </c>
      <c r="C84" s="2" t="n">
        <v>5</v>
      </c>
      <c r="D84" s="2" t="s">
        <v>54</v>
      </c>
      <c r="E84" s="2" t="s">
        <v>1761</v>
      </c>
      <c r="F84" s="2" t="n">
        <v>4</v>
      </c>
      <c r="G84" s="2" t="n">
        <v>6</v>
      </c>
      <c r="H84" s="2" t="s">
        <v>1689</v>
      </c>
      <c r="I84" s="2" t="n">
        <v>7</v>
      </c>
    </row>
    <row r="85" customFormat="false" ht="15" hidden="false" customHeight="false" outlineLevel="0" collapsed="false">
      <c r="A85" s="2" t="s">
        <v>665</v>
      </c>
      <c r="B85" s="2" t="s">
        <v>52</v>
      </c>
      <c r="C85" s="2" t="n">
        <v>0.5</v>
      </c>
      <c r="D85" s="2" t="s">
        <v>1687</v>
      </c>
      <c r="E85" s="2" t="s">
        <v>1762</v>
      </c>
      <c r="F85" s="2"/>
      <c r="G85" s="2" t="n">
        <v>1.5</v>
      </c>
      <c r="H85" s="2" t="s">
        <v>1689</v>
      </c>
      <c r="I85" s="2" t="n">
        <v>8</v>
      </c>
    </row>
    <row r="86" customFormat="false" ht="15" hidden="false" customHeight="false" outlineLevel="0" collapsed="false">
      <c r="A86" s="2" t="s">
        <v>665</v>
      </c>
      <c r="B86" s="2" t="s">
        <v>538</v>
      </c>
      <c r="C86" s="2" t="n">
        <v>10</v>
      </c>
      <c r="D86" s="2" t="s">
        <v>54</v>
      </c>
      <c r="E86" s="2" t="s">
        <v>1763</v>
      </c>
      <c r="F86" s="2" t="n">
        <v>5</v>
      </c>
      <c r="G86" s="2" t="n">
        <v>15</v>
      </c>
      <c r="H86" s="2" t="s">
        <v>1700</v>
      </c>
      <c r="I86" s="2" t="n">
        <v>9</v>
      </c>
    </row>
    <row r="87" customFormat="false" ht="15" hidden="false" customHeight="false" outlineLevel="0" collapsed="false">
      <c r="A87" s="2" t="s">
        <v>665</v>
      </c>
      <c r="B87" s="2" t="s">
        <v>206</v>
      </c>
      <c r="C87" s="2" t="n">
        <v>5</v>
      </c>
      <c r="D87" s="2" t="s">
        <v>54</v>
      </c>
      <c r="E87" s="2" t="s">
        <v>1764</v>
      </c>
      <c r="F87" s="2" t="n">
        <v>2.5</v>
      </c>
      <c r="G87" s="2" t="n">
        <v>7.5</v>
      </c>
      <c r="H87" s="2" t="s">
        <v>1700</v>
      </c>
      <c r="I87" s="2" t="n">
        <v>10</v>
      </c>
    </row>
    <row r="88" customFormat="false" ht="15" hidden="false" customHeight="false" outlineLevel="0" collapsed="false">
      <c r="A88" s="2" t="s">
        <v>665</v>
      </c>
      <c r="B88" s="2" t="s">
        <v>89</v>
      </c>
      <c r="C88" s="2" t="n">
        <v>5</v>
      </c>
      <c r="D88" s="2" t="s">
        <v>54</v>
      </c>
      <c r="E88" s="2" t="s">
        <v>1765</v>
      </c>
      <c r="F88" s="2" t="n">
        <v>2.5</v>
      </c>
      <c r="G88" s="2" t="n">
        <v>7.5</v>
      </c>
      <c r="H88" s="2" t="s">
        <v>1689</v>
      </c>
      <c r="I88" s="2" t="n">
        <v>11</v>
      </c>
    </row>
    <row r="89" customFormat="false" ht="15" hidden="false" customHeight="false" outlineLevel="0" collapsed="false">
      <c r="A89" s="2" t="s">
        <v>665</v>
      </c>
      <c r="B89" s="2" t="s">
        <v>266</v>
      </c>
      <c r="C89" s="2" t="n">
        <v>0.5</v>
      </c>
      <c r="D89" s="2" t="s">
        <v>1687</v>
      </c>
      <c r="E89" s="2" t="s">
        <v>1766</v>
      </c>
      <c r="F89" s="2"/>
      <c r="G89" s="2" t="n">
        <v>1.5</v>
      </c>
      <c r="H89" s="2" t="s">
        <v>1689</v>
      </c>
      <c r="I89" s="2" t="n">
        <v>12</v>
      </c>
    </row>
    <row r="90" customFormat="false" ht="15" hidden="false" customHeight="false" outlineLevel="0" collapsed="false">
      <c r="A90" s="2" t="s">
        <v>668</v>
      </c>
      <c r="B90" s="2" t="s">
        <v>71</v>
      </c>
      <c r="C90" s="2" t="n">
        <v>60</v>
      </c>
      <c r="D90" s="2" t="s">
        <v>54</v>
      </c>
      <c r="E90" s="2" t="s">
        <v>1767</v>
      </c>
      <c r="F90" s="2" t="n">
        <v>30</v>
      </c>
      <c r="G90" s="2" t="n">
        <v>90</v>
      </c>
      <c r="H90" s="2" t="s">
        <v>1693</v>
      </c>
      <c r="I90" s="2" t="n">
        <v>1</v>
      </c>
    </row>
    <row r="91" customFormat="false" ht="15" hidden="false" customHeight="false" outlineLevel="0" collapsed="false">
      <c r="A91" s="2" t="s">
        <v>668</v>
      </c>
      <c r="B91" s="2" t="s">
        <v>97</v>
      </c>
      <c r="C91" s="2" t="n">
        <v>15</v>
      </c>
      <c r="D91" s="2" t="s">
        <v>54</v>
      </c>
      <c r="E91" s="2" t="s">
        <v>1756</v>
      </c>
      <c r="F91" s="2" t="n">
        <v>7.5</v>
      </c>
      <c r="G91" s="2" t="n">
        <v>22.5</v>
      </c>
      <c r="H91" s="2" t="s">
        <v>1689</v>
      </c>
      <c r="I91" s="2" t="n">
        <v>2</v>
      </c>
    </row>
    <row r="92" customFormat="false" ht="15" hidden="false" customHeight="false" outlineLevel="0" collapsed="false">
      <c r="A92" s="2" t="s">
        <v>668</v>
      </c>
      <c r="B92" s="2" t="s">
        <v>536</v>
      </c>
      <c r="C92" s="2" t="n">
        <v>250</v>
      </c>
      <c r="D92" s="2" t="s">
        <v>76</v>
      </c>
      <c r="E92" s="2" t="s">
        <v>1757</v>
      </c>
      <c r="F92" s="2" t="n">
        <v>125</v>
      </c>
      <c r="G92" s="2" t="n">
        <v>375</v>
      </c>
      <c r="H92" s="2" t="s">
        <v>1700</v>
      </c>
      <c r="I92" s="2" t="n">
        <v>3</v>
      </c>
    </row>
    <row r="93" customFormat="false" ht="15" hidden="false" customHeight="false" outlineLevel="0" collapsed="false">
      <c r="A93" s="2" t="s">
        <v>668</v>
      </c>
      <c r="B93" s="2" t="s">
        <v>148</v>
      </c>
      <c r="C93" s="2" t="n">
        <v>100</v>
      </c>
      <c r="D93" s="2" t="s">
        <v>54</v>
      </c>
      <c r="E93" s="2" t="s">
        <v>1768</v>
      </c>
      <c r="F93" s="2" t="n">
        <v>50</v>
      </c>
      <c r="G93" s="2" t="n">
        <v>150</v>
      </c>
      <c r="H93" s="2" t="s">
        <v>1693</v>
      </c>
      <c r="I93" s="2" t="n">
        <v>4</v>
      </c>
    </row>
    <row r="94" customFormat="false" ht="15" hidden="false" customHeight="false" outlineLevel="0" collapsed="false">
      <c r="A94" s="2" t="s">
        <v>668</v>
      </c>
      <c r="B94" s="2" t="s">
        <v>77</v>
      </c>
      <c r="C94" s="2" t="n">
        <v>15</v>
      </c>
      <c r="D94" s="2" t="s">
        <v>54</v>
      </c>
      <c r="E94" s="2" t="s">
        <v>1759</v>
      </c>
      <c r="F94" s="2" t="n">
        <v>7.5</v>
      </c>
      <c r="G94" s="2" t="n">
        <v>22.5</v>
      </c>
      <c r="H94" s="2" t="s">
        <v>1700</v>
      </c>
      <c r="I94" s="2" t="n">
        <v>5</v>
      </c>
    </row>
    <row r="95" customFormat="false" ht="15" hidden="false" customHeight="false" outlineLevel="0" collapsed="false">
      <c r="A95" s="2" t="s">
        <v>668</v>
      </c>
      <c r="B95" s="2" t="s">
        <v>99</v>
      </c>
      <c r="C95" s="2" t="n">
        <v>3</v>
      </c>
      <c r="D95" s="2" t="s">
        <v>54</v>
      </c>
      <c r="E95" s="2" t="s">
        <v>1760</v>
      </c>
      <c r="F95" s="2" t="n">
        <v>1.5</v>
      </c>
      <c r="G95" s="2" t="n">
        <v>4.5</v>
      </c>
      <c r="H95" s="2" t="s">
        <v>1689</v>
      </c>
      <c r="I95" s="2" t="n">
        <v>6</v>
      </c>
    </row>
    <row r="96" customFormat="false" ht="15" hidden="false" customHeight="false" outlineLevel="0" collapsed="false">
      <c r="A96" s="2" t="s">
        <v>668</v>
      </c>
      <c r="B96" s="2" t="s">
        <v>146</v>
      </c>
      <c r="C96" s="2" t="n">
        <v>5</v>
      </c>
      <c r="D96" s="2" t="s">
        <v>54</v>
      </c>
      <c r="E96" s="2" t="s">
        <v>1761</v>
      </c>
      <c r="F96" s="2" t="n">
        <v>4</v>
      </c>
      <c r="G96" s="2" t="n">
        <v>6</v>
      </c>
      <c r="H96" s="2" t="s">
        <v>1689</v>
      </c>
      <c r="I96" s="2" t="n">
        <v>7</v>
      </c>
    </row>
    <row r="97" customFormat="false" ht="15" hidden="false" customHeight="false" outlineLevel="0" collapsed="false">
      <c r="A97" s="2" t="s">
        <v>668</v>
      </c>
      <c r="B97" s="2" t="s">
        <v>392</v>
      </c>
      <c r="C97" s="2" t="n">
        <v>80</v>
      </c>
      <c r="D97" s="2" t="s">
        <v>54</v>
      </c>
      <c r="E97" s="2" t="s">
        <v>1769</v>
      </c>
      <c r="F97" s="2" t="n">
        <v>40</v>
      </c>
      <c r="G97" s="2" t="n">
        <v>120</v>
      </c>
      <c r="H97" s="2" t="s">
        <v>1689</v>
      </c>
      <c r="I97" s="2" t="n">
        <v>8</v>
      </c>
    </row>
    <row r="98" customFormat="false" ht="15" hidden="false" customHeight="false" outlineLevel="0" collapsed="false">
      <c r="A98" s="2" t="s">
        <v>668</v>
      </c>
      <c r="B98" s="2" t="s">
        <v>538</v>
      </c>
      <c r="C98" s="2" t="n">
        <v>10</v>
      </c>
      <c r="D98" s="2" t="s">
        <v>54</v>
      </c>
      <c r="E98" s="2" t="s">
        <v>1763</v>
      </c>
      <c r="F98" s="2" t="n">
        <v>5</v>
      </c>
      <c r="G98" s="2" t="n">
        <v>15</v>
      </c>
      <c r="H98" s="2" t="s">
        <v>1700</v>
      </c>
      <c r="I98" s="2" t="n">
        <v>9</v>
      </c>
    </row>
    <row r="99" customFormat="false" ht="15" hidden="false" customHeight="false" outlineLevel="0" collapsed="false">
      <c r="A99" s="2" t="s">
        <v>668</v>
      </c>
      <c r="B99" s="2" t="s">
        <v>206</v>
      </c>
      <c r="C99" s="2" t="n">
        <v>5</v>
      </c>
      <c r="D99" s="2" t="s">
        <v>54</v>
      </c>
      <c r="E99" s="2" t="s">
        <v>1764</v>
      </c>
      <c r="F99" s="2" t="n">
        <v>2.5</v>
      </c>
      <c r="G99" s="2" t="n">
        <v>7.5</v>
      </c>
      <c r="H99" s="2" t="s">
        <v>1700</v>
      </c>
      <c r="I99" s="2" t="n">
        <v>10</v>
      </c>
    </row>
    <row r="100" customFormat="false" ht="15" hidden="false" customHeight="false" outlineLevel="0" collapsed="false">
      <c r="A100" s="2" t="s">
        <v>668</v>
      </c>
      <c r="B100" s="2" t="s">
        <v>89</v>
      </c>
      <c r="C100" s="2" t="n">
        <v>5</v>
      </c>
      <c r="D100" s="2" t="s">
        <v>54</v>
      </c>
      <c r="E100" s="2" t="s">
        <v>1765</v>
      </c>
      <c r="F100" s="2" t="n">
        <v>2.5</v>
      </c>
      <c r="G100" s="2" t="n">
        <v>7.5</v>
      </c>
      <c r="H100" s="2" t="s">
        <v>1689</v>
      </c>
      <c r="I100" s="2" t="n">
        <v>11</v>
      </c>
    </row>
    <row r="101" customFormat="false" ht="15" hidden="false" customHeight="false" outlineLevel="0" collapsed="false">
      <c r="A101" s="2" t="s">
        <v>668</v>
      </c>
      <c r="B101" s="2" t="s">
        <v>266</v>
      </c>
      <c r="C101" s="2" t="n">
        <v>0.5</v>
      </c>
      <c r="D101" s="2" t="s">
        <v>1687</v>
      </c>
      <c r="E101" s="2" t="s">
        <v>1766</v>
      </c>
      <c r="F101" s="2"/>
      <c r="G101" s="2" t="n">
        <v>1.5</v>
      </c>
      <c r="H101" s="2" t="s">
        <v>1689</v>
      </c>
      <c r="I101" s="2" t="n">
        <v>12</v>
      </c>
    </row>
    <row r="102" customFormat="false" ht="15" hidden="false" customHeight="false" outlineLevel="0" collapsed="false">
      <c r="A102" s="2" t="s">
        <v>679</v>
      </c>
      <c r="B102" s="2" t="s">
        <v>221</v>
      </c>
      <c r="C102" s="2" t="n">
        <v>150</v>
      </c>
      <c r="D102" s="2" t="s">
        <v>54</v>
      </c>
      <c r="E102" s="2" t="s">
        <v>1770</v>
      </c>
      <c r="F102" s="2" t="n">
        <v>75</v>
      </c>
      <c r="G102" s="2" t="n">
        <v>225</v>
      </c>
      <c r="H102" s="2" t="s">
        <v>1693</v>
      </c>
      <c r="I102" s="2" t="n">
        <v>1</v>
      </c>
    </row>
    <row r="103" customFormat="false" ht="15" hidden="false" customHeight="false" outlineLevel="0" collapsed="false">
      <c r="A103" s="2" t="s">
        <v>679</v>
      </c>
      <c r="B103" s="2" t="s">
        <v>204</v>
      </c>
      <c r="C103" s="2" t="n">
        <v>16</v>
      </c>
      <c r="D103" s="2" t="s">
        <v>54</v>
      </c>
      <c r="E103" s="2" t="s">
        <v>1771</v>
      </c>
      <c r="F103" s="2" t="n">
        <v>8</v>
      </c>
      <c r="G103" s="2" t="n">
        <v>24</v>
      </c>
      <c r="H103" s="2" t="s">
        <v>1700</v>
      </c>
      <c r="I103" s="2" t="n">
        <v>2</v>
      </c>
    </row>
    <row r="104" customFormat="false" ht="15" hidden="false" customHeight="false" outlineLevel="0" collapsed="false">
      <c r="A104" s="2" t="s">
        <v>679</v>
      </c>
      <c r="B104" s="2" t="s">
        <v>67</v>
      </c>
      <c r="C104" s="2" t="n">
        <v>15</v>
      </c>
      <c r="D104" s="2" t="s">
        <v>54</v>
      </c>
      <c r="E104" s="2" t="s">
        <v>1772</v>
      </c>
      <c r="F104" s="2" t="n">
        <v>7.5</v>
      </c>
      <c r="G104" s="2" t="n">
        <v>22.5</v>
      </c>
      <c r="H104" s="2" t="s">
        <v>1693</v>
      </c>
      <c r="I104" s="2" t="n">
        <v>3</v>
      </c>
    </row>
    <row r="105" customFormat="false" ht="15" hidden="false" customHeight="false" outlineLevel="0" collapsed="false">
      <c r="A105" s="2" t="s">
        <v>679</v>
      </c>
      <c r="B105" s="2" t="s">
        <v>500</v>
      </c>
      <c r="C105" s="2" t="n">
        <v>1</v>
      </c>
      <c r="D105" s="2" t="s">
        <v>1687</v>
      </c>
      <c r="E105" s="2" t="s">
        <v>1773</v>
      </c>
      <c r="F105" s="2"/>
      <c r="G105" s="2" t="n">
        <v>2</v>
      </c>
      <c r="H105" s="2" t="s">
        <v>1689</v>
      </c>
      <c r="I105" s="2" t="n">
        <v>4</v>
      </c>
    </row>
    <row r="106" customFormat="false" ht="15" hidden="false" customHeight="false" outlineLevel="0" collapsed="false">
      <c r="A106" s="2" t="s">
        <v>679</v>
      </c>
      <c r="B106" s="2" t="s">
        <v>480</v>
      </c>
      <c r="C106" s="2" t="n">
        <v>1</v>
      </c>
      <c r="D106" s="2" t="s">
        <v>54</v>
      </c>
      <c r="E106" s="2" t="s">
        <v>1774</v>
      </c>
      <c r="F106" s="2" t="n">
        <v>0.5</v>
      </c>
      <c r="G106" s="2" t="n">
        <v>1.5</v>
      </c>
      <c r="H106" s="2" t="s">
        <v>1689</v>
      </c>
      <c r="I106" s="2" t="n">
        <v>5</v>
      </c>
    </row>
    <row r="107" customFormat="false" ht="15" hidden="false" customHeight="false" outlineLevel="0" collapsed="false">
      <c r="A107" s="2" t="s">
        <v>682</v>
      </c>
      <c r="B107" s="2" t="s">
        <v>438</v>
      </c>
      <c r="C107" s="2" t="n">
        <v>150</v>
      </c>
      <c r="D107" s="2" t="s">
        <v>54</v>
      </c>
      <c r="E107" s="2" t="s">
        <v>1775</v>
      </c>
      <c r="F107" s="2" t="n">
        <v>75</v>
      </c>
      <c r="G107" s="2" t="n">
        <v>225</v>
      </c>
      <c r="H107" s="2" t="s">
        <v>1689</v>
      </c>
      <c r="I107" s="2" t="n">
        <v>1</v>
      </c>
    </row>
    <row r="108" customFormat="false" ht="15" hidden="false" customHeight="false" outlineLevel="0" collapsed="false">
      <c r="A108" s="2" t="s">
        <v>682</v>
      </c>
      <c r="B108" s="2" t="s">
        <v>151</v>
      </c>
      <c r="C108" s="2" t="n">
        <v>300</v>
      </c>
      <c r="D108" s="2" t="s">
        <v>54</v>
      </c>
      <c r="E108" s="2" t="s">
        <v>1776</v>
      </c>
      <c r="F108" s="2" t="n">
        <v>150</v>
      </c>
      <c r="G108" s="2" t="n">
        <v>450</v>
      </c>
      <c r="H108" s="2" t="s">
        <v>1700</v>
      </c>
      <c r="I108" s="2" t="n">
        <v>2</v>
      </c>
    </row>
    <row r="109" customFormat="false" ht="15" hidden="false" customHeight="false" outlineLevel="0" collapsed="false">
      <c r="A109" s="2" t="s">
        <v>682</v>
      </c>
      <c r="B109" s="2" t="s">
        <v>81</v>
      </c>
      <c r="C109" s="2" t="n">
        <v>400</v>
      </c>
      <c r="D109" s="2" t="s">
        <v>54</v>
      </c>
      <c r="E109" s="2" t="s">
        <v>1777</v>
      </c>
      <c r="F109" s="2" t="n">
        <v>200</v>
      </c>
      <c r="G109" s="2" t="n">
        <v>600</v>
      </c>
      <c r="H109" s="2" t="s">
        <v>1689</v>
      </c>
      <c r="I109" s="2" t="n">
        <v>3</v>
      </c>
    </row>
    <row r="110" customFormat="false" ht="15" hidden="false" customHeight="false" outlineLevel="0" collapsed="false">
      <c r="A110" s="2" t="s">
        <v>682</v>
      </c>
      <c r="B110" s="2" t="s">
        <v>264</v>
      </c>
      <c r="C110" s="2" t="n">
        <v>100</v>
      </c>
      <c r="D110" s="2" t="s">
        <v>54</v>
      </c>
      <c r="E110" s="2" t="s">
        <v>1778</v>
      </c>
      <c r="F110" s="2" t="n">
        <v>50</v>
      </c>
      <c r="G110" s="2" t="n">
        <v>150</v>
      </c>
      <c r="H110" s="2" t="s">
        <v>1689</v>
      </c>
      <c r="I110" s="2" t="n">
        <v>4</v>
      </c>
    </row>
    <row r="111" customFormat="false" ht="15" hidden="false" customHeight="false" outlineLevel="0" collapsed="false">
      <c r="A111" s="2" t="s">
        <v>686</v>
      </c>
      <c r="B111" s="2" t="s">
        <v>148</v>
      </c>
      <c r="C111" s="2" t="n">
        <v>200</v>
      </c>
      <c r="D111" s="2" t="s">
        <v>54</v>
      </c>
      <c r="E111" s="2" t="s">
        <v>1779</v>
      </c>
      <c r="F111" s="2" t="n">
        <v>100</v>
      </c>
      <c r="G111" s="2" t="n">
        <v>300</v>
      </c>
      <c r="H111" s="2" t="s">
        <v>1693</v>
      </c>
      <c r="I111" s="2" t="n">
        <v>1</v>
      </c>
    </row>
    <row r="112" customFormat="false" ht="15" hidden="false" customHeight="false" outlineLevel="0" collapsed="false">
      <c r="A112" s="2" t="s">
        <v>686</v>
      </c>
      <c r="B112" s="2" t="s">
        <v>91</v>
      </c>
      <c r="C112" s="2" t="n">
        <v>7</v>
      </c>
      <c r="D112" s="2" t="s">
        <v>54</v>
      </c>
      <c r="E112" s="2" t="s">
        <v>1780</v>
      </c>
      <c r="F112" s="2" t="n">
        <v>3.5</v>
      </c>
      <c r="G112" s="2" t="n">
        <v>10.5</v>
      </c>
      <c r="H112" s="2" t="s">
        <v>1689</v>
      </c>
      <c r="I112" s="2" t="n">
        <v>2</v>
      </c>
    </row>
    <row r="113" customFormat="false" ht="15" hidden="false" customHeight="false" outlineLevel="0" collapsed="false">
      <c r="A113" s="2" t="s">
        <v>686</v>
      </c>
      <c r="B113" s="2" t="s">
        <v>510</v>
      </c>
      <c r="C113" s="2" t="n">
        <v>50</v>
      </c>
      <c r="D113" s="2" t="s">
        <v>54</v>
      </c>
      <c r="E113" s="2" t="s">
        <v>1781</v>
      </c>
      <c r="F113" s="2" t="n">
        <v>25</v>
      </c>
      <c r="G113" s="2" t="n">
        <v>75</v>
      </c>
      <c r="H113" s="2" t="s">
        <v>1689</v>
      </c>
      <c r="I113" s="2" t="n">
        <v>3</v>
      </c>
    </row>
    <row r="114" customFormat="false" ht="15" hidden="false" customHeight="false" outlineLevel="0" collapsed="false">
      <c r="A114" s="2" t="s">
        <v>686</v>
      </c>
      <c r="B114" s="2" t="s">
        <v>59</v>
      </c>
      <c r="C114" s="2" t="n">
        <v>50</v>
      </c>
      <c r="D114" s="2" t="s">
        <v>54</v>
      </c>
      <c r="E114" s="2" t="s">
        <v>1782</v>
      </c>
      <c r="F114" s="2" t="n">
        <v>25</v>
      </c>
      <c r="G114" s="2" t="n">
        <v>75</v>
      </c>
      <c r="H114" s="2" t="s">
        <v>1689</v>
      </c>
      <c r="I114" s="2" t="n">
        <v>4</v>
      </c>
    </row>
    <row r="115" customFormat="false" ht="15" hidden="false" customHeight="false" outlineLevel="0" collapsed="false">
      <c r="A115" s="2" t="s">
        <v>686</v>
      </c>
      <c r="B115" s="2" t="s">
        <v>64</v>
      </c>
      <c r="C115" s="2" t="n">
        <v>40</v>
      </c>
      <c r="D115" s="2" t="s">
        <v>54</v>
      </c>
      <c r="E115" s="2" t="s">
        <v>1783</v>
      </c>
      <c r="F115" s="2" t="n">
        <v>20</v>
      </c>
      <c r="G115" s="2" t="n">
        <v>60</v>
      </c>
      <c r="H115" s="2" t="s">
        <v>1689</v>
      </c>
      <c r="I115" s="2" t="n">
        <v>5</v>
      </c>
    </row>
    <row r="116" customFormat="false" ht="15" hidden="false" customHeight="false" outlineLevel="0" collapsed="false">
      <c r="A116" s="2" t="s">
        <v>686</v>
      </c>
      <c r="B116" s="2" t="s">
        <v>426</v>
      </c>
      <c r="C116" s="2" t="n">
        <v>0.5</v>
      </c>
      <c r="D116" s="2" t="s">
        <v>1687</v>
      </c>
      <c r="E116" s="2" t="s">
        <v>1784</v>
      </c>
      <c r="F116" s="2"/>
      <c r="G116" s="2" t="n">
        <v>1.5</v>
      </c>
      <c r="H116" s="2" t="s">
        <v>1689</v>
      </c>
      <c r="I116" s="2" t="n">
        <v>6</v>
      </c>
    </row>
    <row r="117" customFormat="false" ht="15" hidden="false" customHeight="false" outlineLevel="0" collapsed="false">
      <c r="A117" s="2" t="s">
        <v>686</v>
      </c>
      <c r="B117" s="2" t="s">
        <v>544</v>
      </c>
      <c r="C117" s="2" t="n">
        <v>7</v>
      </c>
      <c r="D117" s="2" t="s">
        <v>54</v>
      </c>
      <c r="E117" s="2" t="s">
        <v>1785</v>
      </c>
      <c r="F117" s="2" t="n">
        <v>3.5</v>
      </c>
      <c r="G117" s="2" t="n">
        <v>10.5</v>
      </c>
      <c r="H117" s="2" t="s">
        <v>1700</v>
      </c>
      <c r="I117" s="2" t="n">
        <v>7</v>
      </c>
    </row>
    <row r="118" customFormat="false" ht="15" hidden="false" customHeight="false" outlineLevel="0" collapsed="false">
      <c r="A118" s="2" t="s">
        <v>686</v>
      </c>
      <c r="B118" s="2" t="s">
        <v>89</v>
      </c>
      <c r="C118" s="2" t="n">
        <v>12</v>
      </c>
      <c r="D118" s="2" t="s">
        <v>54</v>
      </c>
      <c r="E118" s="2" t="s">
        <v>1786</v>
      </c>
      <c r="F118" s="2" t="n">
        <v>6</v>
      </c>
      <c r="G118" s="2" t="n">
        <v>18</v>
      </c>
      <c r="H118" s="2" t="s">
        <v>1689</v>
      </c>
      <c r="I118" s="2" t="n">
        <v>8</v>
      </c>
    </row>
    <row r="119" customFormat="false" ht="15" hidden="false" customHeight="false" outlineLevel="0" collapsed="false">
      <c r="A119" s="2" t="s">
        <v>686</v>
      </c>
      <c r="B119" s="2" t="s">
        <v>538</v>
      </c>
      <c r="C119" s="2" t="n">
        <v>5</v>
      </c>
      <c r="D119" s="2" t="s">
        <v>54</v>
      </c>
      <c r="E119" s="2" t="s">
        <v>1787</v>
      </c>
      <c r="F119" s="2" t="n">
        <v>2.5</v>
      </c>
      <c r="G119" s="2" t="n">
        <v>7.5</v>
      </c>
      <c r="H119" s="2" t="s">
        <v>1700</v>
      </c>
      <c r="I119" s="2" t="n">
        <v>9</v>
      </c>
    </row>
    <row r="120" customFormat="false" ht="15" hidden="false" customHeight="false" outlineLevel="0" collapsed="false">
      <c r="A120" s="2" t="s">
        <v>689</v>
      </c>
      <c r="B120" s="2" t="s">
        <v>148</v>
      </c>
      <c r="C120" s="2" t="n">
        <v>200</v>
      </c>
      <c r="D120" s="2" t="s">
        <v>54</v>
      </c>
      <c r="E120" s="2" t="s">
        <v>1779</v>
      </c>
      <c r="F120" s="2" t="n">
        <v>100</v>
      </c>
      <c r="G120" s="2" t="n">
        <v>300</v>
      </c>
      <c r="H120" s="2" t="s">
        <v>1693</v>
      </c>
      <c r="I120" s="2" t="n">
        <v>1</v>
      </c>
    </row>
    <row r="121" customFormat="false" ht="15" hidden="false" customHeight="false" outlineLevel="0" collapsed="false">
      <c r="A121" s="2" t="s">
        <v>689</v>
      </c>
      <c r="B121" s="2" t="s">
        <v>91</v>
      </c>
      <c r="C121" s="2" t="n">
        <v>21</v>
      </c>
      <c r="D121" s="2" t="s">
        <v>54</v>
      </c>
      <c r="E121" s="2" t="s">
        <v>1788</v>
      </c>
      <c r="F121" s="2" t="n">
        <v>10.5</v>
      </c>
      <c r="G121" s="2" t="n">
        <v>31.5</v>
      </c>
      <c r="H121" s="2" t="s">
        <v>1689</v>
      </c>
      <c r="I121" s="2" t="n">
        <v>2</v>
      </c>
    </row>
    <row r="122" customFormat="false" ht="15" hidden="false" customHeight="false" outlineLevel="0" collapsed="false">
      <c r="A122" s="2" t="s">
        <v>689</v>
      </c>
      <c r="B122" s="2" t="s">
        <v>384</v>
      </c>
      <c r="C122" s="2" t="n">
        <v>0.5</v>
      </c>
      <c r="D122" s="2" t="s">
        <v>54</v>
      </c>
      <c r="E122" s="2" t="s">
        <v>1789</v>
      </c>
      <c r="F122" s="2" t="n">
        <v>0.25</v>
      </c>
      <c r="G122" s="2" t="n">
        <v>0.75</v>
      </c>
      <c r="H122" s="2" t="s">
        <v>1689</v>
      </c>
      <c r="I122" s="2" t="n">
        <v>3</v>
      </c>
    </row>
    <row r="123" customFormat="false" ht="15" hidden="false" customHeight="false" outlineLevel="0" collapsed="false">
      <c r="A123" s="2" t="s">
        <v>689</v>
      </c>
      <c r="B123" s="2" t="s">
        <v>434</v>
      </c>
      <c r="C123" s="2" t="n">
        <v>0.25</v>
      </c>
      <c r="D123" s="2" t="s">
        <v>54</v>
      </c>
      <c r="E123" s="2" t="s">
        <v>1790</v>
      </c>
      <c r="F123" s="2" t="n">
        <v>0.12</v>
      </c>
      <c r="G123" s="2" t="n">
        <v>0.38</v>
      </c>
      <c r="H123" s="2" t="s">
        <v>1689</v>
      </c>
      <c r="I123" s="2" t="n">
        <v>4</v>
      </c>
    </row>
    <row r="124" customFormat="false" ht="15" hidden="false" customHeight="false" outlineLevel="0" collapsed="false">
      <c r="A124" s="2" t="s">
        <v>689</v>
      </c>
      <c r="B124" s="2" t="s">
        <v>343</v>
      </c>
      <c r="C124" s="2" t="n">
        <v>0.5</v>
      </c>
      <c r="D124" s="2" t="s">
        <v>1687</v>
      </c>
      <c r="E124" s="2" t="s">
        <v>1791</v>
      </c>
      <c r="F124" s="2"/>
      <c r="G124" s="2" t="n">
        <v>1.5</v>
      </c>
      <c r="H124" s="2" t="s">
        <v>1689</v>
      </c>
      <c r="I124" s="2" t="n">
        <v>5</v>
      </c>
    </row>
    <row r="125" customFormat="false" ht="15" hidden="false" customHeight="false" outlineLevel="0" collapsed="false">
      <c r="A125" s="2" t="s">
        <v>689</v>
      </c>
      <c r="B125" s="2" t="s">
        <v>538</v>
      </c>
      <c r="C125" s="2" t="n">
        <v>5</v>
      </c>
      <c r="D125" s="2" t="s">
        <v>54</v>
      </c>
      <c r="E125" s="2" t="s">
        <v>1792</v>
      </c>
      <c r="F125" s="2" t="n">
        <v>2.5</v>
      </c>
      <c r="G125" s="2" t="n">
        <v>7.5</v>
      </c>
      <c r="H125" s="2" t="s">
        <v>1700</v>
      </c>
      <c r="I125" s="2" t="n">
        <v>6</v>
      </c>
    </row>
    <row r="126" customFormat="false" ht="15" hidden="false" customHeight="false" outlineLevel="0" collapsed="false">
      <c r="A126" s="2" t="s">
        <v>689</v>
      </c>
      <c r="B126" s="2" t="s">
        <v>89</v>
      </c>
      <c r="C126" s="2" t="n">
        <v>12</v>
      </c>
      <c r="D126" s="2" t="s">
        <v>54</v>
      </c>
      <c r="E126" s="2" t="s">
        <v>1793</v>
      </c>
      <c r="F126" s="2" t="n">
        <v>6</v>
      </c>
      <c r="G126" s="2" t="n">
        <v>18</v>
      </c>
      <c r="H126" s="2" t="s">
        <v>1689</v>
      </c>
      <c r="I126" s="2" t="n">
        <v>7</v>
      </c>
    </row>
    <row r="127" customFormat="false" ht="15" hidden="false" customHeight="false" outlineLevel="0" collapsed="false">
      <c r="A127" s="2" t="s">
        <v>689</v>
      </c>
      <c r="B127" s="2" t="s">
        <v>154</v>
      </c>
      <c r="C127" s="2" t="n">
        <v>6</v>
      </c>
      <c r="D127" s="2" t="s">
        <v>54</v>
      </c>
      <c r="E127" s="2" t="s">
        <v>1794</v>
      </c>
      <c r="F127" s="2" t="n">
        <v>3</v>
      </c>
      <c r="G127" s="2" t="n">
        <v>9</v>
      </c>
      <c r="H127" s="2" t="s">
        <v>1700</v>
      </c>
      <c r="I127" s="2" t="n">
        <v>8</v>
      </c>
    </row>
    <row r="128" customFormat="false" ht="15" hidden="false" customHeight="false" outlineLevel="0" collapsed="false">
      <c r="A128" s="2" t="s">
        <v>692</v>
      </c>
      <c r="B128" s="2" t="s">
        <v>148</v>
      </c>
      <c r="C128" s="2" t="n">
        <v>200</v>
      </c>
      <c r="D128" s="2" t="s">
        <v>54</v>
      </c>
      <c r="E128" s="2" t="s">
        <v>1779</v>
      </c>
      <c r="F128" s="2" t="n">
        <v>100</v>
      </c>
      <c r="G128" s="2" t="n">
        <v>300</v>
      </c>
      <c r="H128" s="2" t="s">
        <v>1693</v>
      </c>
      <c r="I128" s="2" t="n">
        <v>1</v>
      </c>
    </row>
    <row r="129" customFormat="false" ht="15" hidden="false" customHeight="false" outlineLevel="0" collapsed="false">
      <c r="A129" s="2" t="s">
        <v>692</v>
      </c>
      <c r="B129" s="2" t="s">
        <v>91</v>
      </c>
      <c r="C129" s="2" t="n">
        <v>21</v>
      </c>
      <c r="D129" s="2" t="s">
        <v>54</v>
      </c>
      <c r="E129" s="2" t="s">
        <v>1788</v>
      </c>
      <c r="F129" s="2" t="n">
        <v>10.5</v>
      </c>
      <c r="G129" s="2" t="n">
        <v>31.5</v>
      </c>
      <c r="H129" s="2" t="s">
        <v>1689</v>
      </c>
      <c r="I129" s="2" t="n">
        <v>2</v>
      </c>
    </row>
    <row r="130" customFormat="false" ht="15" hidden="false" customHeight="false" outlineLevel="0" collapsed="false">
      <c r="A130" s="2" t="s">
        <v>692</v>
      </c>
      <c r="B130" s="2" t="s">
        <v>510</v>
      </c>
      <c r="C130" s="2" t="n">
        <v>10</v>
      </c>
      <c r="D130" s="2" t="s">
        <v>54</v>
      </c>
      <c r="E130" s="2" t="s">
        <v>1795</v>
      </c>
      <c r="F130" s="2" t="n">
        <v>5</v>
      </c>
      <c r="G130" s="2" t="n">
        <v>15</v>
      </c>
      <c r="H130" s="2" t="s">
        <v>1689</v>
      </c>
      <c r="I130" s="2" t="n">
        <v>3</v>
      </c>
    </row>
    <row r="131" customFormat="false" ht="15" hidden="false" customHeight="false" outlineLevel="0" collapsed="false">
      <c r="A131" s="2" t="s">
        <v>692</v>
      </c>
      <c r="B131" s="2" t="s">
        <v>343</v>
      </c>
      <c r="C131" s="2" t="n">
        <v>1</v>
      </c>
      <c r="D131" s="2" t="s">
        <v>1687</v>
      </c>
      <c r="E131" s="2" t="s">
        <v>1796</v>
      </c>
      <c r="F131" s="2"/>
      <c r="G131" s="2" t="n">
        <v>2</v>
      </c>
      <c r="H131" s="2" t="s">
        <v>1689</v>
      </c>
      <c r="I131" s="2" t="n">
        <v>4</v>
      </c>
    </row>
    <row r="132" customFormat="false" ht="15" hidden="false" customHeight="false" outlineLevel="0" collapsed="false">
      <c r="A132" s="2" t="s">
        <v>692</v>
      </c>
      <c r="B132" s="2" t="s">
        <v>428</v>
      </c>
      <c r="C132" s="2" t="n">
        <v>25</v>
      </c>
      <c r="D132" s="2" t="s">
        <v>54</v>
      </c>
      <c r="E132" s="2" t="s">
        <v>1797</v>
      </c>
      <c r="F132" s="2" t="n">
        <v>12.5</v>
      </c>
      <c r="G132" s="2" t="n">
        <v>37.5</v>
      </c>
      <c r="H132" s="2" t="s">
        <v>1700</v>
      </c>
      <c r="I132" s="2" t="n">
        <v>5</v>
      </c>
    </row>
    <row r="133" customFormat="false" ht="15" hidden="false" customHeight="false" outlineLevel="0" collapsed="false">
      <c r="A133" s="2" t="s">
        <v>692</v>
      </c>
      <c r="B133" s="2" t="s">
        <v>89</v>
      </c>
      <c r="C133" s="2" t="n">
        <v>12</v>
      </c>
      <c r="D133" s="2" t="s">
        <v>54</v>
      </c>
      <c r="E133" s="2" t="s">
        <v>1793</v>
      </c>
      <c r="F133" s="2" t="n">
        <v>6</v>
      </c>
      <c r="G133" s="2" t="n">
        <v>18</v>
      </c>
      <c r="H133" s="2" t="s">
        <v>1689</v>
      </c>
      <c r="I133" s="2" t="n">
        <v>6</v>
      </c>
    </row>
    <row r="134" customFormat="false" ht="15" hidden="false" customHeight="false" outlineLevel="0" collapsed="false">
      <c r="A134" s="2" t="s">
        <v>695</v>
      </c>
      <c r="B134" s="2" t="s">
        <v>67</v>
      </c>
      <c r="C134" s="2" t="n">
        <v>200</v>
      </c>
      <c r="D134" s="2" t="s">
        <v>54</v>
      </c>
      <c r="E134" s="2" t="s">
        <v>1798</v>
      </c>
      <c r="F134" s="2" t="n">
        <v>100</v>
      </c>
      <c r="G134" s="2" t="n">
        <v>300</v>
      </c>
      <c r="H134" s="2" t="s">
        <v>1693</v>
      </c>
      <c r="I134" s="2" t="n">
        <v>1</v>
      </c>
    </row>
    <row r="135" customFormat="false" ht="15" hidden="false" customHeight="false" outlineLevel="0" collapsed="false">
      <c r="A135" s="2" t="s">
        <v>695</v>
      </c>
      <c r="B135" s="2" t="s">
        <v>91</v>
      </c>
      <c r="C135" s="2" t="n">
        <v>21</v>
      </c>
      <c r="D135" s="2" t="s">
        <v>54</v>
      </c>
      <c r="E135" s="2" t="s">
        <v>1788</v>
      </c>
      <c r="F135" s="2" t="n">
        <v>10.5</v>
      </c>
      <c r="G135" s="2" t="n">
        <v>31.5</v>
      </c>
      <c r="H135" s="2" t="s">
        <v>1689</v>
      </c>
      <c r="I135" s="2" t="n">
        <v>2</v>
      </c>
    </row>
    <row r="136" customFormat="false" ht="15" hidden="false" customHeight="false" outlineLevel="0" collapsed="false">
      <c r="A136" s="2" t="s">
        <v>695</v>
      </c>
      <c r="B136" s="2" t="s">
        <v>59</v>
      </c>
      <c r="C136" s="2" t="n">
        <v>40</v>
      </c>
      <c r="D136" s="2" t="s">
        <v>54</v>
      </c>
      <c r="E136" s="2" t="s">
        <v>1799</v>
      </c>
      <c r="F136" s="2" t="n">
        <v>20</v>
      </c>
      <c r="G136" s="2" t="n">
        <v>60</v>
      </c>
      <c r="H136" s="2" t="s">
        <v>1689</v>
      </c>
      <c r="I136" s="2" t="n">
        <v>3</v>
      </c>
    </row>
    <row r="137" customFormat="false" ht="15" hidden="false" customHeight="false" outlineLevel="0" collapsed="false">
      <c r="A137" s="2" t="s">
        <v>695</v>
      </c>
      <c r="B137" s="2" t="s">
        <v>426</v>
      </c>
      <c r="C137" s="2" t="n">
        <v>1</v>
      </c>
      <c r="D137" s="2" t="s">
        <v>1687</v>
      </c>
      <c r="E137" s="2" t="s">
        <v>1800</v>
      </c>
      <c r="F137" s="2"/>
      <c r="G137" s="2" t="n">
        <v>2</v>
      </c>
      <c r="H137" s="2" t="s">
        <v>1689</v>
      </c>
      <c r="I137" s="2" t="n">
        <v>4</v>
      </c>
    </row>
    <row r="138" customFormat="false" ht="15" hidden="false" customHeight="false" outlineLevel="0" collapsed="false">
      <c r="A138" s="2" t="s">
        <v>695</v>
      </c>
      <c r="B138" s="2" t="s">
        <v>318</v>
      </c>
      <c r="C138" s="2" t="n">
        <v>20</v>
      </c>
      <c r="D138" s="2" t="s">
        <v>54</v>
      </c>
      <c r="E138" s="2" t="s">
        <v>1801</v>
      </c>
      <c r="F138" s="2" t="n">
        <v>10</v>
      </c>
      <c r="G138" s="2" t="n">
        <v>30</v>
      </c>
      <c r="H138" s="2" t="s">
        <v>1689</v>
      </c>
      <c r="I138" s="2" t="n">
        <v>5</v>
      </c>
    </row>
    <row r="139" customFormat="false" ht="15" hidden="false" customHeight="false" outlineLevel="0" collapsed="false">
      <c r="A139" s="2" t="s">
        <v>695</v>
      </c>
      <c r="B139" s="2" t="s">
        <v>206</v>
      </c>
      <c r="C139" s="2" t="n">
        <v>4</v>
      </c>
      <c r="D139" s="2" t="s">
        <v>54</v>
      </c>
      <c r="E139" s="2" t="s">
        <v>1802</v>
      </c>
      <c r="F139" s="2" t="n">
        <v>2</v>
      </c>
      <c r="G139" s="2" t="n">
        <v>6</v>
      </c>
      <c r="H139" s="2" t="s">
        <v>1700</v>
      </c>
      <c r="I139" s="2" t="n">
        <v>6</v>
      </c>
    </row>
    <row r="140" customFormat="false" ht="15" hidden="false" customHeight="false" outlineLevel="0" collapsed="false">
      <c r="A140" s="2" t="s">
        <v>695</v>
      </c>
      <c r="B140" s="2" t="s">
        <v>89</v>
      </c>
      <c r="C140" s="2" t="n">
        <v>12</v>
      </c>
      <c r="D140" s="2" t="s">
        <v>54</v>
      </c>
      <c r="E140" s="2" t="s">
        <v>1793</v>
      </c>
      <c r="F140" s="2" t="n">
        <v>6</v>
      </c>
      <c r="G140" s="2" t="n">
        <v>18</v>
      </c>
      <c r="H140" s="2" t="s">
        <v>1689</v>
      </c>
      <c r="I140" s="2" t="n">
        <v>7</v>
      </c>
    </row>
    <row r="141" customFormat="false" ht="15" hidden="false" customHeight="false" outlineLevel="0" collapsed="false">
      <c r="A141" s="2" t="s">
        <v>698</v>
      </c>
      <c r="B141" s="2" t="s">
        <v>81</v>
      </c>
      <c r="C141" s="2" t="n">
        <v>300</v>
      </c>
      <c r="D141" s="2" t="s">
        <v>54</v>
      </c>
      <c r="E141" s="2" t="s">
        <v>1803</v>
      </c>
      <c r="F141" s="2" t="n">
        <v>150</v>
      </c>
      <c r="G141" s="2" t="n">
        <v>450</v>
      </c>
      <c r="H141" s="2" t="s">
        <v>1689</v>
      </c>
      <c r="I141" s="2" t="n">
        <v>1</v>
      </c>
    </row>
    <row r="142" customFormat="false" ht="15" hidden="false" customHeight="false" outlineLevel="0" collapsed="false">
      <c r="A142" s="2" t="s">
        <v>698</v>
      </c>
      <c r="B142" s="2" t="s">
        <v>110</v>
      </c>
      <c r="C142" s="2" t="n">
        <v>2</v>
      </c>
      <c r="D142" s="2" t="s">
        <v>1687</v>
      </c>
      <c r="E142" s="2" t="s">
        <v>1720</v>
      </c>
      <c r="F142" s="2" t="n">
        <v>1</v>
      </c>
      <c r="G142" s="2" t="n">
        <v>3</v>
      </c>
      <c r="H142" s="2" t="s">
        <v>1693</v>
      </c>
      <c r="I142" s="2" t="n">
        <v>2</v>
      </c>
    </row>
    <row r="143" customFormat="false" ht="15" hidden="false" customHeight="false" outlineLevel="0" collapsed="false">
      <c r="A143" s="2" t="s">
        <v>698</v>
      </c>
      <c r="B143" s="2" t="s">
        <v>52</v>
      </c>
      <c r="C143" s="2" t="n">
        <v>3</v>
      </c>
      <c r="D143" s="2" t="s">
        <v>1687</v>
      </c>
      <c r="E143" s="2" t="s">
        <v>1804</v>
      </c>
      <c r="F143" s="2" t="n">
        <v>2</v>
      </c>
      <c r="G143" s="2" t="n">
        <v>4</v>
      </c>
      <c r="H143" s="2" t="s">
        <v>1689</v>
      </c>
      <c r="I143" s="2" t="n">
        <v>3</v>
      </c>
    </row>
    <row r="144" customFormat="false" ht="15" hidden="false" customHeight="false" outlineLevel="0" collapsed="false">
      <c r="A144" s="2" t="s">
        <v>698</v>
      </c>
      <c r="B144" s="2" t="s">
        <v>148</v>
      </c>
      <c r="C144" s="2" t="n">
        <v>60</v>
      </c>
      <c r="D144" s="2" t="s">
        <v>54</v>
      </c>
      <c r="E144" s="2" t="s">
        <v>1805</v>
      </c>
      <c r="F144" s="2" t="n">
        <v>30</v>
      </c>
      <c r="G144" s="2" t="n">
        <v>90</v>
      </c>
      <c r="H144" s="2" t="s">
        <v>1693</v>
      </c>
      <c r="I144" s="2" t="n">
        <v>4</v>
      </c>
    </row>
    <row r="145" customFormat="false" ht="15" hidden="false" customHeight="false" outlineLevel="0" collapsed="false">
      <c r="A145" s="2" t="s">
        <v>698</v>
      </c>
      <c r="B145" s="2" t="s">
        <v>91</v>
      </c>
      <c r="C145" s="2" t="n">
        <v>42</v>
      </c>
      <c r="D145" s="2" t="s">
        <v>54</v>
      </c>
      <c r="E145" s="2" t="s">
        <v>1746</v>
      </c>
      <c r="F145" s="2" t="n">
        <v>21</v>
      </c>
      <c r="G145" s="2" t="n">
        <v>63</v>
      </c>
      <c r="H145" s="2" t="s">
        <v>1689</v>
      </c>
      <c r="I145" s="2" t="n">
        <v>5</v>
      </c>
    </row>
    <row r="146" customFormat="false" ht="15" hidden="false" customHeight="false" outlineLevel="0" collapsed="false">
      <c r="A146" s="2" t="s">
        <v>698</v>
      </c>
      <c r="B146" s="2" t="s">
        <v>234</v>
      </c>
      <c r="C146" s="2" t="n">
        <v>14</v>
      </c>
      <c r="D146" s="2" t="s">
        <v>54</v>
      </c>
      <c r="E146" s="2" t="s">
        <v>1806</v>
      </c>
      <c r="F146" s="2" t="n">
        <v>7</v>
      </c>
      <c r="G146" s="2" t="n">
        <v>21</v>
      </c>
      <c r="H146" s="2" t="s">
        <v>1700</v>
      </c>
      <c r="I146" s="2" t="n">
        <v>6</v>
      </c>
    </row>
    <row r="147" customFormat="false" ht="15" hidden="false" customHeight="false" outlineLevel="0" collapsed="false">
      <c r="A147" s="2" t="s">
        <v>698</v>
      </c>
      <c r="B147" s="2" t="s">
        <v>271</v>
      </c>
      <c r="C147" s="2" t="n">
        <v>8</v>
      </c>
      <c r="D147" s="2" t="s">
        <v>54</v>
      </c>
      <c r="E147" s="2" t="s">
        <v>1807</v>
      </c>
      <c r="F147" s="2" t="n">
        <v>4</v>
      </c>
      <c r="G147" s="2" t="n">
        <v>12</v>
      </c>
      <c r="H147" s="2" t="s">
        <v>1689</v>
      </c>
      <c r="I147" s="2" t="n">
        <v>7</v>
      </c>
    </row>
    <row r="148" customFormat="false" ht="15" hidden="false" customHeight="false" outlineLevel="0" collapsed="false">
      <c r="A148" s="2" t="s">
        <v>702</v>
      </c>
      <c r="B148" s="2" t="s">
        <v>81</v>
      </c>
      <c r="C148" s="2" t="n">
        <v>150</v>
      </c>
      <c r="D148" s="2" t="s">
        <v>54</v>
      </c>
      <c r="E148" s="2" t="s">
        <v>1808</v>
      </c>
      <c r="F148" s="2" t="n">
        <v>75</v>
      </c>
      <c r="G148" s="2" t="n">
        <v>225</v>
      </c>
      <c r="H148" s="2" t="s">
        <v>1689</v>
      </c>
      <c r="I148" s="2" t="n">
        <v>1</v>
      </c>
    </row>
    <row r="149" customFormat="false" ht="15" hidden="false" customHeight="false" outlineLevel="0" collapsed="false">
      <c r="A149" s="2" t="s">
        <v>702</v>
      </c>
      <c r="B149" s="2" t="s">
        <v>52</v>
      </c>
      <c r="C149" s="2" t="n">
        <v>1</v>
      </c>
      <c r="D149" s="2" t="s">
        <v>1687</v>
      </c>
      <c r="E149" s="2" t="s">
        <v>1809</v>
      </c>
      <c r="F149" s="2"/>
      <c r="G149" s="2" t="n">
        <v>2</v>
      </c>
      <c r="H149" s="2" t="s">
        <v>1689</v>
      </c>
      <c r="I149" s="2" t="n">
        <v>2</v>
      </c>
    </row>
    <row r="150" customFormat="false" ht="15" hidden="false" customHeight="false" outlineLevel="0" collapsed="false">
      <c r="A150" s="2" t="s">
        <v>702</v>
      </c>
      <c r="B150" s="2" t="s">
        <v>110</v>
      </c>
      <c r="C150" s="2" t="n">
        <v>3</v>
      </c>
      <c r="D150" s="2" t="s">
        <v>1687</v>
      </c>
      <c r="E150" s="2" t="s">
        <v>1810</v>
      </c>
      <c r="F150" s="2" t="n">
        <v>2</v>
      </c>
      <c r="G150" s="2" t="n">
        <v>4</v>
      </c>
      <c r="H150" s="2" t="s">
        <v>1693</v>
      </c>
      <c r="I150" s="2" t="n">
        <v>3</v>
      </c>
    </row>
    <row r="151" customFormat="false" ht="15" hidden="false" customHeight="false" outlineLevel="0" collapsed="false">
      <c r="A151" s="2" t="s">
        <v>702</v>
      </c>
      <c r="B151" s="2" t="s">
        <v>295</v>
      </c>
      <c r="C151" s="2" t="n">
        <v>20</v>
      </c>
      <c r="D151" s="2" t="s">
        <v>54</v>
      </c>
      <c r="E151" s="2" t="s">
        <v>1811</v>
      </c>
      <c r="F151" s="2" t="n">
        <v>10</v>
      </c>
      <c r="G151" s="2" t="n">
        <v>30</v>
      </c>
      <c r="H151" s="2" t="s">
        <v>1700</v>
      </c>
      <c r="I151" s="2" t="n">
        <v>4</v>
      </c>
    </row>
    <row r="152" customFormat="false" ht="15" hidden="false" customHeight="false" outlineLevel="0" collapsed="false">
      <c r="A152" s="2" t="s">
        <v>702</v>
      </c>
      <c r="B152" s="2" t="s">
        <v>325</v>
      </c>
      <c r="C152" s="2" t="n">
        <v>14</v>
      </c>
      <c r="D152" s="2" t="s">
        <v>54</v>
      </c>
      <c r="E152" s="2" t="s">
        <v>1812</v>
      </c>
      <c r="F152" s="2" t="n">
        <v>7</v>
      </c>
      <c r="G152" s="2" t="n">
        <v>21</v>
      </c>
      <c r="H152" s="2" t="s">
        <v>1700</v>
      </c>
      <c r="I152" s="2" t="n">
        <v>5</v>
      </c>
    </row>
    <row r="153" customFormat="false" ht="15" hidden="false" customHeight="false" outlineLevel="0" collapsed="false">
      <c r="A153" s="2" t="s">
        <v>702</v>
      </c>
      <c r="B153" s="2" t="s">
        <v>59</v>
      </c>
      <c r="C153" s="2" t="n">
        <v>100</v>
      </c>
      <c r="D153" s="2" t="s">
        <v>54</v>
      </c>
      <c r="E153" s="2" t="s">
        <v>1813</v>
      </c>
      <c r="F153" s="2" t="n">
        <v>50</v>
      </c>
      <c r="G153" s="2" t="n">
        <v>150</v>
      </c>
      <c r="H153" s="2" t="s">
        <v>1689</v>
      </c>
      <c r="I153" s="2" t="n">
        <v>6</v>
      </c>
    </row>
    <row r="154" customFormat="false" ht="15" hidden="false" customHeight="false" outlineLevel="0" collapsed="false">
      <c r="A154" s="2" t="s">
        <v>702</v>
      </c>
      <c r="B154" s="2" t="s">
        <v>91</v>
      </c>
      <c r="C154" s="2" t="n">
        <v>63</v>
      </c>
      <c r="D154" s="2" t="s">
        <v>54</v>
      </c>
      <c r="E154" s="2" t="s">
        <v>1814</v>
      </c>
      <c r="F154" s="2" t="n">
        <v>31.5</v>
      </c>
      <c r="G154" s="2" t="n">
        <v>94.5</v>
      </c>
      <c r="H154" s="2" t="s">
        <v>1689</v>
      </c>
      <c r="I154" s="2" t="n">
        <v>7</v>
      </c>
    </row>
    <row r="155" customFormat="false" ht="15" hidden="false" customHeight="false" outlineLevel="0" collapsed="false">
      <c r="A155" s="2" t="s">
        <v>702</v>
      </c>
      <c r="B155" s="2" t="s">
        <v>107</v>
      </c>
      <c r="C155" s="2" t="n">
        <v>14</v>
      </c>
      <c r="D155" s="2" t="s">
        <v>54</v>
      </c>
      <c r="E155" s="2" t="s">
        <v>1815</v>
      </c>
      <c r="F155" s="2" t="n">
        <v>7</v>
      </c>
      <c r="G155" s="2" t="n">
        <v>21</v>
      </c>
      <c r="H155" s="2" t="s">
        <v>1689</v>
      </c>
      <c r="I155" s="2" t="n">
        <v>8</v>
      </c>
    </row>
    <row r="156" customFormat="false" ht="15" hidden="false" customHeight="false" outlineLevel="0" collapsed="false">
      <c r="A156" s="2" t="s">
        <v>702</v>
      </c>
      <c r="B156" s="2" t="s">
        <v>271</v>
      </c>
      <c r="C156" s="2" t="n">
        <v>8</v>
      </c>
      <c r="D156" s="2" t="s">
        <v>54</v>
      </c>
      <c r="E156" s="2" t="s">
        <v>1807</v>
      </c>
      <c r="F156" s="2" t="n">
        <v>4</v>
      </c>
      <c r="G156" s="2" t="n">
        <v>12</v>
      </c>
      <c r="H156" s="2" t="s">
        <v>1689</v>
      </c>
      <c r="I156" s="2" t="n">
        <v>9</v>
      </c>
    </row>
    <row r="157" customFormat="false" ht="15" hidden="false" customHeight="false" outlineLevel="0" collapsed="false">
      <c r="A157" s="2" t="s">
        <v>702</v>
      </c>
      <c r="B157" s="2" t="s">
        <v>234</v>
      </c>
      <c r="C157" s="2" t="n">
        <v>14</v>
      </c>
      <c r="D157" s="2" t="s">
        <v>54</v>
      </c>
      <c r="E157" s="2" t="s">
        <v>1806</v>
      </c>
      <c r="F157" s="2" t="n">
        <v>7</v>
      </c>
      <c r="G157" s="2" t="n">
        <v>21</v>
      </c>
      <c r="H157" s="2" t="s">
        <v>1700</v>
      </c>
      <c r="I157" s="2" t="n">
        <v>10</v>
      </c>
    </row>
    <row r="158" customFormat="false" ht="15" hidden="false" customHeight="false" outlineLevel="0" collapsed="false">
      <c r="A158" s="2" t="s">
        <v>702</v>
      </c>
      <c r="B158" s="2" t="s">
        <v>480</v>
      </c>
      <c r="C158" s="2" t="n">
        <v>1</v>
      </c>
      <c r="D158" s="2" t="s">
        <v>54</v>
      </c>
      <c r="E158" s="2" t="s">
        <v>1816</v>
      </c>
      <c r="F158" s="2" t="n">
        <v>0.5</v>
      </c>
      <c r="G158" s="2" t="n">
        <v>1.5</v>
      </c>
      <c r="H158" s="2" t="s">
        <v>1689</v>
      </c>
      <c r="I158" s="2" t="n">
        <v>11</v>
      </c>
    </row>
    <row r="159" customFormat="false" ht="15" hidden="false" customHeight="false" outlineLevel="0" collapsed="false">
      <c r="A159" s="2" t="s">
        <v>706</v>
      </c>
      <c r="B159" s="2" t="s">
        <v>148</v>
      </c>
      <c r="C159" s="2" t="n">
        <v>150</v>
      </c>
      <c r="D159" s="2" t="s">
        <v>54</v>
      </c>
      <c r="E159" s="2" t="s">
        <v>1817</v>
      </c>
      <c r="F159" s="2" t="n">
        <v>75</v>
      </c>
      <c r="G159" s="2" t="n">
        <v>225</v>
      </c>
      <c r="H159" s="2" t="s">
        <v>1693</v>
      </c>
      <c r="I159" s="2" t="n">
        <v>1</v>
      </c>
    </row>
    <row r="160" customFormat="false" ht="15" hidden="false" customHeight="false" outlineLevel="0" collapsed="false">
      <c r="A160" s="2" t="s">
        <v>706</v>
      </c>
      <c r="B160" s="2" t="s">
        <v>318</v>
      </c>
      <c r="C160" s="2" t="n">
        <v>60</v>
      </c>
      <c r="D160" s="2" t="s">
        <v>54</v>
      </c>
      <c r="E160" s="2" t="s">
        <v>1818</v>
      </c>
      <c r="F160" s="2" t="n">
        <v>30</v>
      </c>
      <c r="G160" s="2" t="n">
        <v>90</v>
      </c>
      <c r="H160" s="2" t="s">
        <v>1689</v>
      </c>
      <c r="I160" s="2" t="n">
        <v>2</v>
      </c>
    </row>
    <row r="161" customFormat="false" ht="15" hidden="false" customHeight="false" outlineLevel="0" collapsed="false">
      <c r="A161" s="2" t="s">
        <v>706</v>
      </c>
      <c r="B161" s="2" t="s">
        <v>510</v>
      </c>
      <c r="C161" s="2" t="n">
        <v>100</v>
      </c>
      <c r="D161" s="2" t="s">
        <v>54</v>
      </c>
      <c r="E161" s="2" t="s">
        <v>1819</v>
      </c>
      <c r="F161" s="2" t="n">
        <v>50</v>
      </c>
      <c r="G161" s="2" t="n">
        <v>150</v>
      </c>
      <c r="H161" s="2" t="s">
        <v>1689</v>
      </c>
      <c r="I161" s="2" t="n">
        <v>3</v>
      </c>
    </row>
    <row r="162" customFormat="false" ht="15" hidden="false" customHeight="false" outlineLevel="0" collapsed="false">
      <c r="A162" s="2" t="s">
        <v>706</v>
      </c>
      <c r="B162" s="2" t="s">
        <v>544</v>
      </c>
      <c r="C162" s="2" t="n">
        <v>20</v>
      </c>
      <c r="D162" s="2" t="s">
        <v>54</v>
      </c>
      <c r="E162" s="2" t="s">
        <v>1820</v>
      </c>
      <c r="F162" s="2" t="n">
        <v>10</v>
      </c>
      <c r="G162" s="2" t="n">
        <v>30</v>
      </c>
      <c r="H162" s="2" t="s">
        <v>1700</v>
      </c>
      <c r="I162" s="2" t="n">
        <v>4</v>
      </c>
    </row>
    <row r="163" customFormat="false" ht="15" hidden="false" customHeight="false" outlineLevel="0" collapsed="false">
      <c r="A163" s="2" t="s">
        <v>706</v>
      </c>
      <c r="B163" s="2" t="s">
        <v>206</v>
      </c>
      <c r="C163" s="2" t="n">
        <v>10</v>
      </c>
      <c r="D163" s="2" t="s">
        <v>54</v>
      </c>
      <c r="E163" s="2" t="s">
        <v>1821</v>
      </c>
      <c r="F163" s="2" t="n">
        <v>5</v>
      </c>
      <c r="G163" s="2" t="n">
        <v>15</v>
      </c>
      <c r="H163" s="2" t="s">
        <v>1700</v>
      </c>
      <c r="I163" s="2" t="n">
        <v>5</v>
      </c>
    </row>
    <row r="164" customFormat="false" ht="15" hidden="false" customHeight="false" outlineLevel="0" collapsed="false">
      <c r="A164" s="2" t="s">
        <v>706</v>
      </c>
      <c r="B164" s="2" t="s">
        <v>91</v>
      </c>
      <c r="C164" s="2" t="n">
        <v>15</v>
      </c>
      <c r="D164" s="2" t="s">
        <v>54</v>
      </c>
      <c r="E164" s="2" t="s">
        <v>1822</v>
      </c>
      <c r="F164" s="2" t="n">
        <v>7.5</v>
      </c>
      <c r="G164" s="2" t="n">
        <v>22.5</v>
      </c>
      <c r="H164" s="2" t="s">
        <v>1689</v>
      </c>
      <c r="I164" s="2" t="n">
        <v>6</v>
      </c>
    </row>
    <row r="165" customFormat="false" ht="15" hidden="false" customHeight="false" outlineLevel="0" collapsed="false">
      <c r="A165" s="2" t="s">
        <v>706</v>
      </c>
      <c r="B165" s="2" t="s">
        <v>89</v>
      </c>
      <c r="C165" s="2" t="n">
        <v>10</v>
      </c>
      <c r="D165" s="2" t="s">
        <v>54</v>
      </c>
      <c r="E165" s="2" t="s">
        <v>1823</v>
      </c>
      <c r="F165" s="2" t="n">
        <v>5</v>
      </c>
      <c r="G165" s="2" t="n">
        <v>15</v>
      </c>
      <c r="H165" s="2" t="s">
        <v>1689</v>
      </c>
      <c r="I165" s="2" t="n">
        <v>7</v>
      </c>
    </row>
    <row r="166" customFormat="false" ht="15" hidden="false" customHeight="false" outlineLevel="0" collapsed="false">
      <c r="A166" s="2" t="s">
        <v>706</v>
      </c>
      <c r="B166" s="2" t="s">
        <v>99</v>
      </c>
      <c r="C166" s="2" t="n">
        <v>4</v>
      </c>
      <c r="D166" s="2" t="s">
        <v>54</v>
      </c>
      <c r="E166" s="2" t="s">
        <v>1711</v>
      </c>
      <c r="F166" s="2" t="n">
        <v>2</v>
      </c>
      <c r="G166" s="2" t="n">
        <v>6</v>
      </c>
      <c r="H166" s="2" t="s">
        <v>1689</v>
      </c>
      <c r="I166" s="2" t="n">
        <v>8</v>
      </c>
    </row>
    <row r="167" customFormat="false" ht="15" hidden="false" customHeight="false" outlineLevel="0" collapsed="false">
      <c r="A167" s="2" t="s">
        <v>706</v>
      </c>
      <c r="B167" s="2" t="s">
        <v>271</v>
      </c>
      <c r="C167" s="2" t="n">
        <v>1</v>
      </c>
      <c r="D167" s="2" t="s">
        <v>54</v>
      </c>
      <c r="E167" s="2" t="s">
        <v>1824</v>
      </c>
      <c r="F167" s="2" t="n">
        <v>0.5</v>
      </c>
      <c r="G167" s="2" t="n">
        <v>1.5</v>
      </c>
      <c r="H167" s="2" t="s">
        <v>1689</v>
      </c>
      <c r="I167" s="2" t="n">
        <v>9</v>
      </c>
    </row>
    <row r="168" customFormat="false" ht="15" hidden="false" customHeight="false" outlineLevel="0" collapsed="false">
      <c r="A168" s="2" t="s">
        <v>706</v>
      </c>
      <c r="B168" s="2" t="s">
        <v>538</v>
      </c>
      <c r="C168" s="2" t="n">
        <v>5</v>
      </c>
      <c r="D168" s="2" t="s">
        <v>54</v>
      </c>
      <c r="E168" s="2" t="s">
        <v>1825</v>
      </c>
      <c r="F168" s="2" t="n">
        <v>2.5</v>
      </c>
      <c r="G168" s="2" t="n">
        <v>7.5</v>
      </c>
      <c r="H168" s="2" t="s">
        <v>1700</v>
      </c>
      <c r="I168" s="2" t="n">
        <v>10</v>
      </c>
    </row>
    <row r="169" customFormat="false" ht="15" hidden="false" customHeight="false" outlineLevel="0" collapsed="false">
      <c r="A169" s="2" t="s">
        <v>712</v>
      </c>
      <c r="B169" s="2" t="s">
        <v>74</v>
      </c>
      <c r="C169" s="2" t="n">
        <v>200</v>
      </c>
      <c r="D169" s="2" t="s">
        <v>76</v>
      </c>
      <c r="E169" s="2" t="s">
        <v>1826</v>
      </c>
      <c r="F169" s="2" t="n">
        <v>100</v>
      </c>
      <c r="G169" s="2" t="n">
        <v>300</v>
      </c>
      <c r="H169" s="2" t="s">
        <v>1689</v>
      </c>
      <c r="I169" s="2" t="n">
        <v>1</v>
      </c>
    </row>
    <row r="170" customFormat="false" ht="15" hidden="false" customHeight="false" outlineLevel="0" collapsed="false">
      <c r="A170" s="2" t="s">
        <v>712</v>
      </c>
      <c r="B170" s="2" t="s">
        <v>81</v>
      </c>
      <c r="C170" s="2" t="n">
        <v>50</v>
      </c>
      <c r="D170" s="2" t="s">
        <v>54</v>
      </c>
      <c r="E170" s="2" t="s">
        <v>1827</v>
      </c>
      <c r="F170" s="2" t="n">
        <v>25</v>
      </c>
      <c r="G170" s="2" t="n">
        <v>75</v>
      </c>
      <c r="H170" s="2" t="s">
        <v>1689</v>
      </c>
      <c r="I170" s="2" t="n">
        <v>2</v>
      </c>
    </row>
    <row r="171" customFormat="false" ht="15" hidden="false" customHeight="false" outlineLevel="0" collapsed="false">
      <c r="A171" s="2" t="s">
        <v>712</v>
      </c>
      <c r="B171" s="2" t="s">
        <v>392</v>
      </c>
      <c r="C171" s="2" t="n">
        <v>100</v>
      </c>
      <c r="D171" s="2" t="s">
        <v>54</v>
      </c>
      <c r="E171" s="2" t="s">
        <v>1828</v>
      </c>
      <c r="F171" s="2" t="n">
        <v>50</v>
      </c>
      <c r="G171" s="2" t="n">
        <v>150</v>
      </c>
      <c r="H171" s="2" t="s">
        <v>1689</v>
      </c>
      <c r="I171" s="2" t="n">
        <v>3</v>
      </c>
    </row>
    <row r="172" customFormat="false" ht="15" hidden="false" customHeight="false" outlineLevel="0" collapsed="false">
      <c r="A172" s="2" t="s">
        <v>712</v>
      </c>
      <c r="B172" s="2" t="s">
        <v>285</v>
      </c>
      <c r="C172" s="2" t="n">
        <v>150</v>
      </c>
      <c r="D172" s="2" t="s">
        <v>54</v>
      </c>
      <c r="E172" s="2" t="s">
        <v>1829</v>
      </c>
      <c r="F172" s="2" t="n">
        <v>75</v>
      </c>
      <c r="G172" s="2" t="n">
        <v>225</v>
      </c>
      <c r="H172" s="2" t="s">
        <v>1693</v>
      </c>
      <c r="I172" s="2" t="n">
        <v>4</v>
      </c>
    </row>
    <row r="173" customFormat="false" ht="15" hidden="false" customHeight="false" outlineLevel="0" collapsed="false">
      <c r="A173" s="2" t="s">
        <v>712</v>
      </c>
      <c r="B173" s="2" t="s">
        <v>85</v>
      </c>
      <c r="C173" s="2" t="n">
        <v>5</v>
      </c>
      <c r="D173" s="2" t="s">
        <v>54</v>
      </c>
      <c r="E173" s="2" t="s">
        <v>1830</v>
      </c>
      <c r="F173" s="2" t="n">
        <v>2.5</v>
      </c>
      <c r="G173" s="2" t="n">
        <v>7.5</v>
      </c>
      <c r="H173" s="2" t="s">
        <v>1700</v>
      </c>
      <c r="I173" s="2" t="n">
        <v>5</v>
      </c>
    </row>
    <row r="174" customFormat="false" ht="15" hidden="false" customHeight="false" outlineLevel="0" collapsed="false">
      <c r="A174" s="2" t="s">
        <v>712</v>
      </c>
      <c r="B174" s="2" t="s">
        <v>52</v>
      </c>
      <c r="C174" s="2" t="n">
        <v>1</v>
      </c>
      <c r="D174" s="2" t="s">
        <v>1687</v>
      </c>
      <c r="E174" s="2" t="s">
        <v>1831</v>
      </c>
      <c r="F174" s="2"/>
      <c r="G174" s="2" t="n">
        <v>2</v>
      </c>
      <c r="H174" s="2" t="s">
        <v>1689</v>
      </c>
      <c r="I174" s="2" t="n">
        <v>6</v>
      </c>
    </row>
    <row r="175" customFormat="false" ht="15" hidden="false" customHeight="false" outlineLevel="0" collapsed="false">
      <c r="A175" s="2" t="s">
        <v>715</v>
      </c>
      <c r="B175" s="2" t="s">
        <v>436</v>
      </c>
      <c r="C175" s="2" t="n">
        <v>1</v>
      </c>
      <c r="D175" s="2" t="s">
        <v>1687</v>
      </c>
      <c r="E175" s="2" t="s">
        <v>1832</v>
      </c>
      <c r="F175" s="2"/>
      <c r="G175" s="2" t="n">
        <v>2</v>
      </c>
      <c r="H175" s="2" t="s">
        <v>1689</v>
      </c>
      <c r="I175" s="2" t="n">
        <v>1</v>
      </c>
    </row>
    <row r="176" customFormat="false" ht="15" hidden="false" customHeight="false" outlineLevel="0" collapsed="false">
      <c r="A176" s="2" t="s">
        <v>715</v>
      </c>
      <c r="B176" s="2" t="s">
        <v>110</v>
      </c>
      <c r="C176" s="2" t="n">
        <v>2</v>
      </c>
      <c r="D176" s="2" t="s">
        <v>1687</v>
      </c>
      <c r="E176" s="2" t="s">
        <v>1833</v>
      </c>
      <c r="F176" s="2" t="n">
        <v>1</v>
      </c>
      <c r="G176" s="2" t="n">
        <v>3</v>
      </c>
      <c r="H176" s="2" t="s">
        <v>1693</v>
      </c>
      <c r="I176" s="2" t="n">
        <v>2</v>
      </c>
    </row>
    <row r="177" customFormat="false" ht="15" hidden="false" customHeight="false" outlineLevel="0" collapsed="false">
      <c r="A177" s="2" t="s">
        <v>715</v>
      </c>
      <c r="B177" s="2" t="s">
        <v>219</v>
      </c>
      <c r="C177" s="2" t="n">
        <v>52.5</v>
      </c>
      <c r="D177" s="2" t="s">
        <v>54</v>
      </c>
      <c r="E177" s="2" t="s">
        <v>1834</v>
      </c>
      <c r="F177" s="2" t="n">
        <v>26.25</v>
      </c>
      <c r="G177" s="2" t="n">
        <v>78.75</v>
      </c>
      <c r="H177" s="2" t="s">
        <v>1689</v>
      </c>
      <c r="I177" s="2" t="n">
        <v>3</v>
      </c>
    </row>
    <row r="178" customFormat="false" ht="15" hidden="false" customHeight="false" outlineLevel="0" collapsed="false">
      <c r="A178" s="2" t="s">
        <v>715</v>
      </c>
      <c r="B178" s="2" t="s">
        <v>117</v>
      </c>
      <c r="C178" s="2" t="n">
        <v>0.5</v>
      </c>
      <c r="D178" s="2" t="s">
        <v>1687</v>
      </c>
      <c r="E178" s="2" t="s">
        <v>1835</v>
      </c>
      <c r="F178" s="2"/>
      <c r="G178" s="2" t="n">
        <v>1.5</v>
      </c>
      <c r="H178" s="2" t="s">
        <v>1700</v>
      </c>
      <c r="I178" s="2" t="n">
        <v>4</v>
      </c>
    </row>
    <row r="179" customFormat="false" ht="15" hidden="false" customHeight="false" outlineLevel="0" collapsed="false">
      <c r="A179" s="2" t="s">
        <v>715</v>
      </c>
      <c r="B179" s="2" t="s">
        <v>502</v>
      </c>
      <c r="C179" s="2" t="n">
        <v>17</v>
      </c>
      <c r="D179" s="2" t="s">
        <v>54</v>
      </c>
      <c r="E179" s="2" t="s">
        <v>1836</v>
      </c>
      <c r="F179" s="2" t="n">
        <v>8.5</v>
      </c>
      <c r="G179" s="2" t="n">
        <v>25.5</v>
      </c>
      <c r="H179" s="2" t="s">
        <v>1689</v>
      </c>
      <c r="I179" s="2" t="n">
        <v>5</v>
      </c>
    </row>
    <row r="180" customFormat="false" ht="15" hidden="false" customHeight="false" outlineLevel="0" collapsed="false">
      <c r="A180" s="2" t="s">
        <v>715</v>
      </c>
      <c r="B180" s="2" t="s">
        <v>129</v>
      </c>
      <c r="C180" s="2" t="n">
        <v>4</v>
      </c>
      <c r="D180" s="2" t="s">
        <v>54</v>
      </c>
      <c r="E180" s="2" t="s">
        <v>1837</v>
      </c>
      <c r="F180" s="2" t="n">
        <v>2</v>
      </c>
      <c r="G180" s="2" t="n">
        <v>6</v>
      </c>
      <c r="H180" s="2" t="s">
        <v>1700</v>
      </c>
      <c r="I180" s="2" t="n">
        <v>6</v>
      </c>
    </row>
    <row r="181" customFormat="false" ht="15" hidden="false" customHeight="false" outlineLevel="0" collapsed="false">
      <c r="A181" s="2" t="s">
        <v>718</v>
      </c>
      <c r="B181" s="2" t="s">
        <v>74</v>
      </c>
      <c r="C181" s="2" t="n">
        <v>200</v>
      </c>
      <c r="D181" s="2" t="s">
        <v>76</v>
      </c>
      <c r="E181" s="2" t="s">
        <v>1826</v>
      </c>
      <c r="F181" s="2" t="n">
        <v>100</v>
      </c>
      <c r="G181" s="2" t="n">
        <v>300</v>
      </c>
      <c r="H181" s="2" t="s">
        <v>1689</v>
      </c>
      <c r="I181" s="2" t="n">
        <v>1</v>
      </c>
    </row>
    <row r="182" customFormat="false" ht="15" hidden="false" customHeight="false" outlineLevel="0" collapsed="false">
      <c r="A182" s="2" t="s">
        <v>718</v>
      </c>
      <c r="B182" s="2" t="s">
        <v>81</v>
      </c>
      <c r="C182" s="2" t="n">
        <v>50</v>
      </c>
      <c r="D182" s="2" t="s">
        <v>54</v>
      </c>
      <c r="E182" s="2" t="s">
        <v>1827</v>
      </c>
      <c r="F182" s="2" t="n">
        <v>25</v>
      </c>
      <c r="G182" s="2" t="n">
        <v>75</v>
      </c>
      <c r="H182" s="2" t="s">
        <v>1689</v>
      </c>
      <c r="I182" s="2" t="n">
        <v>2</v>
      </c>
    </row>
    <row r="183" customFormat="false" ht="15" hidden="false" customHeight="false" outlineLevel="0" collapsed="false">
      <c r="A183" s="2" t="s">
        <v>718</v>
      </c>
      <c r="B183" s="2" t="s">
        <v>285</v>
      </c>
      <c r="C183" s="2" t="n">
        <v>150</v>
      </c>
      <c r="D183" s="2" t="s">
        <v>54</v>
      </c>
      <c r="E183" s="2" t="s">
        <v>1838</v>
      </c>
      <c r="F183" s="2" t="n">
        <v>75</v>
      </c>
      <c r="G183" s="2" t="n">
        <v>225</v>
      </c>
      <c r="H183" s="2" t="s">
        <v>1693</v>
      </c>
      <c r="I183" s="2" t="n">
        <v>3</v>
      </c>
    </row>
    <row r="184" customFormat="false" ht="15" hidden="false" customHeight="false" outlineLevel="0" collapsed="false">
      <c r="A184" s="2" t="s">
        <v>718</v>
      </c>
      <c r="B184" s="2" t="s">
        <v>229</v>
      </c>
      <c r="C184" s="2" t="n">
        <v>16</v>
      </c>
      <c r="D184" s="2" t="s">
        <v>54</v>
      </c>
      <c r="E184" s="2" t="s">
        <v>1839</v>
      </c>
      <c r="F184" s="2" t="n">
        <v>8</v>
      </c>
      <c r="G184" s="2" t="n">
        <v>24</v>
      </c>
      <c r="H184" s="2" t="s">
        <v>1689</v>
      </c>
      <c r="I184" s="2" t="n">
        <v>4</v>
      </c>
    </row>
    <row r="185" customFormat="false" ht="15" hidden="false" customHeight="false" outlineLevel="0" collapsed="false">
      <c r="A185" s="2" t="s">
        <v>718</v>
      </c>
      <c r="B185" s="2" t="s">
        <v>52</v>
      </c>
      <c r="C185" s="2" t="n">
        <v>1</v>
      </c>
      <c r="D185" s="2" t="s">
        <v>1687</v>
      </c>
      <c r="E185" s="2" t="s">
        <v>1831</v>
      </c>
      <c r="F185" s="2"/>
      <c r="G185" s="2" t="n">
        <v>2</v>
      </c>
      <c r="H185" s="2" t="s">
        <v>1689</v>
      </c>
      <c r="I185" s="2" t="n">
        <v>5</v>
      </c>
    </row>
    <row r="186" customFormat="false" ht="15" hidden="false" customHeight="false" outlineLevel="0" collapsed="false">
      <c r="A186" s="2" t="s">
        <v>721</v>
      </c>
      <c r="B186" s="2" t="s">
        <v>81</v>
      </c>
      <c r="C186" s="2" t="n">
        <v>60</v>
      </c>
      <c r="D186" s="2" t="s">
        <v>54</v>
      </c>
      <c r="E186" s="2" t="s">
        <v>1840</v>
      </c>
      <c r="F186" s="2" t="n">
        <v>30</v>
      </c>
      <c r="G186" s="2" t="n">
        <v>90</v>
      </c>
      <c r="H186" s="2" t="s">
        <v>1689</v>
      </c>
      <c r="I186" s="2" t="n">
        <v>1</v>
      </c>
    </row>
    <row r="187" customFormat="false" ht="15" hidden="false" customHeight="false" outlineLevel="0" collapsed="false">
      <c r="A187" s="2" t="s">
        <v>721</v>
      </c>
      <c r="B187" s="2" t="s">
        <v>74</v>
      </c>
      <c r="C187" s="2" t="n">
        <v>150</v>
      </c>
      <c r="D187" s="2" t="s">
        <v>76</v>
      </c>
      <c r="E187" s="2" t="s">
        <v>1841</v>
      </c>
      <c r="F187" s="2" t="n">
        <v>75</v>
      </c>
      <c r="G187" s="2" t="n">
        <v>225</v>
      </c>
      <c r="H187" s="2" t="s">
        <v>1689</v>
      </c>
      <c r="I187" s="2" t="n">
        <v>2</v>
      </c>
    </row>
    <row r="188" customFormat="false" ht="15" hidden="false" customHeight="false" outlineLevel="0" collapsed="false">
      <c r="A188" s="2" t="s">
        <v>721</v>
      </c>
      <c r="B188" s="2" t="s">
        <v>59</v>
      </c>
      <c r="C188" s="2" t="n">
        <v>40</v>
      </c>
      <c r="D188" s="2" t="s">
        <v>54</v>
      </c>
      <c r="E188" s="2" t="s">
        <v>1842</v>
      </c>
      <c r="F188" s="2" t="n">
        <v>20</v>
      </c>
      <c r="G188" s="2" t="n">
        <v>60</v>
      </c>
      <c r="H188" s="2" t="s">
        <v>1689</v>
      </c>
      <c r="I188" s="2" t="n">
        <v>3</v>
      </c>
    </row>
    <row r="189" customFormat="false" ht="15" hidden="false" customHeight="false" outlineLevel="0" collapsed="false">
      <c r="A189" s="2" t="s">
        <v>721</v>
      </c>
      <c r="B189" s="2" t="s">
        <v>52</v>
      </c>
      <c r="C189" s="2" t="n">
        <v>1</v>
      </c>
      <c r="D189" s="2" t="s">
        <v>1687</v>
      </c>
      <c r="E189" s="2" t="s">
        <v>1697</v>
      </c>
      <c r="F189" s="2"/>
      <c r="G189" s="2" t="n">
        <v>2</v>
      </c>
      <c r="H189" s="2" t="s">
        <v>1689</v>
      </c>
      <c r="I189" s="2" t="n">
        <v>4</v>
      </c>
    </row>
    <row r="190" customFormat="false" ht="15" hidden="false" customHeight="false" outlineLevel="0" collapsed="false">
      <c r="A190" s="2" t="s">
        <v>721</v>
      </c>
      <c r="B190" s="2" t="s">
        <v>91</v>
      </c>
      <c r="C190" s="2" t="n">
        <v>21</v>
      </c>
      <c r="D190" s="2" t="s">
        <v>54</v>
      </c>
      <c r="E190" s="2" t="s">
        <v>1843</v>
      </c>
      <c r="F190" s="2" t="n">
        <v>10.5</v>
      </c>
      <c r="G190" s="2" t="n">
        <v>31.5</v>
      </c>
      <c r="H190" s="2" t="s">
        <v>1689</v>
      </c>
      <c r="I190" s="2" t="n">
        <v>5</v>
      </c>
    </row>
    <row r="191" customFormat="false" ht="15" hidden="false" customHeight="false" outlineLevel="0" collapsed="false">
      <c r="A191" s="2" t="s">
        <v>721</v>
      </c>
      <c r="B191" s="2" t="s">
        <v>148</v>
      </c>
      <c r="C191" s="2" t="n">
        <v>135</v>
      </c>
      <c r="D191" s="2" t="s">
        <v>54</v>
      </c>
      <c r="E191" s="2" t="s">
        <v>1844</v>
      </c>
      <c r="F191" s="2" t="n">
        <v>67.5</v>
      </c>
      <c r="G191" s="2" t="n">
        <v>202.5</v>
      </c>
      <c r="H191" s="2" t="s">
        <v>1693</v>
      </c>
      <c r="I191" s="2" t="n">
        <v>6</v>
      </c>
    </row>
    <row r="192" customFormat="false" ht="15" hidden="false" customHeight="false" outlineLevel="0" collapsed="false">
      <c r="A192" s="2" t="s">
        <v>724</v>
      </c>
      <c r="B192" s="2" t="s">
        <v>318</v>
      </c>
      <c r="C192" s="2" t="n">
        <v>100</v>
      </c>
      <c r="D192" s="2" t="s">
        <v>54</v>
      </c>
      <c r="E192" s="2" t="s">
        <v>1845</v>
      </c>
      <c r="F192" s="2" t="n">
        <v>50</v>
      </c>
      <c r="G192" s="2" t="n">
        <v>150</v>
      </c>
      <c r="H192" s="2" t="s">
        <v>1689</v>
      </c>
      <c r="I192" s="2" t="n">
        <v>1</v>
      </c>
    </row>
    <row r="193" customFormat="false" ht="15" hidden="false" customHeight="false" outlineLevel="0" collapsed="false">
      <c r="A193" s="2" t="s">
        <v>724</v>
      </c>
      <c r="B193" s="2" t="s">
        <v>148</v>
      </c>
      <c r="C193" s="2" t="n">
        <v>75</v>
      </c>
      <c r="D193" s="2" t="s">
        <v>54</v>
      </c>
      <c r="E193" s="2" t="s">
        <v>1846</v>
      </c>
      <c r="F193" s="2" t="n">
        <v>37.5</v>
      </c>
      <c r="G193" s="2" t="n">
        <v>112.5</v>
      </c>
      <c r="H193" s="2" t="s">
        <v>1693</v>
      </c>
      <c r="I193" s="2" t="n">
        <v>2</v>
      </c>
    </row>
    <row r="194" customFormat="false" ht="15" hidden="false" customHeight="false" outlineLevel="0" collapsed="false">
      <c r="A194" s="2" t="s">
        <v>724</v>
      </c>
      <c r="B194" s="2" t="s">
        <v>91</v>
      </c>
      <c r="C194" s="2" t="n">
        <v>7</v>
      </c>
      <c r="D194" s="2" t="s">
        <v>54</v>
      </c>
      <c r="E194" s="2" t="s">
        <v>1847</v>
      </c>
      <c r="F194" s="2" t="n">
        <v>3.5</v>
      </c>
      <c r="G194" s="2" t="n">
        <v>10.5</v>
      </c>
      <c r="H194" s="2" t="s">
        <v>1689</v>
      </c>
      <c r="I194" s="2" t="n">
        <v>3</v>
      </c>
    </row>
    <row r="195" customFormat="false" ht="15" hidden="false" customHeight="false" outlineLevel="0" collapsed="false">
      <c r="A195" s="2" t="s">
        <v>724</v>
      </c>
      <c r="B195" s="2" t="s">
        <v>59</v>
      </c>
      <c r="C195" s="2" t="n">
        <v>40</v>
      </c>
      <c r="D195" s="2" t="s">
        <v>54</v>
      </c>
      <c r="E195" s="2" t="s">
        <v>1842</v>
      </c>
      <c r="F195" s="2" t="n">
        <v>20</v>
      </c>
      <c r="G195" s="2" t="n">
        <v>60</v>
      </c>
      <c r="H195" s="2" t="s">
        <v>1689</v>
      </c>
      <c r="I195" s="2" t="n">
        <v>4</v>
      </c>
    </row>
    <row r="196" customFormat="false" ht="15" hidden="false" customHeight="false" outlineLevel="0" collapsed="false">
      <c r="A196" s="2" t="s">
        <v>727</v>
      </c>
      <c r="B196" s="2" t="s">
        <v>71</v>
      </c>
      <c r="C196" s="2" t="n">
        <v>45</v>
      </c>
      <c r="D196" s="2" t="s">
        <v>54</v>
      </c>
      <c r="E196" s="2" t="s">
        <v>1848</v>
      </c>
      <c r="F196" s="2" t="n">
        <v>22.5</v>
      </c>
      <c r="G196" s="2" t="n">
        <v>67.5</v>
      </c>
      <c r="H196" s="2" t="s">
        <v>1693</v>
      </c>
      <c r="I196" s="2" t="n">
        <v>1</v>
      </c>
    </row>
    <row r="197" customFormat="false" ht="15" hidden="false" customHeight="false" outlineLevel="0" collapsed="false">
      <c r="A197" s="2" t="s">
        <v>727</v>
      </c>
      <c r="B197" s="2" t="s">
        <v>52</v>
      </c>
      <c r="C197" s="2" t="n">
        <v>2</v>
      </c>
      <c r="D197" s="2" t="s">
        <v>1687</v>
      </c>
      <c r="E197" s="2" t="s">
        <v>1849</v>
      </c>
      <c r="F197" s="2"/>
      <c r="G197" s="2" t="n">
        <v>2</v>
      </c>
      <c r="H197" s="2" t="s">
        <v>1689</v>
      </c>
      <c r="I197" s="2" t="n">
        <v>2</v>
      </c>
    </row>
    <row r="198" customFormat="false" ht="15" hidden="false" customHeight="false" outlineLevel="0" collapsed="false">
      <c r="A198" s="2" t="s">
        <v>727</v>
      </c>
      <c r="B198" s="2" t="s">
        <v>110</v>
      </c>
      <c r="C198" s="2" t="n">
        <v>3</v>
      </c>
      <c r="D198" s="2" t="s">
        <v>1687</v>
      </c>
      <c r="E198" s="2" t="s">
        <v>1810</v>
      </c>
      <c r="F198" s="2" t="n">
        <v>2</v>
      </c>
      <c r="G198" s="2" t="n">
        <v>4</v>
      </c>
      <c r="H198" s="2" t="s">
        <v>1693</v>
      </c>
      <c r="I198" s="2" t="n">
        <v>3</v>
      </c>
    </row>
    <row r="199" customFormat="false" ht="15" hidden="false" customHeight="false" outlineLevel="0" collapsed="false">
      <c r="A199" s="2" t="s">
        <v>727</v>
      </c>
      <c r="B199" s="2" t="s">
        <v>234</v>
      </c>
      <c r="C199" s="2" t="n">
        <v>7</v>
      </c>
      <c r="D199" s="2" t="s">
        <v>54</v>
      </c>
      <c r="E199" s="2" t="s">
        <v>1850</v>
      </c>
      <c r="F199" s="2" t="n">
        <v>10.5</v>
      </c>
      <c r="G199" s="2" t="n">
        <v>31.5</v>
      </c>
      <c r="H199" s="2" t="s">
        <v>1700</v>
      </c>
      <c r="I199" s="2" t="n">
        <v>4</v>
      </c>
    </row>
    <row r="200" customFormat="false" ht="15" hidden="false" customHeight="false" outlineLevel="0" collapsed="false">
      <c r="A200" s="2" t="s">
        <v>727</v>
      </c>
      <c r="B200" s="2" t="s">
        <v>64</v>
      </c>
      <c r="C200" s="2" t="n">
        <v>80</v>
      </c>
      <c r="D200" s="2" t="s">
        <v>54</v>
      </c>
      <c r="E200" s="2" t="s">
        <v>1851</v>
      </c>
      <c r="F200" s="2" t="n">
        <v>40</v>
      </c>
      <c r="G200" s="2" t="n">
        <v>120</v>
      </c>
      <c r="H200" s="2" t="s">
        <v>1689</v>
      </c>
      <c r="I200" s="2" t="n">
        <v>5</v>
      </c>
    </row>
    <row r="201" customFormat="false" ht="15" hidden="false" customHeight="false" outlineLevel="0" collapsed="false">
      <c r="A201" s="2" t="s">
        <v>727</v>
      </c>
      <c r="B201" s="2" t="s">
        <v>91</v>
      </c>
      <c r="C201" s="2" t="n">
        <v>21</v>
      </c>
      <c r="D201" s="2" t="s">
        <v>54</v>
      </c>
      <c r="E201" s="2" t="s">
        <v>1843</v>
      </c>
      <c r="F201" s="2" t="n">
        <v>21</v>
      </c>
      <c r="G201" s="2" t="n">
        <v>63</v>
      </c>
      <c r="H201" s="2" t="s">
        <v>1689</v>
      </c>
      <c r="I201" s="2" t="n">
        <v>6</v>
      </c>
    </row>
    <row r="202" customFormat="false" ht="15" hidden="false" customHeight="false" outlineLevel="0" collapsed="false">
      <c r="A202" s="2" t="s">
        <v>731</v>
      </c>
      <c r="B202" s="2" t="s">
        <v>556</v>
      </c>
      <c r="C202" s="2" t="n">
        <v>2</v>
      </c>
      <c r="D202" s="2" t="s">
        <v>1687</v>
      </c>
      <c r="E202" s="2" t="s">
        <v>1852</v>
      </c>
      <c r="F202" s="2" t="n">
        <v>1</v>
      </c>
      <c r="G202" s="2" t="n">
        <v>3</v>
      </c>
      <c r="H202" s="2" t="s">
        <v>1689</v>
      </c>
      <c r="I202" s="2" t="n">
        <v>1</v>
      </c>
    </row>
    <row r="203" customFormat="false" ht="15" hidden="false" customHeight="false" outlineLevel="0" collapsed="false">
      <c r="A203" s="2" t="s">
        <v>731</v>
      </c>
      <c r="B203" s="2" t="s">
        <v>74</v>
      </c>
      <c r="C203" s="2" t="n">
        <v>150</v>
      </c>
      <c r="D203" s="2" t="s">
        <v>76</v>
      </c>
      <c r="E203" s="2" t="s">
        <v>1841</v>
      </c>
      <c r="F203" s="2" t="n">
        <v>75</v>
      </c>
      <c r="G203" s="2" t="n">
        <v>225</v>
      </c>
      <c r="H203" s="2" t="s">
        <v>1689</v>
      </c>
      <c r="I203" s="2" t="n">
        <v>2</v>
      </c>
    </row>
    <row r="204" customFormat="false" ht="15" hidden="false" customHeight="false" outlineLevel="0" collapsed="false">
      <c r="A204" s="2" t="s">
        <v>731</v>
      </c>
      <c r="B204" s="2" t="s">
        <v>110</v>
      </c>
      <c r="C204" s="2" t="n">
        <v>1</v>
      </c>
      <c r="D204" s="2" t="s">
        <v>1687</v>
      </c>
      <c r="E204" s="2" t="s">
        <v>1853</v>
      </c>
      <c r="F204" s="2"/>
      <c r="G204" s="2" t="n">
        <v>2</v>
      </c>
      <c r="H204" s="2" t="s">
        <v>1693</v>
      </c>
      <c r="I204" s="2" t="n">
        <v>3</v>
      </c>
    </row>
    <row r="205" customFormat="false" ht="15" hidden="false" customHeight="false" outlineLevel="0" collapsed="false">
      <c r="A205" s="2" t="s">
        <v>731</v>
      </c>
      <c r="B205" s="2" t="s">
        <v>271</v>
      </c>
      <c r="C205" s="2" t="n">
        <v>3</v>
      </c>
      <c r="D205" s="2" t="s">
        <v>54</v>
      </c>
      <c r="E205" s="2" t="s">
        <v>1854</v>
      </c>
      <c r="F205" s="2" t="n">
        <v>1.5</v>
      </c>
      <c r="G205" s="2" t="n">
        <v>4.5</v>
      </c>
      <c r="H205" s="2" t="s">
        <v>1689</v>
      </c>
      <c r="I205" s="2" t="n">
        <v>4</v>
      </c>
    </row>
    <row r="206" customFormat="false" ht="15" hidden="false" customHeight="false" outlineLevel="0" collapsed="false">
      <c r="A206" s="2" t="s">
        <v>731</v>
      </c>
      <c r="B206" s="2" t="s">
        <v>91</v>
      </c>
      <c r="C206" s="2" t="n">
        <v>14</v>
      </c>
      <c r="D206" s="2" t="s">
        <v>54</v>
      </c>
      <c r="E206" s="2" t="s">
        <v>1741</v>
      </c>
      <c r="F206" s="2" t="n">
        <v>7</v>
      </c>
      <c r="G206" s="2" t="n">
        <v>21</v>
      </c>
      <c r="H206" s="2" t="s">
        <v>1689</v>
      </c>
      <c r="I206" s="2" t="n">
        <v>5</v>
      </c>
    </row>
    <row r="207" customFormat="false" ht="15" hidden="false" customHeight="false" outlineLevel="0" collapsed="false">
      <c r="A207" s="2" t="s">
        <v>731</v>
      </c>
      <c r="B207" s="2" t="s">
        <v>71</v>
      </c>
      <c r="C207" s="2" t="n">
        <v>15</v>
      </c>
      <c r="D207" s="2" t="s">
        <v>54</v>
      </c>
      <c r="E207" s="2" t="s">
        <v>1855</v>
      </c>
      <c r="F207" s="2" t="n">
        <v>7.5</v>
      </c>
      <c r="G207" s="2" t="n">
        <v>22.5</v>
      </c>
      <c r="H207" s="2" t="s">
        <v>1693</v>
      </c>
      <c r="I207" s="2" t="n">
        <v>6</v>
      </c>
    </row>
    <row r="208" customFormat="false" ht="15" hidden="false" customHeight="false" outlineLevel="0" collapsed="false">
      <c r="A208" s="2" t="s">
        <v>731</v>
      </c>
      <c r="B208" s="2" t="s">
        <v>67</v>
      </c>
      <c r="C208" s="2" t="n">
        <v>30</v>
      </c>
      <c r="D208" s="2" t="s">
        <v>54</v>
      </c>
      <c r="E208" s="2" t="s">
        <v>1692</v>
      </c>
      <c r="F208" s="2" t="n">
        <v>15</v>
      </c>
      <c r="G208" s="2" t="n">
        <v>45</v>
      </c>
      <c r="H208" s="2" t="s">
        <v>1693</v>
      </c>
      <c r="I208" s="2" t="n">
        <v>7</v>
      </c>
    </row>
    <row r="209" customFormat="false" ht="15" hidden="false" customHeight="false" outlineLevel="0" collapsed="false">
      <c r="A209" s="2" t="s">
        <v>731</v>
      </c>
      <c r="B209" s="2" t="s">
        <v>392</v>
      </c>
      <c r="C209" s="2" t="n">
        <v>40</v>
      </c>
      <c r="D209" s="2" t="s">
        <v>54</v>
      </c>
      <c r="E209" s="2" t="s">
        <v>1856</v>
      </c>
      <c r="F209" s="2" t="n">
        <v>20</v>
      </c>
      <c r="G209" s="2" t="n">
        <v>60</v>
      </c>
      <c r="H209" s="2" t="s">
        <v>1689</v>
      </c>
      <c r="I209" s="2" t="n">
        <v>8</v>
      </c>
    </row>
    <row r="210" customFormat="false" ht="15" hidden="false" customHeight="false" outlineLevel="0" collapsed="false">
      <c r="A210" s="2" t="s">
        <v>731</v>
      </c>
      <c r="B210" s="2" t="s">
        <v>234</v>
      </c>
      <c r="C210" s="2" t="n">
        <v>4</v>
      </c>
      <c r="D210" s="2" t="s">
        <v>54</v>
      </c>
      <c r="E210" s="2" t="s">
        <v>1857</v>
      </c>
      <c r="F210" s="2" t="n">
        <v>2</v>
      </c>
      <c r="G210" s="2" t="n">
        <v>6</v>
      </c>
      <c r="H210" s="2" t="s">
        <v>1700</v>
      </c>
      <c r="I210" s="2" t="n">
        <v>9</v>
      </c>
    </row>
    <row r="211" customFormat="false" ht="15" hidden="false" customHeight="false" outlineLevel="0" collapsed="false">
      <c r="A211" s="2" t="s">
        <v>734</v>
      </c>
      <c r="B211" s="2" t="s">
        <v>221</v>
      </c>
      <c r="C211" s="2" t="n">
        <v>150</v>
      </c>
      <c r="D211" s="2" t="s">
        <v>54</v>
      </c>
      <c r="E211" s="2" t="s">
        <v>1770</v>
      </c>
      <c r="F211" s="2" t="n">
        <v>75</v>
      </c>
      <c r="G211" s="2" t="n">
        <v>225</v>
      </c>
      <c r="H211" s="2" t="s">
        <v>1693</v>
      </c>
      <c r="I211" s="2" t="n">
        <v>1</v>
      </c>
    </row>
    <row r="212" customFormat="false" ht="15" hidden="false" customHeight="false" outlineLevel="0" collapsed="false">
      <c r="A212" s="2" t="s">
        <v>734</v>
      </c>
      <c r="B212" s="2" t="s">
        <v>480</v>
      </c>
      <c r="C212" s="2" t="n">
        <v>1</v>
      </c>
      <c r="D212" s="2" t="s">
        <v>54</v>
      </c>
      <c r="E212" s="2" t="s">
        <v>1858</v>
      </c>
      <c r="F212" s="2" t="n">
        <v>0.5</v>
      </c>
      <c r="G212" s="2" t="n">
        <v>1.5</v>
      </c>
      <c r="H212" s="2" t="s">
        <v>1689</v>
      </c>
      <c r="I212" s="2" t="n">
        <v>2</v>
      </c>
    </row>
    <row r="213" customFormat="false" ht="15" hidden="false" customHeight="false" outlineLevel="0" collapsed="false">
      <c r="A213" s="2" t="s">
        <v>734</v>
      </c>
      <c r="B213" s="2" t="s">
        <v>394</v>
      </c>
      <c r="C213" s="2" t="n">
        <v>600</v>
      </c>
      <c r="D213" s="2" t="s">
        <v>54</v>
      </c>
      <c r="E213" s="2" t="s">
        <v>1859</v>
      </c>
      <c r="F213" s="2" t="n">
        <v>300</v>
      </c>
      <c r="G213" s="2" t="n">
        <v>900</v>
      </c>
      <c r="H213" s="2" t="s">
        <v>1689</v>
      </c>
      <c r="I213" s="2" t="n">
        <v>3</v>
      </c>
    </row>
    <row r="214" customFormat="false" ht="15" hidden="false" customHeight="false" outlineLevel="0" collapsed="false">
      <c r="A214" s="2" t="s">
        <v>734</v>
      </c>
      <c r="B214" s="2" t="s">
        <v>470</v>
      </c>
      <c r="C214" s="2" t="n">
        <v>20</v>
      </c>
      <c r="D214" s="2" t="s">
        <v>54</v>
      </c>
      <c r="E214" s="2" t="s">
        <v>1860</v>
      </c>
      <c r="F214" s="2" t="n">
        <v>10</v>
      </c>
      <c r="G214" s="2" t="n">
        <v>30</v>
      </c>
      <c r="H214" s="2" t="s">
        <v>1693</v>
      </c>
      <c r="I214" s="2" t="n">
        <v>4</v>
      </c>
    </row>
    <row r="215" customFormat="false" ht="15" hidden="false" customHeight="false" outlineLevel="0" collapsed="false">
      <c r="A215" s="2" t="s">
        <v>734</v>
      </c>
      <c r="B215" s="2" t="s">
        <v>219</v>
      </c>
      <c r="C215" s="2" t="n">
        <v>75</v>
      </c>
      <c r="D215" s="2" t="s">
        <v>54</v>
      </c>
      <c r="E215" s="2" t="s">
        <v>1861</v>
      </c>
      <c r="F215" s="2" t="n">
        <v>37.5</v>
      </c>
      <c r="G215" s="2" t="n">
        <v>112.5</v>
      </c>
      <c r="H215" s="2" t="s">
        <v>1689</v>
      </c>
      <c r="I215" s="2" t="n">
        <v>5</v>
      </c>
    </row>
    <row r="216" customFormat="false" ht="15" hidden="false" customHeight="false" outlineLevel="0" collapsed="false">
      <c r="A216" s="2" t="s">
        <v>734</v>
      </c>
      <c r="B216" s="2" t="s">
        <v>454</v>
      </c>
      <c r="C216" s="2" t="n">
        <v>60</v>
      </c>
      <c r="D216" s="2" t="s">
        <v>54</v>
      </c>
      <c r="E216" s="2" t="s">
        <v>1862</v>
      </c>
      <c r="F216" s="2" t="n">
        <v>30</v>
      </c>
      <c r="G216" s="2" t="n">
        <v>90</v>
      </c>
      <c r="H216" s="2" t="s">
        <v>1689</v>
      </c>
      <c r="I216" s="2" t="n">
        <v>6</v>
      </c>
    </row>
    <row r="217" customFormat="false" ht="15" hidden="false" customHeight="false" outlineLevel="0" collapsed="false">
      <c r="A217" s="2" t="s">
        <v>734</v>
      </c>
      <c r="B217" s="2" t="s">
        <v>458</v>
      </c>
      <c r="C217" s="2" t="n">
        <v>40</v>
      </c>
      <c r="D217" s="2" t="s">
        <v>54</v>
      </c>
      <c r="E217" s="2" t="s">
        <v>1863</v>
      </c>
      <c r="F217" s="2" t="n">
        <v>20</v>
      </c>
      <c r="G217" s="2" t="n">
        <v>60</v>
      </c>
      <c r="H217" s="2" t="s">
        <v>1689</v>
      </c>
      <c r="I217" s="2" t="n">
        <v>7</v>
      </c>
    </row>
    <row r="218" customFormat="false" ht="15" hidden="false" customHeight="false" outlineLevel="0" collapsed="false">
      <c r="A218" s="2" t="s">
        <v>734</v>
      </c>
      <c r="B218" s="2" t="s">
        <v>289</v>
      </c>
      <c r="C218" s="2" t="n">
        <v>5</v>
      </c>
      <c r="D218" s="2" t="s">
        <v>54</v>
      </c>
      <c r="E218" s="2" t="s">
        <v>1864</v>
      </c>
      <c r="F218" s="2" t="n">
        <v>2.5</v>
      </c>
      <c r="G218" s="2" t="n">
        <v>7.5</v>
      </c>
      <c r="H218" s="2" t="s">
        <v>1700</v>
      </c>
      <c r="I218" s="2" t="n">
        <v>8</v>
      </c>
    </row>
    <row r="219" customFormat="false" ht="15" hidden="false" customHeight="false" outlineLevel="0" collapsed="false">
      <c r="A219" s="2" t="s">
        <v>734</v>
      </c>
      <c r="B219" s="2" t="s">
        <v>129</v>
      </c>
      <c r="C219" s="2" t="n">
        <v>14</v>
      </c>
      <c r="D219" s="2" t="s">
        <v>54</v>
      </c>
      <c r="E219" s="2" t="s">
        <v>1865</v>
      </c>
      <c r="F219" s="2" t="n">
        <v>7</v>
      </c>
      <c r="G219" s="2" t="n">
        <v>21</v>
      </c>
      <c r="H219" s="2" t="s">
        <v>1700</v>
      </c>
      <c r="I219" s="2" t="n">
        <v>9</v>
      </c>
    </row>
    <row r="220" customFormat="false" ht="15" hidden="false" customHeight="false" outlineLevel="0" collapsed="false">
      <c r="A220" s="2" t="s">
        <v>734</v>
      </c>
      <c r="B220" s="2" t="s">
        <v>67</v>
      </c>
      <c r="C220" s="2" t="n">
        <v>15</v>
      </c>
      <c r="D220" s="2" t="s">
        <v>54</v>
      </c>
      <c r="E220" s="2" t="s">
        <v>1866</v>
      </c>
      <c r="F220" s="2" t="n">
        <v>7.5</v>
      </c>
      <c r="G220" s="2" t="n">
        <v>22.5</v>
      </c>
      <c r="H220" s="2" t="s">
        <v>1693</v>
      </c>
      <c r="I220" s="2" t="n">
        <v>10</v>
      </c>
    </row>
    <row r="221" customFormat="false" ht="15" hidden="false" customHeight="false" outlineLevel="0" collapsed="false">
      <c r="A221" s="2" t="s">
        <v>734</v>
      </c>
      <c r="B221" s="2" t="s">
        <v>268</v>
      </c>
      <c r="C221" s="2" t="n">
        <v>10</v>
      </c>
      <c r="D221" s="2" t="s">
        <v>54</v>
      </c>
      <c r="E221" s="2" t="s">
        <v>1867</v>
      </c>
      <c r="F221" s="2" t="n">
        <v>5</v>
      </c>
      <c r="G221" s="2" t="n">
        <v>15</v>
      </c>
      <c r="H221" s="2" t="s">
        <v>1693</v>
      </c>
      <c r="I221" s="2" t="n">
        <v>11</v>
      </c>
    </row>
    <row r="222" customFormat="false" ht="15" hidden="false" customHeight="false" outlineLevel="0" collapsed="false">
      <c r="A222" s="2" t="s">
        <v>734</v>
      </c>
      <c r="B222" s="2" t="s">
        <v>271</v>
      </c>
      <c r="C222" s="2" t="n">
        <v>2</v>
      </c>
      <c r="D222" s="2" t="s">
        <v>54</v>
      </c>
      <c r="E222" s="2" t="s">
        <v>1868</v>
      </c>
      <c r="F222" s="2" t="n">
        <v>1</v>
      </c>
      <c r="G222" s="2" t="n">
        <v>3</v>
      </c>
      <c r="H222" s="2" t="s">
        <v>1689</v>
      </c>
      <c r="I222" s="2" t="n">
        <v>12</v>
      </c>
    </row>
    <row r="223" customFormat="false" ht="15" hidden="false" customHeight="false" outlineLevel="0" collapsed="false">
      <c r="A223" s="2" t="s">
        <v>734</v>
      </c>
      <c r="B223" s="2" t="s">
        <v>367</v>
      </c>
      <c r="C223" s="2" t="n">
        <v>15</v>
      </c>
      <c r="D223" s="2" t="s">
        <v>76</v>
      </c>
      <c r="E223" s="2" t="s">
        <v>1869</v>
      </c>
      <c r="F223" s="2" t="n">
        <v>14</v>
      </c>
      <c r="G223" s="2" t="n">
        <v>16</v>
      </c>
      <c r="H223" s="2" t="s">
        <v>1689</v>
      </c>
      <c r="I223" s="2" t="n">
        <v>13</v>
      </c>
    </row>
    <row r="224" customFormat="false" ht="15" hidden="false" customHeight="false" outlineLevel="0" collapsed="false">
      <c r="A224" s="2" t="s">
        <v>738</v>
      </c>
      <c r="B224" s="2" t="s">
        <v>221</v>
      </c>
      <c r="C224" s="2" t="n">
        <v>150</v>
      </c>
      <c r="D224" s="2" t="s">
        <v>54</v>
      </c>
      <c r="E224" s="2" t="s">
        <v>1870</v>
      </c>
      <c r="F224" s="2" t="n">
        <v>75</v>
      </c>
      <c r="G224" s="2" t="n">
        <v>225</v>
      </c>
      <c r="H224" s="2" t="s">
        <v>1693</v>
      </c>
      <c r="I224" s="2" t="n">
        <v>1</v>
      </c>
    </row>
    <row r="225" customFormat="false" ht="15" hidden="false" customHeight="false" outlineLevel="0" collapsed="false">
      <c r="A225" s="2" t="s">
        <v>738</v>
      </c>
      <c r="B225" s="2" t="s">
        <v>498</v>
      </c>
      <c r="C225" s="2" t="n">
        <v>60</v>
      </c>
      <c r="D225" s="2" t="s">
        <v>54</v>
      </c>
      <c r="E225" s="2" t="s">
        <v>1871</v>
      </c>
      <c r="F225" s="2" t="n">
        <v>30</v>
      </c>
      <c r="G225" s="2" t="n">
        <v>90</v>
      </c>
      <c r="H225" s="2" t="s">
        <v>1693</v>
      </c>
      <c r="I225" s="2" t="n">
        <v>2</v>
      </c>
    </row>
    <row r="226" customFormat="false" ht="15" hidden="false" customHeight="false" outlineLevel="0" collapsed="false">
      <c r="A226" s="2" t="s">
        <v>738</v>
      </c>
      <c r="B226" s="2" t="s">
        <v>514</v>
      </c>
      <c r="C226" s="2" t="n">
        <v>180</v>
      </c>
      <c r="D226" s="2" t="s">
        <v>54</v>
      </c>
      <c r="E226" s="2" t="s">
        <v>1872</v>
      </c>
      <c r="F226" s="2" t="n">
        <v>90</v>
      </c>
      <c r="G226" s="2" t="n">
        <v>270</v>
      </c>
      <c r="H226" s="2" t="s">
        <v>1689</v>
      </c>
      <c r="I226" s="2" t="n">
        <v>3</v>
      </c>
    </row>
    <row r="227" customFormat="false" ht="15" hidden="false" customHeight="false" outlineLevel="0" collapsed="false">
      <c r="A227" s="2" t="s">
        <v>738</v>
      </c>
      <c r="B227" s="2" t="s">
        <v>59</v>
      </c>
      <c r="C227" s="2" t="n">
        <v>40</v>
      </c>
      <c r="D227" s="2" t="s">
        <v>54</v>
      </c>
      <c r="E227" s="2" t="s">
        <v>1799</v>
      </c>
      <c r="F227" s="2" t="n">
        <v>20</v>
      </c>
      <c r="G227" s="2" t="n">
        <v>60</v>
      </c>
      <c r="H227" s="2" t="s">
        <v>1689</v>
      </c>
      <c r="I227" s="2" t="n">
        <v>4</v>
      </c>
    </row>
    <row r="228" customFormat="false" ht="15" hidden="false" customHeight="false" outlineLevel="0" collapsed="false">
      <c r="A228" s="2" t="s">
        <v>738</v>
      </c>
      <c r="B228" s="2" t="s">
        <v>510</v>
      </c>
      <c r="C228" s="2" t="n">
        <v>40</v>
      </c>
      <c r="D228" s="2" t="s">
        <v>54</v>
      </c>
      <c r="E228" s="2" t="s">
        <v>1873</v>
      </c>
      <c r="F228" s="2" t="n">
        <v>20</v>
      </c>
      <c r="G228" s="2" t="n">
        <v>60</v>
      </c>
      <c r="H228" s="2" t="s">
        <v>1689</v>
      </c>
      <c r="I228" s="2" t="n">
        <v>5</v>
      </c>
    </row>
    <row r="229" customFormat="false" ht="15" hidden="false" customHeight="false" outlineLevel="0" collapsed="false">
      <c r="A229" s="2" t="s">
        <v>738</v>
      </c>
      <c r="B229" s="2" t="s">
        <v>544</v>
      </c>
      <c r="C229" s="2" t="n">
        <v>50</v>
      </c>
      <c r="D229" s="2" t="s">
        <v>54</v>
      </c>
      <c r="E229" s="2" t="s">
        <v>1874</v>
      </c>
      <c r="F229" s="2" t="n">
        <v>25</v>
      </c>
      <c r="G229" s="2" t="n">
        <v>75</v>
      </c>
      <c r="H229" s="2" t="s">
        <v>1700</v>
      </c>
      <c r="I229" s="2" t="n">
        <v>6</v>
      </c>
    </row>
    <row r="230" customFormat="false" ht="15" hidden="false" customHeight="false" outlineLevel="0" collapsed="false">
      <c r="A230" s="2" t="s">
        <v>738</v>
      </c>
      <c r="B230" s="2" t="s">
        <v>255</v>
      </c>
      <c r="C230" s="2" t="n">
        <v>15</v>
      </c>
      <c r="D230" s="2" t="s">
        <v>76</v>
      </c>
      <c r="E230" s="2" t="s">
        <v>1875</v>
      </c>
      <c r="F230" s="2" t="n">
        <v>7.5</v>
      </c>
      <c r="G230" s="2" t="n">
        <v>22.5</v>
      </c>
      <c r="H230" s="2" t="s">
        <v>1689</v>
      </c>
      <c r="I230" s="2" t="n">
        <v>7</v>
      </c>
    </row>
    <row r="231" customFormat="false" ht="15" hidden="false" customHeight="false" outlineLevel="0" collapsed="false">
      <c r="A231" s="2" t="s">
        <v>738</v>
      </c>
      <c r="B231" s="2" t="s">
        <v>129</v>
      </c>
      <c r="C231" s="2" t="n">
        <v>14</v>
      </c>
      <c r="D231" s="2" t="s">
        <v>54</v>
      </c>
      <c r="E231" s="2" t="s">
        <v>1876</v>
      </c>
      <c r="F231" s="2" t="n">
        <v>7</v>
      </c>
      <c r="G231" s="2" t="n">
        <v>21</v>
      </c>
      <c r="H231" s="2" t="s">
        <v>1700</v>
      </c>
      <c r="I231" s="2" t="n">
        <v>8</v>
      </c>
    </row>
    <row r="232" customFormat="false" ht="15" hidden="false" customHeight="false" outlineLevel="0" collapsed="false">
      <c r="A232" s="2" t="s">
        <v>738</v>
      </c>
      <c r="B232" s="2" t="s">
        <v>170</v>
      </c>
      <c r="C232" s="2" t="n">
        <v>10</v>
      </c>
      <c r="D232" s="2" t="s">
        <v>76</v>
      </c>
      <c r="E232" s="2" t="s">
        <v>1877</v>
      </c>
      <c r="F232" s="2" t="n">
        <v>5</v>
      </c>
      <c r="G232" s="2" t="n">
        <v>15</v>
      </c>
      <c r="H232" s="2" t="s">
        <v>1689</v>
      </c>
      <c r="I232" s="2" t="n">
        <v>9</v>
      </c>
    </row>
    <row r="233" customFormat="false" ht="15" hidden="false" customHeight="false" outlineLevel="0" collapsed="false">
      <c r="A233" s="2" t="s">
        <v>738</v>
      </c>
      <c r="B233" s="2" t="s">
        <v>411</v>
      </c>
      <c r="C233" s="2" t="n">
        <v>0.007</v>
      </c>
      <c r="D233" s="2" t="s">
        <v>1687</v>
      </c>
      <c r="E233" s="2" t="s">
        <v>1878</v>
      </c>
      <c r="F233" s="2"/>
      <c r="G233" s="2" t="n">
        <v>1.00714285714286</v>
      </c>
      <c r="H233" s="2" t="s">
        <v>1689</v>
      </c>
      <c r="I233" s="2" t="n">
        <v>10</v>
      </c>
    </row>
    <row r="234" customFormat="false" ht="15" hidden="false" customHeight="false" outlineLevel="0" collapsed="false">
      <c r="A234" s="2" t="s">
        <v>738</v>
      </c>
      <c r="B234" s="2" t="s">
        <v>268</v>
      </c>
      <c r="C234" s="2" t="n">
        <v>2</v>
      </c>
      <c r="D234" s="2" t="s">
        <v>54</v>
      </c>
      <c r="E234" s="2" t="s">
        <v>1879</v>
      </c>
      <c r="F234" s="2" t="n">
        <v>1</v>
      </c>
      <c r="G234" s="2" t="n">
        <v>3</v>
      </c>
      <c r="H234" s="2" t="s">
        <v>1693</v>
      </c>
      <c r="I234" s="2" t="n">
        <v>11</v>
      </c>
    </row>
    <row r="235" customFormat="false" ht="15" hidden="false" customHeight="false" outlineLevel="0" collapsed="false">
      <c r="A235" s="2" t="s">
        <v>738</v>
      </c>
      <c r="B235" s="2" t="s">
        <v>480</v>
      </c>
      <c r="C235" s="2" t="n">
        <v>1</v>
      </c>
      <c r="D235" s="2" t="s">
        <v>54</v>
      </c>
      <c r="E235" s="2" t="s">
        <v>1880</v>
      </c>
      <c r="F235" s="2" t="n">
        <v>0.5</v>
      </c>
      <c r="G235" s="2" t="n">
        <v>1.5</v>
      </c>
      <c r="H235" s="2" t="s">
        <v>1689</v>
      </c>
      <c r="I235" s="2" t="n">
        <v>12</v>
      </c>
    </row>
    <row r="236" customFormat="false" ht="15" hidden="false" customHeight="false" outlineLevel="0" collapsed="false">
      <c r="A236" s="2" t="s">
        <v>741</v>
      </c>
      <c r="B236" s="2" t="s">
        <v>444</v>
      </c>
      <c r="C236" s="2" t="n">
        <v>300</v>
      </c>
      <c r="D236" s="2" t="s">
        <v>54</v>
      </c>
      <c r="E236" s="2" t="s">
        <v>1881</v>
      </c>
      <c r="F236" s="2" t="n">
        <v>150</v>
      </c>
      <c r="G236" s="2" t="n">
        <v>450</v>
      </c>
      <c r="H236" s="2" t="s">
        <v>1693</v>
      </c>
      <c r="I236" s="2" t="n">
        <v>1</v>
      </c>
    </row>
    <row r="237" customFormat="false" ht="15" hidden="false" customHeight="false" outlineLevel="0" collapsed="false">
      <c r="A237" s="2" t="s">
        <v>741</v>
      </c>
      <c r="B237" s="2" t="s">
        <v>399</v>
      </c>
      <c r="C237" s="2" t="n">
        <v>200</v>
      </c>
      <c r="D237" s="2" t="s">
        <v>54</v>
      </c>
      <c r="E237" s="2" t="s">
        <v>1882</v>
      </c>
      <c r="F237" s="2" t="n">
        <v>100</v>
      </c>
      <c r="G237" s="2" t="n">
        <v>300</v>
      </c>
      <c r="H237" s="2" t="s">
        <v>1693</v>
      </c>
      <c r="I237" s="2" t="n">
        <v>2</v>
      </c>
    </row>
    <row r="238" customFormat="false" ht="15" hidden="false" customHeight="false" outlineLevel="0" collapsed="false">
      <c r="A238" s="2" t="s">
        <v>741</v>
      </c>
      <c r="B238" s="2" t="s">
        <v>268</v>
      </c>
      <c r="C238" s="2" t="n">
        <v>5</v>
      </c>
      <c r="D238" s="2" t="s">
        <v>54</v>
      </c>
      <c r="E238" s="2" t="s">
        <v>1883</v>
      </c>
      <c r="F238" s="2" t="n">
        <v>2.5</v>
      </c>
      <c r="G238" s="2" t="n">
        <v>7.5</v>
      </c>
      <c r="H238" s="2" t="s">
        <v>1693</v>
      </c>
      <c r="I238" s="2" t="n">
        <v>3</v>
      </c>
    </row>
    <row r="239" customFormat="false" ht="15" hidden="false" customHeight="false" outlineLevel="0" collapsed="false">
      <c r="A239" s="2" t="s">
        <v>741</v>
      </c>
      <c r="B239" s="2" t="s">
        <v>380</v>
      </c>
      <c r="C239" s="2" t="n">
        <v>10</v>
      </c>
      <c r="D239" s="2" t="s">
        <v>54</v>
      </c>
      <c r="E239" s="2" t="s">
        <v>1884</v>
      </c>
      <c r="F239" s="2" t="n">
        <v>5</v>
      </c>
      <c r="G239" s="2" t="n">
        <v>15</v>
      </c>
      <c r="H239" s="2" t="s">
        <v>1700</v>
      </c>
      <c r="I239" s="2" t="n">
        <v>4</v>
      </c>
    </row>
    <row r="240" customFormat="false" ht="15" hidden="false" customHeight="false" outlineLevel="0" collapsed="false">
      <c r="A240" s="2" t="s">
        <v>741</v>
      </c>
      <c r="B240" s="2" t="s">
        <v>470</v>
      </c>
      <c r="C240" s="2" t="n">
        <v>40</v>
      </c>
      <c r="D240" s="2" t="s">
        <v>54</v>
      </c>
      <c r="E240" s="2" t="s">
        <v>1885</v>
      </c>
      <c r="F240" s="2" t="n">
        <v>20</v>
      </c>
      <c r="G240" s="2" t="n">
        <v>60</v>
      </c>
      <c r="H240" s="2" t="s">
        <v>1693</v>
      </c>
      <c r="I240" s="2" t="n">
        <v>5</v>
      </c>
    </row>
    <row r="241" customFormat="false" ht="15" hidden="false" customHeight="false" outlineLevel="0" collapsed="false">
      <c r="A241" s="2" t="s">
        <v>741</v>
      </c>
      <c r="B241" s="2" t="s">
        <v>446</v>
      </c>
      <c r="C241" s="2" t="n">
        <v>240</v>
      </c>
      <c r="D241" s="2" t="s">
        <v>54</v>
      </c>
      <c r="E241" s="2" t="s">
        <v>1886</v>
      </c>
      <c r="F241" s="2" t="n">
        <v>120</v>
      </c>
      <c r="G241" s="2" t="n">
        <v>360</v>
      </c>
      <c r="H241" s="2" t="s">
        <v>1689</v>
      </c>
      <c r="I241" s="2" t="n">
        <v>6</v>
      </c>
    </row>
    <row r="242" customFormat="false" ht="15" hidden="false" customHeight="false" outlineLevel="0" collapsed="false">
      <c r="A242" s="2" t="s">
        <v>745</v>
      </c>
      <c r="B242" s="2" t="s">
        <v>341</v>
      </c>
      <c r="C242" s="2" t="n">
        <v>150</v>
      </c>
      <c r="D242" s="2" t="s">
        <v>54</v>
      </c>
      <c r="E242" s="2" t="s">
        <v>1887</v>
      </c>
      <c r="F242" s="2" t="n">
        <v>75</v>
      </c>
      <c r="G242" s="2" t="n">
        <v>225</v>
      </c>
      <c r="H242" s="2" t="s">
        <v>1693</v>
      </c>
      <c r="I242" s="2" t="n">
        <v>1</v>
      </c>
    </row>
    <row r="243" customFormat="false" ht="15" hidden="false" customHeight="false" outlineLevel="0" collapsed="false">
      <c r="A243" s="2" t="s">
        <v>745</v>
      </c>
      <c r="B243" s="2" t="s">
        <v>388</v>
      </c>
      <c r="C243" s="2" t="n">
        <v>50</v>
      </c>
      <c r="D243" s="2" t="s">
        <v>54</v>
      </c>
      <c r="E243" s="2" t="s">
        <v>1888</v>
      </c>
      <c r="F243" s="2" t="n">
        <v>25</v>
      </c>
      <c r="G243" s="2" t="n">
        <v>75</v>
      </c>
      <c r="H243" s="2" t="s">
        <v>1689</v>
      </c>
      <c r="I243" s="2" t="n">
        <v>2</v>
      </c>
    </row>
    <row r="244" customFormat="false" ht="15" hidden="false" customHeight="false" outlineLevel="0" collapsed="false">
      <c r="A244" s="2" t="s">
        <v>745</v>
      </c>
      <c r="B244" s="2" t="s">
        <v>183</v>
      </c>
      <c r="C244" s="2" t="n">
        <v>104</v>
      </c>
      <c r="D244" s="2" t="s">
        <v>54</v>
      </c>
      <c r="E244" s="2" t="s">
        <v>1889</v>
      </c>
      <c r="F244" s="2" t="n">
        <v>52</v>
      </c>
      <c r="G244" s="2" t="n">
        <v>156</v>
      </c>
      <c r="H244" s="2" t="s">
        <v>1689</v>
      </c>
      <c r="I244" s="2" t="n">
        <v>3</v>
      </c>
    </row>
    <row r="245" customFormat="false" ht="15" hidden="false" customHeight="false" outlineLevel="0" collapsed="false">
      <c r="A245" s="2" t="s">
        <v>745</v>
      </c>
      <c r="B245" s="2" t="s">
        <v>546</v>
      </c>
      <c r="C245" s="2" t="n">
        <v>70</v>
      </c>
      <c r="D245" s="2" t="s">
        <v>54</v>
      </c>
      <c r="E245" s="2" t="s">
        <v>1890</v>
      </c>
      <c r="F245" s="2" t="n">
        <v>35</v>
      </c>
      <c r="G245" s="2" t="n">
        <v>105</v>
      </c>
      <c r="H245" s="2" t="s">
        <v>1689</v>
      </c>
      <c r="I245" s="2" t="n">
        <v>4</v>
      </c>
    </row>
    <row r="246" customFormat="false" ht="15" hidden="false" customHeight="false" outlineLevel="0" collapsed="false">
      <c r="A246" s="2" t="s">
        <v>745</v>
      </c>
      <c r="B246" s="2" t="s">
        <v>210</v>
      </c>
      <c r="C246" s="2" t="n">
        <v>60</v>
      </c>
      <c r="D246" s="2" t="s">
        <v>54</v>
      </c>
      <c r="E246" s="2" t="s">
        <v>1891</v>
      </c>
      <c r="F246" s="2" t="n">
        <v>30</v>
      </c>
      <c r="G246" s="2" t="n">
        <v>90</v>
      </c>
      <c r="H246" s="2" t="s">
        <v>1689</v>
      </c>
      <c r="I246" s="2" t="n">
        <v>5</v>
      </c>
    </row>
    <row r="247" customFormat="false" ht="15" hidden="false" customHeight="false" outlineLevel="0" collapsed="false">
      <c r="A247" s="2" t="s">
        <v>745</v>
      </c>
      <c r="B247" s="2" t="s">
        <v>500</v>
      </c>
      <c r="C247" s="2" t="n">
        <v>1</v>
      </c>
      <c r="D247" s="2" t="s">
        <v>1687</v>
      </c>
      <c r="E247" s="2" t="s">
        <v>1892</v>
      </c>
      <c r="F247" s="2"/>
      <c r="G247" s="2" t="n">
        <v>2</v>
      </c>
      <c r="H247" s="2" t="s">
        <v>1689</v>
      </c>
      <c r="I247" s="2" t="n">
        <v>6</v>
      </c>
    </row>
    <row r="248" customFormat="false" ht="15" hidden="false" customHeight="false" outlineLevel="0" collapsed="false">
      <c r="A248" s="2" t="s">
        <v>745</v>
      </c>
      <c r="B248" s="2" t="s">
        <v>454</v>
      </c>
      <c r="C248" s="2" t="n">
        <v>150</v>
      </c>
      <c r="D248" s="2" t="s">
        <v>54</v>
      </c>
      <c r="E248" s="2" t="s">
        <v>1893</v>
      </c>
      <c r="F248" s="2" t="n">
        <v>75</v>
      </c>
      <c r="G248" s="2" t="n">
        <v>225</v>
      </c>
      <c r="H248" s="2" t="s">
        <v>1689</v>
      </c>
      <c r="I248" s="2" t="n">
        <v>7</v>
      </c>
    </row>
    <row r="249" customFormat="false" ht="15" hidden="false" customHeight="false" outlineLevel="0" collapsed="false">
      <c r="A249" s="2" t="s">
        <v>745</v>
      </c>
      <c r="B249" s="2" t="s">
        <v>498</v>
      </c>
      <c r="C249" s="2" t="n">
        <v>30</v>
      </c>
      <c r="D249" s="2" t="s">
        <v>54</v>
      </c>
      <c r="E249" s="2" t="s">
        <v>1894</v>
      </c>
      <c r="F249" s="2" t="n">
        <v>15</v>
      </c>
      <c r="G249" s="2" t="n">
        <v>45</v>
      </c>
      <c r="H249" s="2" t="s">
        <v>1693</v>
      </c>
      <c r="I249" s="2" t="n">
        <v>8</v>
      </c>
    </row>
    <row r="250" customFormat="false" ht="15" hidden="false" customHeight="false" outlineLevel="0" collapsed="false">
      <c r="A250" s="2" t="s">
        <v>745</v>
      </c>
      <c r="B250" s="2" t="s">
        <v>85</v>
      </c>
      <c r="C250" s="2" t="n">
        <v>8</v>
      </c>
      <c r="D250" s="2" t="s">
        <v>54</v>
      </c>
      <c r="E250" s="2" t="s">
        <v>1895</v>
      </c>
      <c r="F250" s="2" t="n">
        <v>4</v>
      </c>
      <c r="G250" s="2" t="n">
        <v>12</v>
      </c>
      <c r="H250" s="2" t="s">
        <v>1700</v>
      </c>
      <c r="I250" s="2" t="n">
        <v>9</v>
      </c>
    </row>
    <row r="251" customFormat="false" ht="15" hidden="false" customHeight="false" outlineLevel="0" collapsed="false">
      <c r="A251" s="2" t="s">
        <v>745</v>
      </c>
      <c r="B251" s="2" t="s">
        <v>496</v>
      </c>
      <c r="C251" s="2" t="n">
        <v>16</v>
      </c>
      <c r="D251" s="2" t="s">
        <v>76</v>
      </c>
      <c r="E251" s="2" t="s">
        <v>1896</v>
      </c>
      <c r="F251" s="2" t="n">
        <v>8</v>
      </c>
      <c r="G251" s="2" t="n">
        <v>24</v>
      </c>
      <c r="H251" s="2" t="s">
        <v>1693</v>
      </c>
      <c r="I251" s="2" t="n">
        <v>10</v>
      </c>
    </row>
    <row r="252" customFormat="false" ht="15" hidden="false" customHeight="false" outlineLevel="0" collapsed="false">
      <c r="A252" s="2" t="s">
        <v>745</v>
      </c>
      <c r="B252" s="2" t="s">
        <v>91</v>
      </c>
      <c r="C252" s="2" t="n">
        <v>21</v>
      </c>
      <c r="D252" s="2" t="s">
        <v>54</v>
      </c>
      <c r="E252" s="2" t="s">
        <v>1897</v>
      </c>
      <c r="F252" s="2" t="n">
        <v>10.5</v>
      </c>
      <c r="G252" s="2" t="n">
        <v>31.5</v>
      </c>
      <c r="H252" s="2" t="s">
        <v>1689</v>
      </c>
      <c r="I252" s="2" t="n">
        <v>11</v>
      </c>
    </row>
    <row r="253" customFormat="false" ht="15" hidden="false" customHeight="false" outlineLevel="0" collapsed="false">
      <c r="A253" s="2" t="s">
        <v>745</v>
      </c>
      <c r="B253" s="2" t="s">
        <v>456</v>
      </c>
      <c r="C253" s="2" t="n">
        <v>0.5</v>
      </c>
      <c r="D253" s="2" t="s">
        <v>1687</v>
      </c>
      <c r="E253" s="2" t="s">
        <v>1898</v>
      </c>
      <c r="F253" s="2"/>
      <c r="G253" s="2" t="n">
        <v>1.5</v>
      </c>
      <c r="H253" s="2" t="s">
        <v>1689</v>
      </c>
      <c r="I253" s="2" t="n">
        <v>12</v>
      </c>
    </row>
    <row r="254" customFormat="false" ht="15" hidden="false" customHeight="false" outlineLevel="0" collapsed="false">
      <c r="A254" s="2" t="s">
        <v>745</v>
      </c>
      <c r="B254" s="2" t="s">
        <v>486</v>
      </c>
      <c r="C254" s="2" t="n">
        <v>14</v>
      </c>
      <c r="D254" s="2" t="s">
        <v>54</v>
      </c>
      <c r="E254" s="2" t="s">
        <v>1899</v>
      </c>
      <c r="F254" s="2" t="n">
        <v>7</v>
      </c>
      <c r="G254" s="2" t="n">
        <v>21</v>
      </c>
      <c r="H254" s="2" t="s">
        <v>1700</v>
      </c>
      <c r="I254" s="2" t="n">
        <v>13</v>
      </c>
    </row>
    <row r="255" customFormat="false" ht="15" hidden="false" customHeight="false" outlineLevel="0" collapsed="false">
      <c r="A255" s="2" t="s">
        <v>745</v>
      </c>
      <c r="B255" s="2" t="s">
        <v>143</v>
      </c>
      <c r="C255" s="2" t="n">
        <v>15</v>
      </c>
      <c r="D255" s="2" t="s">
        <v>76</v>
      </c>
      <c r="E255" s="2" t="s">
        <v>1900</v>
      </c>
      <c r="F255" s="2" t="n">
        <v>7.5</v>
      </c>
      <c r="G255" s="2" t="n">
        <v>22.5</v>
      </c>
      <c r="H255" s="2" t="s">
        <v>1689</v>
      </c>
      <c r="I255" s="2" t="n">
        <v>14</v>
      </c>
    </row>
    <row r="256" customFormat="false" ht="15" hidden="false" customHeight="false" outlineLevel="0" collapsed="false">
      <c r="A256" s="2" t="s">
        <v>745</v>
      </c>
      <c r="B256" s="2" t="s">
        <v>301</v>
      </c>
      <c r="C256" s="2" t="n">
        <v>10</v>
      </c>
      <c r="D256" s="2" t="s">
        <v>54</v>
      </c>
      <c r="E256" s="2" t="s">
        <v>1901</v>
      </c>
      <c r="F256" s="2" t="n">
        <v>5</v>
      </c>
      <c r="G256" s="2" t="n">
        <v>15</v>
      </c>
      <c r="H256" s="2" t="s">
        <v>1689</v>
      </c>
      <c r="I256" s="2" t="n">
        <v>15</v>
      </c>
    </row>
    <row r="257" customFormat="false" ht="15" hidden="false" customHeight="false" outlineLevel="0" collapsed="false">
      <c r="A257" s="2" t="s">
        <v>745</v>
      </c>
      <c r="B257" s="2" t="s">
        <v>301</v>
      </c>
      <c r="C257" s="2" t="n">
        <v>10</v>
      </c>
      <c r="D257" s="2" t="s">
        <v>54</v>
      </c>
      <c r="E257" s="2" t="s">
        <v>1902</v>
      </c>
      <c r="F257" s="2" t="n">
        <v>5</v>
      </c>
      <c r="G257" s="2" t="n">
        <v>15</v>
      </c>
      <c r="H257" s="2" t="s">
        <v>1689</v>
      </c>
      <c r="I257" s="2" t="n">
        <v>16</v>
      </c>
    </row>
    <row r="258" customFormat="false" ht="15" hidden="false" customHeight="false" outlineLevel="0" collapsed="false">
      <c r="A258" s="2" t="s">
        <v>748</v>
      </c>
      <c r="B258" s="2" t="s">
        <v>143</v>
      </c>
      <c r="C258" s="2" t="n">
        <v>960</v>
      </c>
      <c r="D258" s="2" t="s">
        <v>76</v>
      </c>
      <c r="E258" s="2" t="s">
        <v>1903</v>
      </c>
      <c r="F258" s="2" t="n">
        <v>480</v>
      </c>
      <c r="G258" s="2" t="n">
        <v>1440</v>
      </c>
      <c r="H258" s="2" t="s">
        <v>1689</v>
      </c>
      <c r="I258" s="2" t="n">
        <v>1</v>
      </c>
    </row>
    <row r="259" customFormat="false" ht="15" hidden="false" customHeight="false" outlineLevel="0" collapsed="false">
      <c r="A259" s="2" t="s">
        <v>748</v>
      </c>
      <c r="B259" s="2" t="s">
        <v>177</v>
      </c>
      <c r="C259" s="2" t="n">
        <v>70</v>
      </c>
      <c r="D259" s="2" t="s">
        <v>54</v>
      </c>
      <c r="E259" s="2" t="s">
        <v>1904</v>
      </c>
      <c r="F259" s="2" t="n">
        <v>35</v>
      </c>
      <c r="G259" s="2" t="n">
        <v>105</v>
      </c>
      <c r="H259" s="2" t="s">
        <v>1689</v>
      </c>
      <c r="I259" s="2" t="n">
        <v>2</v>
      </c>
    </row>
    <row r="260" customFormat="false" ht="15" hidden="false" customHeight="false" outlineLevel="0" collapsed="false">
      <c r="A260" s="2" t="s">
        <v>748</v>
      </c>
      <c r="B260" s="2" t="s">
        <v>496</v>
      </c>
      <c r="C260" s="2" t="n">
        <v>64</v>
      </c>
      <c r="D260" s="2" t="s">
        <v>76</v>
      </c>
      <c r="E260" s="2" t="s">
        <v>1905</v>
      </c>
      <c r="F260" s="2" t="n">
        <v>32</v>
      </c>
      <c r="G260" s="2" t="n">
        <v>96</v>
      </c>
      <c r="H260" s="2" t="s">
        <v>1693</v>
      </c>
      <c r="I260" s="2" t="n">
        <v>3</v>
      </c>
    </row>
    <row r="261" customFormat="false" ht="15" hidden="false" customHeight="false" outlineLevel="0" collapsed="false">
      <c r="A261" s="2" t="s">
        <v>748</v>
      </c>
      <c r="B261" s="2" t="s">
        <v>299</v>
      </c>
      <c r="C261" s="2" t="n">
        <v>3</v>
      </c>
      <c r="D261" s="2" t="s">
        <v>54</v>
      </c>
      <c r="E261" s="2" t="s">
        <v>1906</v>
      </c>
      <c r="F261" s="2" t="n">
        <v>2</v>
      </c>
      <c r="G261" s="2" t="n">
        <v>4</v>
      </c>
      <c r="H261" s="2" t="s">
        <v>1689</v>
      </c>
      <c r="I261" s="2" t="n">
        <v>4</v>
      </c>
    </row>
    <row r="262" customFormat="false" ht="15" hidden="false" customHeight="false" outlineLevel="0" collapsed="false">
      <c r="A262" s="2" t="s">
        <v>748</v>
      </c>
      <c r="B262" s="2" t="s">
        <v>312</v>
      </c>
      <c r="C262" s="2" t="n">
        <v>2.667</v>
      </c>
      <c r="D262" s="2" t="s">
        <v>1687</v>
      </c>
      <c r="E262" s="2" t="s">
        <v>1907</v>
      </c>
      <c r="F262" s="2" t="n">
        <v>1.66666666666667</v>
      </c>
      <c r="G262" s="2" t="n">
        <v>3.66666666666667</v>
      </c>
      <c r="H262" s="2" t="s">
        <v>1689</v>
      </c>
      <c r="I262" s="2" t="n">
        <v>5</v>
      </c>
    </row>
    <row r="263" customFormat="false" ht="15" hidden="false" customHeight="false" outlineLevel="0" collapsed="false">
      <c r="A263" s="2" t="s">
        <v>748</v>
      </c>
      <c r="B263" s="2" t="s">
        <v>271</v>
      </c>
      <c r="C263" s="2" t="n">
        <v>1</v>
      </c>
      <c r="D263" s="2" t="s">
        <v>54</v>
      </c>
      <c r="E263" s="2" t="s">
        <v>1908</v>
      </c>
      <c r="F263" s="2" t="n">
        <v>0.5</v>
      </c>
      <c r="G263" s="2" t="n">
        <v>1.5</v>
      </c>
      <c r="H263" s="2" t="s">
        <v>1689</v>
      </c>
      <c r="I263" s="2" t="n">
        <v>6</v>
      </c>
    </row>
    <row r="264" customFormat="false" ht="15" hidden="false" customHeight="false" outlineLevel="0" collapsed="false">
      <c r="A264" s="2" t="s">
        <v>748</v>
      </c>
      <c r="B264" s="2" t="s">
        <v>91</v>
      </c>
      <c r="C264" s="2" t="n">
        <v>21</v>
      </c>
      <c r="D264" s="2" t="s">
        <v>54</v>
      </c>
      <c r="E264" s="2" t="s">
        <v>1788</v>
      </c>
      <c r="F264" s="2" t="n">
        <v>10.5</v>
      </c>
      <c r="G264" s="2" t="n">
        <v>31.5</v>
      </c>
      <c r="H264" s="2" t="s">
        <v>1689</v>
      </c>
      <c r="I264" s="2" t="n">
        <v>7</v>
      </c>
    </row>
    <row r="265" customFormat="false" ht="15" hidden="false" customHeight="false" outlineLevel="0" collapsed="false">
      <c r="A265" s="2" t="s">
        <v>748</v>
      </c>
      <c r="B265" s="2" t="s">
        <v>221</v>
      </c>
      <c r="C265" s="2" t="n">
        <v>600</v>
      </c>
      <c r="D265" s="2" t="s">
        <v>54</v>
      </c>
      <c r="E265" s="2" t="s">
        <v>1909</v>
      </c>
      <c r="F265" s="2" t="n">
        <v>300</v>
      </c>
      <c r="G265" s="2" t="n">
        <v>900</v>
      </c>
      <c r="H265" s="2" t="s">
        <v>1693</v>
      </c>
      <c r="I265" s="2" t="n">
        <v>8</v>
      </c>
    </row>
    <row r="266" customFormat="false" ht="15" hidden="false" customHeight="false" outlineLevel="0" collapsed="false">
      <c r="A266" s="2" t="s">
        <v>748</v>
      </c>
      <c r="B266" s="2" t="s">
        <v>234</v>
      </c>
      <c r="C266" s="2" t="n">
        <v>14</v>
      </c>
      <c r="D266" s="2" t="s">
        <v>54</v>
      </c>
      <c r="E266" s="2" t="s">
        <v>1910</v>
      </c>
      <c r="F266" s="2" t="n">
        <v>7</v>
      </c>
      <c r="G266" s="2" t="n">
        <v>21</v>
      </c>
      <c r="H266" s="2" t="s">
        <v>1700</v>
      </c>
      <c r="I266" s="2" t="n">
        <v>9</v>
      </c>
    </row>
    <row r="267" customFormat="false" ht="15" hidden="false" customHeight="false" outlineLevel="0" collapsed="false">
      <c r="A267" s="2" t="s">
        <v>748</v>
      </c>
      <c r="B267" s="2" t="s">
        <v>454</v>
      </c>
      <c r="C267" s="2" t="n">
        <v>300</v>
      </c>
      <c r="D267" s="2" t="s">
        <v>54</v>
      </c>
      <c r="E267" s="2" t="s">
        <v>1911</v>
      </c>
      <c r="F267" s="2" t="n">
        <v>150</v>
      </c>
      <c r="G267" s="2" t="n">
        <v>450</v>
      </c>
      <c r="H267" s="2" t="s">
        <v>1689</v>
      </c>
      <c r="I267" s="2" t="n">
        <v>10</v>
      </c>
    </row>
    <row r="268" customFormat="false" ht="15" hidden="false" customHeight="false" outlineLevel="0" collapsed="false">
      <c r="A268" s="2" t="s">
        <v>748</v>
      </c>
      <c r="B268" s="2" t="s">
        <v>195</v>
      </c>
      <c r="C268" s="2" t="n">
        <v>300</v>
      </c>
      <c r="D268" s="2" t="s">
        <v>54</v>
      </c>
      <c r="E268" s="2" t="s">
        <v>1912</v>
      </c>
      <c r="F268" s="2" t="n">
        <v>150</v>
      </c>
      <c r="G268" s="2" t="n">
        <v>450</v>
      </c>
      <c r="H268" s="2" t="s">
        <v>1693</v>
      </c>
      <c r="I268" s="2" t="n">
        <v>11</v>
      </c>
    </row>
    <row r="269" customFormat="false" ht="15" hidden="false" customHeight="false" outlineLevel="0" collapsed="false">
      <c r="A269" s="2" t="s">
        <v>748</v>
      </c>
      <c r="B269" s="2" t="s">
        <v>212</v>
      </c>
      <c r="C269" s="2" t="n">
        <v>68</v>
      </c>
      <c r="D269" s="2" t="s">
        <v>54</v>
      </c>
      <c r="E269" s="2" t="s">
        <v>1913</v>
      </c>
      <c r="F269" s="2" t="n">
        <v>34</v>
      </c>
      <c r="G269" s="2" t="n">
        <v>102</v>
      </c>
      <c r="H269" s="2" t="s">
        <v>1700</v>
      </c>
      <c r="I269" s="2" t="n">
        <v>12</v>
      </c>
    </row>
    <row r="270" customFormat="false" ht="15" hidden="false" customHeight="false" outlineLevel="0" collapsed="false">
      <c r="A270" s="2" t="s">
        <v>748</v>
      </c>
      <c r="B270" s="2" t="s">
        <v>409</v>
      </c>
      <c r="C270" s="2" t="n">
        <v>150</v>
      </c>
      <c r="D270" s="2" t="s">
        <v>54</v>
      </c>
      <c r="E270" s="2" t="s">
        <v>1914</v>
      </c>
      <c r="F270" s="2" t="n">
        <v>75</v>
      </c>
      <c r="G270" s="2" t="n">
        <v>225</v>
      </c>
      <c r="H270" s="2" t="s">
        <v>1689</v>
      </c>
      <c r="I270" s="2" t="n">
        <v>13</v>
      </c>
    </row>
    <row r="271" customFormat="false" ht="15" hidden="false" customHeight="false" outlineLevel="0" collapsed="false">
      <c r="A271" s="2" t="s">
        <v>751</v>
      </c>
      <c r="B271" s="2" t="s">
        <v>221</v>
      </c>
      <c r="C271" s="2" t="n">
        <v>150</v>
      </c>
      <c r="D271" s="2" t="s">
        <v>54</v>
      </c>
      <c r="E271" s="2" t="s">
        <v>1770</v>
      </c>
      <c r="F271" s="2" t="n">
        <v>75</v>
      </c>
      <c r="G271" s="2" t="n">
        <v>225</v>
      </c>
      <c r="H271" s="2" t="s">
        <v>1693</v>
      </c>
      <c r="I271" s="2" t="n">
        <v>1</v>
      </c>
    </row>
    <row r="272" customFormat="false" ht="15" hidden="false" customHeight="false" outlineLevel="0" collapsed="false">
      <c r="A272" s="2" t="s">
        <v>751</v>
      </c>
      <c r="B272" s="2" t="s">
        <v>177</v>
      </c>
      <c r="C272" s="2" t="n">
        <v>75</v>
      </c>
      <c r="D272" s="2" t="s">
        <v>54</v>
      </c>
      <c r="E272" s="2" t="s">
        <v>1915</v>
      </c>
      <c r="F272" s="2" t="n">
        <v>37.5</v>
      </c>
      <c r="G272" s="2" t="n">
        <v>112.5</v>
      </c>
      <c r="H272" s="2" t="s">
        <v>1689</v>
      </c>
      <c r="I272" s="2" t="n">
        <v>2</v>
      </c>
    </row>
    <row r="273" customFormat="false" ht="15" hidden="false" customHeight="false" outlineLevel="0" collapsed="false">
      <c r="A273" s="2" t="s">
        <v>751</v>
      </c>
      <c r="B273" s="2" t="s">
        <v>434</v>
      </c>
      <c r="C273" s="2" t="n">
        <v>200</v>
      </c>
      <c r="D273" s="2" t="s">
        <v>54</v>
      </c>
      <c r="E273" s="2" t="s">
        <v>1916</v>
      </c>
      <c r="F273" s="2" t="n">
        <v>100</v>
      </c>
      <c r="G273" s="2" t="n">
        <v>300</v>
      </c>
      <c r="H273" s="2" t="s">
        <v>1689</v>
      </c>
      <c r="I273" s="2" t="n">
        <v>3</v>
      </c>
    </row>
    <row r="274" customFormat="false" ht="15" hidden="false" customHeight="false" outlineLevel="0" collapsed="false">
      <c r="A274" s="2" t="s">
        <v>751</v>
      </c>
      <c r="B274" s="2" t="s">
        <v>482</v>
      </c>
      <c r="C274" s="2" t="n">
        <v>1</v>
      </c>
      <c r="D274" s="2" t="s">
        <v>1687</v>
      </c>
      <c r="E274" s="2" t="s">
        <v>1917</v>
      </c>
      <c r="F274" s="2"/>
      <c r="G274" s="2" t="n">
        <v>2</v>
      </c>
      <c r="H274" s="2" t="s">
        <v>1689</v>
      </c>
      <c r="I274" s="2" t="n">
        <v>4</v>
      </c>
    </row>
    <row r="275" customFormat="false" ht="15" hidden="false" customHeight="false" outlineLevel="0" collapsed="false">
      <c r="A275" s="2" t="s">
        <v>751</v>
      </c>
      <c r="B275" s="2" t="s">
        <v>458</v>
      </c>
      <c r="C275" s="2" t="n">
        <v>150</v>
      </c>
      <c r="D275" s="2" t="s">
        <v>54</v>
      </c>
      <c r="E275" s="2" t="s">
        <v>1918</v>
      </c>
      <c r="F275" s="2" t="n">
        <v>75</v>
      </c>
      <c r="G275" s="2" t="n">
        <v>225</v>
      </c>
      <c r="H275" s="2" t="s">
        <v>1689</v>
      </c>
      <c r="I275" s="2" t="n">
        <v>5</v>
      </c>
    </row>
    <row r="276" customFormat="false" ht="15" hidden="false" customHeight="false" outlineLevel="0" collapsed="false">
      <c r="A276" s="2" t="s">
        <v>751</v>
      </c>
      <c r="B276" s="2" t="s">
        <v>312</v>
      </c>
      <c r="C276" s="2" t="n">
        <v>5</v>
      </c>
      <c r="D276" s="2" t="s">
        <v>1687</v>
      </c>
      <c r="E276" s="2" t="s">
        <v>1919</v>
      </c>
      <c r="F276" s="2" t="n">
        <v>4</v>
      </c>
      <c r="G276" s="2" t="n">
        <v>6</v>
      </c>
      <c r="H276" s="2" t="s">
        <v>1689</v>
      </c>
      <c r="I276" s="2" t="n">
        <v>6</v>
      </c>
    </row>
    <row r="277" customFormat="false" ht="15" hidden="false" customHeight="false" outlineLevel="0" collapsed="false">
      <c r="A277" s="2" t="s">
        <v>751</v>
      </c>
      <c r="B277" s="2" t="s">
        <v>500</v>
      </c>
      <c r="C277" s="2" t="n">
        <v>4</v>
      </c>
      <c r="D277" s="2" t="s">
        <v>1687</v>
      </c>
      <c r="E277" s="2" t="s">
        <v>1920</v>
      </c>
      <c r="F277" s="2" t="n">
        <v>3</v>
      </c>
      <c r="G277" s="2" t="n">
        <v>5</v>
      </c>
      <c r="H277" s="2" t="s">
        <v>1689</v>
      </c>
      <c r="I277" s="2" t="n">
        <v>7</v>
      </c>
    </row>
    <row r="278" customFormat="false" ht="15" hidden="false" customHeight="false" outlineLevel="0" collapsed="false">
      <c r="A278" s="2" t="s">
        <v>751</v>
      </c>
      <c r="B278" s="2" t="s">
        <v>496</v>
      </c>
      <c r="C278" s="2" t="n">
        <v>64</v>
      </c>
      <c r="D278" s="2" t="s">
        <v>76</v>
      </c>
      <c r="E278" s="2" t="s">
        <v>1921</v>
      </c>
      <c r="F278" s="2" t="n">
        <v>32</v>
      </c>
      <c r="G278" s="2" t="n">
        <v>96</v>
      </c>
      <c r="H278" s="2" t="s">
        <v>1693</v>
      </c>
      <c r="I278" s="2" t="n">
        <v>8</v>
      </c>
    </row>
    <row r="279" customFormat="false" ht="15" hidden="false" customHeight="false" outlineLevel="0" collapsed="false">
      <c r="A279" s="2" t="s">
        <v>751</v>
      </c>
      <c r="B279" s="2" t="s">
        <v>466</v>
      </c>
      <c r="C279" s="2" t="n">
        <v>60</v>
      </c>
      <c r="D279" s="2" t="s">
        <v>76</v>
      </c>
      <c r="E279" s="2" t="s">
        <v>1922</v>
      </c>
      <c r="F279" s="2" t="n">
        <v>30</v>
      </c>
      <c r="G279" s="2" t="n">
        <v>90</v>
      </c>
      <c r="H279" s="2" t="s">
        <v>1689</v>
      </c>
      <c r="I279" s="2" t="n">
        <v>9</v>
      </c>
    </row>
    <row r="280" customFormat="false" ht="15" hidden="false" customHeight="false" outlineLevel="0" collapsed="false">
      <c r="A280" s="2" t="s">
        <v>751</v>
      </c>
      <c r="B280" s="2" t="s">
        <v>129</v>
      </c>
      <c r="C280" s="2" t="n">
        <v>28</v>
      </c>
      <c r="D280" s="2" t="s">
        <v>54</v>
      </c>
      <c r="E280" s="2" t="s">
        <v>1923</v>
      </c>
      <c r="F280" s="2" t="n">
        <v>14</v>
      </c>
      <c r="G280" s="2" t="n">
        <v>42</v>
      </c>
      <c r="H280" s="2" t="s">
        <v>1700</v>
      </c>
      <c r="I280" s="2" t="n">
        <v>10</v>
      </c>
    </row>
    <row r="281" customFormat="false" ht="15" hidden="false" customHeight="false" outlineLevel="0" collapsed="false">
      <c r="A281" s="2" t="s">
        <v>751</v>
      </c>
      <c r="B281" s="2" t="s">
        <v>411</v>
      </c>
      <c r="C281" s="2" t="n">
        <v>0.5</v>
      </c>
      <c r="D281" s="2" t="s">
        <v>1687</v>
      </c>
      <c r="E281" s="2" t="s">
        <v>1924</v>
      </c>
      <c r="F281" s="2"/>
      <c r="G281" s="2" t="n">
        <v>1.5</v>
      </c>
      <c r="H281" s="2" t="s">
        <v>1689</v>
      </c>
      <c r="I281" s="2" t="n">
        <v>11</v>
      </c>
    </row>
    <row r="282" customFormat="false" ht="15" hidden="false" customHeight="false" outlineLevel="0" collapsed="false">
      <c r="A282" s="2" t="s">
        <v>751</v>
      </c>
      <c r="B282" s="2" t="s">
        <v>375</v>
      </c>
      <c r="C282" s="2" t="n">
        <v>0.5</v>
      </c>
      <c r="D282" s="2" t="s">
        <v>1687</v>
      </c>
      <c r="E282" s="2" t="s">
        <v>1925</v>
      </c>
      <c r="F282" s="2"/>
      <c r="G282" s="2" t="n">
        <v>1.5</v>
      </c>
      <c r="H282" s="2" t="s">
        <v>1689</v>
      </c>
      <c r="I282" s="2" t="n">
        <v>12</v>
      </c>
    </row>
    <row r="283" customFormat="false" ht="15" hidden="false" customHeight="false" outlineLevel="0" collapsed="false">
      <c r="A283" s="2" t="s">
        <v>751</v>
      </c>
      <c r="B283" s="2" t="s">
        <v>299</v>
      </c>
      <c r="C283" s="2" t="n">
        <v>3</v>
      </c>
      <c r="D283" s="2" t="s">
        <v>54</v>
      </c>
      <c r="E283" s="2" t="s">
        <v>1926</v>
      </c>
      <c r="F283" s="2" t="n">
        <v>2</v>
      </c>
      <c r="G283" s="2" t="n">
        <v>4</v>
      </c>
      <c r="H283" s="2" t="s">
        <v>1689</v>
      </c>
      <c r="I283" s="2" t="n">
        <v>13</v>
      </c>
    </row>
    <row r="284" customFormat="false" ht="15" hidden="false" customHeight="false" outlineLevel="0" collapsed="false">
      <c r="A284" s="2" t="s">
        <v>751</v>
      </c>
      <c r="B284" s="2" t="s">
        <v>197</v>
      </c>
      <c r="C284" s="2" t="n">
        <v>26</v>
      </c>
      <c r="D284" s="2" t="s">
        <v>54</v>
      </c>
      <c r="E284" s="2" t="s">
        <v>1927</v>
      </c>
      <c r="F284" s="2" t="n">
        <v>13</v>
      </c>
      <c r="G284" s="2" t="n">
        <v>39</v>
      </c>
      <c r="H284" s="2" t="s">
        <v>1689</v>
      </c>
      <c r="I284" s="2" t="n">
        <v>14</v>
      </c>
    </row>
    <row r="285" customFormat="false" ht="15" hidden="false" customHeight="false" outlineLevel="0" collapsed="false">
      <c r="A285" s="2" t="s">
        <v>751</v>
      </c>
      <c r="B285" s="2" t="s">
        <v>271</v>
      </c>
      <c r="C285" s="2" t="n">
        <v>2</v>
      </c>
      <c r="D285" s="2" t="s">
        <v>54</v>
      </c>
      <c r="E285" s="2" t="s">
        <v>1928</v>
      </c>
      <c r="F285" s="2" t="n">
        <v>1</v>
      </c>
      <c r="G285" s="2" t="n">
        <v>3</v>
      </c>
      <c r="H285" s="2" t="s">
        <v>1689</v>
      </c>
      <c r="I285" s="2" t="n">
        <v>15</v>
      </c>
    </row>
    <row r="286" customFormat="false" ht="15" hidden="false" customHeight="false" outlineLevel="0" collapsed="false">
      <c r="A286" s="2" t="s">
        <v>751</v>
      </c>
      <c r="B286" s="2" t="s">
        <v>271</v>
      </c>
      <c r="C286" s="2" t="n">
        <v>2</v>
      </c>
      <c r="D286" s="2" t="s">
        <v>54</v>
      </c>
      <c r="E286" s="2" t="s">
        <v>1929</v>
      </c>
      <c r="F286" s="2" t="n">
        <v>1</v>
      </c>
      <c r="G286" s="2" t="n">
        <v>3</v>
      </c>
      <c r="H286" s="2" t="s">
        <v>1689</v>
      </c>
      <c r="I286" s="2" t="n">
        <v>16</v>
      </c>
    </row>
    <row r="287" customFormat="false" ht="15" hidden="false" customHeight="false" outlineLevel="0" collapsed="false">
      <c r="A287" s="2" t="s">
        <v>751</v>
      </c>
      <c r="B287" s="2" t="s">
        <v>271</v>
      </c>
      <c r="C287" s="2" t="n">
        <v>3</v>
      </c>
      <c r="D287" s="2" t="s">
        <v>54</v>
      </c>
      <c r="E287" s="2" t="s">
        <v>1930</v>
      </c>
      <c r="F287" s="2" t="n">
        <v>1.5</v>
      </c>
      <c r="G287" s="2" t="n">
        <v>4.5</v>
      </c>
      <c r="H287" s="2" t="s">
        <v>1689</v>
      </c>
      <c r="I287" s="2" t="n">
        <v>17</v>
      </c>
    </row>
    <row r="288" customFormat="false" ht="15" hidden="false" customHeight="false" outlineLevel="0" collapsed="false">
      <c r="A288" s="2" t="s">
        <v>751</v>
      </c>
      <c r="B288" s="2" t="s">
        <v>271</v>
      </c>
      <c r="C288" s="2" t="n">
        <v>1</v>
      </c>
      <c r="D288" s="2" t="s">
        <v>54</v>
      </c>
      <c r="E288" s="2" t="s">
        <v>1931</v>
      </c>
      <c r="F288" s="2" t="n">
        <v>0.5</v>
      </c>
      <c r="G288" s="2" t="n">
        <v>1.5</v>
      </c>
      <c r="H288" s="2" t="s">
        <v>1689</v>
      </c>
      <c r="I288" s="2" t="n">
        <v>18</v>
      </c>
    </row>
    <row r="289" customFormat="false" ht="15" hidden="false" customHeight="false" outlineLevel="0" collapsed="false">
      <c r="A289" s="2" t="s">
        <v>751</v>
      </c>
      <c r="B289" s="2" t="s">
        <v>480</v>
      </c>
      <c r="C289" s="2" t="n">
        <v>1</v>
      </c>
      <c r="D289" s="2" t="s">
        <v>54</v>
      </c>
      <c r="E289" s="2" t="s">
        <v>1932</v>
      </c>
      <c r="F289" s="2" t="n">
        <v>0.5</v>
      </c>
      <c r="G289" s="2" t="n">
        <v>1.5</v>
      </c>
      <c r="H289" s="2" t="s">
        <v>1689</v>
      </c>
      <c r="I289" s="2" t="n">
        <v>19</v>
      </c>
    </row>
    <row r="290" customFormat="false" ht="15" hidden="false" customHeight="false" outlineLevel="0" collapsed="false">
      <c r="A290" s="2" t="s">
        <v>755</v>
      </c>
      <c r="B290" s="2" t="s">
        <v>476</v>
      </c>
      <c r="C290" s="2" t="n">
        <v>150</v>
      </c>
      <c r="D290" s="2" t="s">
        <v>54</v>
      </c>
      <c r="E290" s="2" t="s">
        <v>1933</v>
      </c>
      <c r="F290" s="2" t="n">
        <v>75</v>
      </c>
      <c r="G290" s="2" t="n">
        <v>225</v>
      </c>
      <c r="H290" s="2" t="s">
        <v>1693</v>
      </c>
      <c r="I290" s="2" t="n">
        <v>1</v>
      </c>
    </row>
    <row r="291" customFormat="false" ht="15" hidden="false" customHeight="false" outlineLevel="0" collapsed="false">
      <c r="A291" s="2" t="s">
        <v>755</v>
      </c>
      <c r="B291" s="2" t="s">
        <v>251</v>
      </c>
      <c r="C291" s="2" t="n">
        <v>100</v>
      </c>
      <c r="D291" s="2" t="s">
        <v>54</v>
      </c>
      <c r="E291" s="2" t="s">
        <v>1934</v>
      </c>
      <c r="F291" s="2" t="n">
        <v>50</v>
      </c>
      <c r="G291" s="2" t="n">
        <v>150</v>
      </c>
      <c r="H291" s="2" t="s">
        <v>1689</v>
      </c>
      <c r="I291" s="2" t="n">
        <v>2</v>
      </c>
    </row>
    <row r="292" customFormat="false" ht="15" hidden="false" customHeight="false" outlineLevel="0" collapsed="false">
      <c r="A292" s="2" t="s">
        <v>755</v>
      </c>
      <c r="B292" s="2" t="s">
        <v>161</v>
      </c>
      <c r="C292" s="2" t="n">
        <v>5</v>
      </c>
      <c r="D292" s="2" t="s">
        <v>54</v>
      </c>
      <c r="E292" s="2" t="s">
        <v>1935</v>
      </c>
      <c r="F292" s="2" t="n">
        <v>2.5</v>
      </c>
      <c r="G292" s="2" t="n">
        <v>7.5</v>
      </c>
      <c r="H292" s="2" t="s">
        <v>1693</v>
      </c>
      <c r="I292" s="2" t="n">
        <v>3</v>
      </c>
    </row>
    <row r="293" customFormat="false" ht="15" hidden="false" customHeight="false" outlineLevel="0" collapsed="false">
      <c r="A293" s="2" t="s">
        <v>755</v>
      </c>
      <c r="B293" s="2" t="s">
        <v>219</v>
      </c>
      <c r="C293" s="2" t="n">
        <v>60</v>
      </c>
      <c r="D293" s="2" t="s">
        <v>54</v>
      </c>
      <c r="E293" s="2" t="s">
        <v>1936</v>
      </c>
      <c r="F293" s="2" t="n">
        <v>30</v>
      </c>
      <c r="G293" s="2" t="n">
        <v>90</v>
      </c>
      <c r="H293" s="2" t="s">
        <v>1689</v>
      </c>
      <c r="I293" s="2" t="n">
        <v>4</v>
      </c>
    </row>
    <row r="294" customFormat="false" ht="15" hidden="false" customHeight="false" outlineLevel="0" collapsed="false">
      <c r="A294" s="2" t="s">
        <v>755</v>
      </c>
      <c r="B294" s="2" t="s">
        <v>210</v>
      </c>
      <c r="C294" s="2" t="n">
        <v>30</v>
      </c>
      <c r="D294" s="2" t="s">
        <v>54</v>
      </c>
      <c r="E294" s="2" t="s">
        <v>1937</v>
      </c>
      <c r="F294" s="2" t="n">
        <v>15</v>
      </c>
      <c r="G294" s="2" t="n">
        <v>45</v>
      </c>
      <c r="H294" s="2" t="s">
        <v>1689</v>
      </c>
      <c r="I294" s="2" t="n">
        <v>5</v>
      </c>
    </row>
    <row r="295" customFormat="false" ht="15" hidden="false" customHeight="false" outlineLevel="0" collapsed="false">
      <c r="A295" s="2" t="s">
        <v>755</v>
      </c>
      <c r="B295" s="2" t="s">
        <v>365</v>
      </c>
      <c r="C295" s="2" t="n">
        <v>0.25</v>
      </c>
      <c r="D295" s="2" t="s">
        <v>1687</v>
      </c>
      <c r="E295" s="2" t="s">
        <v>1938</v>
      </c>
      <c r="F295" s="2"/>
      <c r="G295" s="2" t="n">
        <v>1.25</v>
      </c>
      <c r="H295" s="2" t="s">
        <v>1689</v>
      </c>
      <c r="I295" s="2" t="n">
        <v>6</v>
      </c>
    </row>
    <row r="296" customFormat="false" ht="15" hidden="false" customHeight="false" outlineLevel="0" collapsed="false">
      <c r="A296" s="2" t="s">
        <v>755</v>
      </c>
      <c r="B296" s="2" t="s">
        <v>129</v>
      </c>
      <c r="C296" s="2" t="n">
        <v>4</v>
      </c>
      <c r="D296" s="2" t="s">
        <v>54</v>
      </c>
      <c r="E296" s="2" t="s">
        <v>1725</v>
      </c>
      <c r="F296" s="2" t="n">
        <v>2</v>
      </c>
      <c r="G296" s="2" t="n">
        <v>6</v>
      </c>
      <c r="H296" s="2" t="s">
        <v>1700</v>
      </c>
      <c r="I296" s="2" t="n">
        <v>7</v>
      </c>
    </row>
    <row r="297" customFormat="false" ht="15" hidden="false" customHeight="false" outlineLevel="0" collapsed="false">
      <c r="A297" s="2" t="s">
        <v>755</v>
      </c>
      <c r="B297" s="2" t="s">
        <v>271</v>
      </c>
      <c r="C297" s="2" t="n">
        <v>1</v>
      </c>
      <c r="D297" s="2" t="s">
        <v>54</v>
      </c>
      <c r="E297" s="2" t="s">
        <v>1939</v>
      </c>
      <c r="F297" s="2" t="n">
        <v>0.5</v>
      </c>
      <c r="G297" s="2" t="n">
        <v>1.5</v>
      </c>
      <c r="H297" s="2" t="s">
        <v>1689</v>
      </c>
      <c r="I297" s="2" t="n">
        <v>8</v>
      </c>
    </row>
    <row r="298" customFormat="false" ht="15" hidden="false" customHeight="false" outlineLevel="0" collapsed="false">
      <c r="A298" s="2" t="s">
        <v>755</v>
      </c>
      <c r="B298" s="2" t="s">
        <v>480</v>
      </c>
      <c r="C298" s="2" t="n">
        <v>1</v>
      </c>
      <c r="D298" s="2" t="s">
        <v>54</v>
      </c>
      <c r="E298" s="2" t="s">
        <v>1858</v>
      </c>
      <c r="F298" s="2" t="n">
        <v>0.5</v>
      </c>
      <c r="G298" s="2" t="n">
        <v>1.5</v>
      </c>
      <c r="H298" s="2" t="s">
        <v>1689</v>
      </c>
      <c r="I298" s="2" t="n">
        <v>9</v>
      </c>
    </row>
    <row r="299" customFormat="false" ht="15" hidden="false" customHeight="false" outlineLevel="0" collapsed="false">
      <c r="A299" s="2" t="s">
        <v>755</v>
      </c>
      <c r="B299" s="2" t="s">
        <v>514</v>
      </c>
      <c r="C299" s="2" t="n">
        <v>200</v>
      </c>
      <c r="D299" s="2" t="s">
        <v>54</v>
      </c>
      <c r="E299" s="2" t="s">
        <v>1940</v>
      </c>
      <c r="F299" s="2" t="n">
        <v>100</v>
      </c>
      <c r="G299" s="2" t="n">
        <v>300</v>
      </c>
      <c r="H299" s="2" t="s">
        <v>1689</v>
      </c>
      <c r="I299" s="2" t="n">
        <v>10</v>
      </c>
    </row>
    <row r="300" customFormat="false" ht="15" hidden="false" customHeight="false" outlineLevel="0" collapsed="false">
      <c r="A300" s="2" t="s">
        <v>758</v>
      </c>
      <c r="B300" s="2" t="s">
        <v>355</v>
      </c>
      <c r="C300" s="2" t="n">
        <v>230</v>
      </c>
      <c r="D300" s="2" t="s">
        <v>54</v>
      </c>
      <c r="E300" s="2" t="s">
        <v>1941</v>
      </c>
      <c r="F300" s="2" t="n">
        <v>115</v>
      </c>
      <c r="G300" s="2" t="n">
        <v>345</v>
      </c>
      <c r="H300" s="2" t="s">
        <v>1693</v>
      </c>
      <c r="I300" s="2" t="n">
        <v>1</v>
      </c>
    </row>
    <row r="301" customFormat="false" ht="15" hidden="false" customHeight="false" outlineLevel="0" collapsed="false">
      <c r="A301" s="2" t="s">
        <v>758</v>
      </c>
      <c r="B301" s="2" t="s">
        <v>312</v>
      </c>
      <c r="C301" s="2" t="n">
        <v>2</v>
      </c>
      <c r="D301" s="2" t="s">
        <v>1687</v>
      </c>
      <c r="E301" s="2" t="s">
        <v>1942</v>
      </c>
      <c r="F301" s="2" t="n">
        <v>1</v>
      </c>
      <c r="G301" s="2" t="n">
        <v>3</v>
      </c>
      <c r="H301" s="2" t="s">
        <v>1689</v>
      </c>
      <c r="I301" s="2" t="n">
        <v>2</v>
      </c>
    </row>
    <row r="302" customFormat="false" ht="15" hidden="false" customHeight="false" outlineLevel="0" collapsed="false">
      <c r="A302" s="2" t="s">
        <v>758</v>
      </c>
      <c r="B302" s="2" t="s">
        <v>195</v>
      </c>
      <c r="C302" s="2" t="n">
        <v>1800</v>
      </c>
      <c r="D302" s="2" t="s">
        <v>54</v>
      </c>
      <c r="E302" s="2" t="s">
        <v>1943</v>
      </c>
      <c r="F302" s="2" t="n">
        <v>900</v>
      </c>
      <c r="G302" s="2" t="n">
        <v>2700</v>
      </c>
      <c r="H302" s="2" t="s">
        <v>1693</v>
      </c>
      <c r="I302" s="2" t="n">
        <v>3</v>
      </c>
    </row>
    <row r="303" customFormat="false" ht="15" hidden="false" customHeight="false" outlineLevel="0" collapsed="false">
      <c r="A303" s="2" t="s">
        <v>758</v>
      </c>
      <c r="B303" s="2" t="s">
        <v>446</v>
      </c>
      <c r="C303" s="2" t="n">
        <v>350</v>
      </c>
      <c r="D303" s="2" t="s">
        <v>54</v>
      </c>
      <c r="E303" s="2" t="s">
        <v>1944</v>
      </c>
      <c r="F303" s="2" t="n">
        <v>175</v>
      </c>
      <c r="G303" s="2" t="n">
        <v>525</v>
      </c>
      <c r="H303" s="2" t="s">
        <v>1689</v>
      </c>
      <c r="I303" s="2" t="n">
        <v>4</v>
      </c>
    </row>
    <row r="304" customFormat="false" ht="15" hidden="false" customHeight="false" outlineLevel="0" collapsed="false">
      <c r="A304" s="2" t="s">
        <v>758</v>
      </c>
      <c r="B304" s="2" t="s">
        <v>301</v>
      </c>
      <c r="C304" s="2" t="n">
        <v>1</v>
      </c>
      <c r="D304" s="2" t="s">
        <v>54</v>
      </c>
      <c r="E304" s="2" t="s">
        <v>1945</v>
      </c>
      <c r="F304" s="2" t="n">
        <v>0.5</v>
      </c>
      <c r="G304" s="2" t="n">
        <v>1.5</v>
      </c>
      <c r="H304" s="2" t="s">
        <v>1689</v>
      </c>
      <c r="I304" s="2" t="n">
        <v>5</v>
      </c>
    </row>
    <row r="305" customFormat="false" ht="15" hidden="false" customHeight="false" outlineLevel="0" collapsed="false">
      <c r="A305" s="2" t="s">
        <v>758</v>
      </c>
      <c r="B305" s="2" t="s">
        <v>271</v>
      </c>
      <c r="C305" s="2" t="n">
        <v>1</v>
      </c>
      <c r="D305" s="2" t="s">
        <v>54</v>
      </c>
      <c r="E305" s="2" t="s">
        <v>1946</v>
      </c>
      <c r="F305" s="2" t="n">
        <v>0.5</v>
      </c>
      <c r="G305" s="2" t="n">
        <v>1.5</v>
      </c>
      <c r="H305" s="2" t="s">
        <v>1689</v>
      </c>
      <c r="I305" s="2" t="n">
        <v>6</v>
      </c>
    </row>
    <row r="306" customFormat="false" ht="15" hidden="false" customHeight="false" outlineLevel="0" collapsed="false">
      <c r="A306" s="2" t="s">
        <v>758</v>
      </c>
      <c r="B306" s="2" t="s">
        <v>480</v>
      </c>
      <c r="C306" s="2" t="n">
        <v>1</v>
      </c>
      <c r="D306" s="2" t="s">
        <v>54</v>
      </c>
      <c r="E306" s="2" t="s">
        <v>1858</v>
      </c>
      <c r="F306" s="2" t="n">
        <v>0.5</v>
      </c>
      <c r="G306" s="2" t="n">
        <v>1.5</v>
      </c>
      <c r="H306" s="2" t="s">
        <v>1689</v>
      </c>
      <c r="I306" s="2" t="n">
        <v>7</v>
      </c>
    </row>
    <row r="307" customFormat="false" ht="15" hidden="false" customHeight="false" outlineLevel="0" collapsed="false">
      <c r="A307" s="2" t="s">
        <v>758</v>
      </c>
      <c r="B307" s="2" t="s">
        <v>542</v>
      </c>
      <c r="C307" s="2" t="n">
        <v>1</v>
      </c>
      <c r="D307" s="2" t="s">
        <v>54</v>
      </c>
      <c r="E307" s="2" t="s">
        <v>1947</v>
      </c>
      <c r="F307" s="2" t="n">
        <v>0.5</v>
      </c>
      <c r="G307" s="2" t="n">
        <v>1.5</v>
      </c>
      <c r="H307" s="2" t="s">
        <v>1689</v>
      </c>
      <c r="I307" s="2" t="n">
        <v>8</v>
      </c>
    </row>
    <row r="308" customFormat="false" ht="15" hidden="false" customHeight="false" outlineLevel="0" collapsed="false">
      <c r="A308" s="2" t="s">
        <v>758</v>
      </c>
      <c r="B308" s="2" t="s">
        <v>542</v>
      </c>
      <c r="C308" s="2" t="n">
        <v>1</v>
      </c>
      <c r="D308" s="2" t="s">
        <v>54</v>
      </c>
      <c r="E308" s="2" t="s">
        <v>1948</v>
      </c>
      <c r="F308" s="2" t="n">
        <v>0.5</v>
      </c>
      <c r="G308" s="2" t="n">
        <v>1.5</v>
      </c>
      <c r="H308" s="2" t="s">
        <v>1689</v>
      </c>
      <c r="I308" s="2" t="n">
        <v>9</v>
      </c>
    </row>
    <row r="309" customFormat="false" ht="15" hidden="false" customHeight="false" outlineLevel="0" collapsed="false">
      <c r="A309" s="2" t="s">
        <v>758</v>
      </c>
      <c r="B309" s="2" t="s">
        <v>542</v>
      </c>
      <c r="C309" s="2" t="n">
        <v>1</v>
      </c>
      <c r="D309" s="2" t="s">
        <v>54</v>
      </c>
      <c r="E309" s="2" t="s">
        <v>1949</v>
      </c>
      <c r="F309" s="2" t="n">
        <v>0.5</v>
      </c>
      <c r="G309" s="2" t="n">
        <v>1.5</v>
      </c>
      <c r="H309" s="2" t="s">
        <v>1689</v>
      </c>
      <c r="I309" s="2" t="n">
        <v>10</v>
      </c>
    </row>
    <row r="310" customFormat="false" ht="15" hidden="false" customHeight="false" outlineLevel="0" collapsed="false">
      <c r="A310" s="2" t="s">
        <v>762</v>
      </c>
      <c r="B310" s="2" t="s">
        <v>424</v>
      </c>
      <c r="C310" s="2" t="n">
        <v>65</v>
      </c>
      <c r="D310" s="2" t="s">
        <v>54</v>
      </c>
      <c r="E310" s="2" t="s">
        <v>1950</v>
      </c>
      <c r="F310" s="2" t="n">
        <v>32.5</v>
      </c>
      <c r="G310" s="2" t="n">
        <v>97.5</v>
      </c>
      <c r="H310" s="2" t="s">
        <v>1689</v>
      </c>
      <c r="I310" s="2" t="n">
        <v>1</v>
      </c>
    </row>
    <row r="311" customFormat="false" ht="15" hidden="false" customHeight="false" outlineLevel="0" collapsed="false">
      <c r="A311" s="2" t="s">
        <v>762</v>
      </c>
      <c r="B311" s="2" t="s">
        <v>341</v>
      </c>
      <c r="C311" s="2" t="n">
        <v>60</v>
      </c>
      <c r="D311" s="2" t="s">
        <v>54</v>
      </c>
      <c r="E311" s="2" t="s">
        <v>1951</v>
      </c>
      <c r="F311" s="2" t="n">
        <v>30</v>
      </c>
      <c r="G311" s="2" t="n">
        <v>90</v>
      </c>
      <c r="H311" s="2" t="s">
        <v>1693</v>
      </c>
      <c r="I311" s="2" t="n">
        <v>2</v>
      </c>
    </row>
    <row r="312" customFormat="false" ht="15" hidden="false" customHeight="false" outlineLevel="0" collapsed="false">
      <c r="A312" s="2" t="s">
        <v>762</v>
      </c>
      <c r="B312" s="2" t="s">
        <v>329</v>
      </c>
      <c r="C312" s="2" t="n">
        <v>12</v>
      </c>
      <c r="D312" s="2" t="s">
        <v>54</v>
      </c>
      <c r="E312" s="2" t="s">
        <v>1952</v>
      </c>
      <c r="F312" s="2" t="n">
        <v>6</v>
      </c>
      <c r="G312" s="2" t="n">
        <v>18</v>
      </c>
      <c r="H312" s="2" t="s">
        <v>1689</v>
      </c>
      <c r="I312" s="2" t="n">
        <v>3</v>
      </c>
    </row>
    <row r="313" customFormat="false" ht="15" hidden="false" customHeight="false" outlineLevel="0" collapsed="false">
      <c r="A313" s="2" t="s">
        <v>762</v>
      </c>
      <c r="B313" s="2" t="s">
        <v>301</v>
      </c>
      <c r="C313" s="2" t="n">
        <v>0.5</v>
      </c>
      <c r="D313" s="2" t="s">
        <v>54</v>
      </c>
      <c r="E313" s="2" t="s">
        <v>1953</v>
      </c>
      <c r="F313" s="2" t="n">
        <v>0.25</v>
      </c>
      <c r="G313" s="2" t="n">
        <v>0.75</v>
      </c>
      <c r="H313" s="2" t="s">
        <v>1689</v>
      </c>
      <c r="I313" s="2" t="n">
        <v>4</v>
      </c>
    </row>
    <row r="314" customFormat="false" ht="15" hidden="false" customHeight="false" outlineLevel="0" collapsed="false">
      <c r="A314" s="2" t="s">
        <v>762</v>
      </c>
      <c r="B314" s="2" t="s">
        <v>365</v>
      </c>
      <c r="C314" s="2" t="n">
        <v>1</v>
      </c>
      <c r="D314" s="2" t="s">
        <v>1687</v>
      </c>
      <c r="E314" s="2" t="s">
        <v>1954</v>
      </c>
      <c r="F314" s="2"/>
      <c r="G314" s="2" t="n">
        <v>2</v>
      </c>
      <c r="H314" s="2" t="s">
        <v>1689</v>
      </c>
      <c r="I314" s="2" t="n">
        <v>5</v>
      </c>
    </row>
    <row r="315" customFormat="false" ht="15" hidden="false" customHeight="false" outlineLevel="0" collapsed="false">
      <c r="A315" s="2" t="s">
        <v>765</v>
      </c>
      <c r="B315" s="2" t="s">
        <v>221</v>
      </c>
      <c r="C315" s="2" t="n">
        <v>250</v>
      </c>
      <c r="D315" s="2" t="s">
        <v>54</v>
      </c>
      <c r="E315" s="2" t="s">
        <v>1955</v>
      </c>
      <c r="F315" s="2" t="n">
        <v>125</v>
      </c>
      <c r="G315" s="2" t="n">
        <v>375</v>
      </c>
      <c r="H315" s="2" t="s">
        <v>1693</v>
      </c>
      <c r="I315" s="2" t="n">
        <v>1</v>
      </c>
    </row>
    <row r="316" customFormat="false" ht="15" hidden="false" customHeight="false" outlineLevel="0" collapsed="false">
      <c r="A316" s="2" t="s">
        <v>765</v>
      </c>
      <c r="B316" s="2" t="s">
        <v>310</v>
      </c>
      <c r="C316" s="2" t="n">
        <v>200</v>
      </c>
      <c r="D316" s="2" t="s">
        <v>76</v>
      </c>
      <c r="E316" s="2" t="s">
        <v>1956</v>
      </c>
      <c r="F316" s="2" t="n">
        <v>100</v>
      </c>
      <c r="G316" s="2" t="n">
        <v>300</v>
      </c>
      <c r="H316" s="2" t="s">
        <v>1700</v>
      </c>
      <c r="I316" s="2" t="n">
        <v>2</v>
      </c>
    </row>
    <row r="317" customFormat="false" ht="15" hidden="false" customHeight="false" outlineLevel="0" collapsed="false">
      <c r="A317" s="2" t="s">
        <v>765</v>
      </c>
      <c r="B317" s="2" t="s">
        <v>520</v>
      </c>
      <c r="C317" s="2" t="n">
        <v>30</v>
      </c>
      <c r="D317" s="2" t="s">
        <v>54</v>
      </c>
      <c r="E317" s="2" t="s">
        <v>1957</v>
      </c>
      <c r="F317" s="2" t="n">
        <v>15</v>
      </c>
      <c r="G317" s="2" t="n">
        <v>45</v>
      </c>
      <c r="H317" s="2" t="s">
        <v>1689</v>
      </c>
      <c r="I317" s="2" t="n">
        <v>3</v>
      </c>
    </row>
    <row r="318" customFormat="false" ht="15" hidden="false" customHeight="false" outlineLevel="0" collapsed="false">
      <c r="A318" s="2" t="s">
        <v>765</v>
      </c>
      <c r="B318" s="2" t="s">
        <v>299</v>
      </c>
      <c r="C318" s="2" t="n">
        <v>5</v>
      </c>
      <c r="D318" s="2" t="s">
        <v>54</v>
      </c>
      <c r="E318" s="2" t="s">
        <v>1958</v>
      </c>
      <c r="F318" s="2" t="n">
        <v>4</v>
      </c>
      <c r="G318" s="2" t="n">
        <v>6</v>
      </c>
      <c r="H318" s="2" t="s">
        <v>1689</v>
      </c>
      <c r="I318" s="2" t="n">
        <v>4</v>
      </c>
    </row>
    <row r="319" customFormat="false" ht="15" hidden="false" customHeight="false" outlineLevel="0" collapsed="false">
      <c r="A319" s="2" t="s">
        <v>765</v>
      </c>
      <c r="B319" s="2" t="s">
        <v>197</v>
      </c>
      <c r="C319" s="2" t="n">
        <v>10</v>
      </c>
      <c r="D319" s="2" t="s">
        <v>54</v>
      </c>
      <c r="E319" s="2" t="s">
        <v>1959</v>
      </c>
      <c r="F319" s="2" t="n">
        <v>5</v>
      </c>
      <c r="G319" s="2" t="n">
        <v>15</v>
      </c>
      <c r="H319" s="2" t="s">
        <v>1689</v>
      </c>
      <c r="I319" s="2" t="n">
        <v>5</v>
      </c>
    </row>
    <row r="320" customFormat="false" ht="15" hidden="false" customHeight="false" outlineLevel="0" collapsed="false">
      <c r="A320" s="2" t="s">
        <v>765</v>
      </c>
      <c r="B320" s="2" t="s">
        <v>454</v>
      </c>
      <c r="C320" s="2" t="n">
        <v>100</v>
      </c>
      <c r="D320" s="2" t="s">
        <v>54</v>
      </c>
      <c r="E320" s="2" t="s">
        <v>1960</v>
      </c>
      <c r="F320" s="2" t="n">
        <v>50</v>
      </c>
      <c r="G320" s="2" t="n">
        <v>150</v>
      </c>
      <c r="H320" s="2" t="s">
        <v>1689</v>
      </c>
      <c r="I320" s="2" t="n">
        <v>6</v>
      </c>
    </row>
    <row r="321" customFormat="false" ht="15" hidden="false" customHeight="false" outlineLevel="0" collapsed="false">
      <c r="A321" s="2" t="s">
        <v>765</v>
      </c>
      <c r="B321" s="2" t="s">
        <v>323</v>
      </c>
      <c r="C321" s="2" t="n">
        <v>80</v>
      </c>
      <c r="D321" s="2" t="s">
        <v>54</v>
      </c>
      <c r="E321" s="2" t="s">
        <v>1961</v>
      </c>
      <c r="F321" s="2" t="n">
        <v>40</v>
      </c>
      <c r="G321" s="2" t="n">
        <v>120</v>
      </c>
      <c r="H321" s="2" t="s">
        <v>1689</v>
      </c>
      <c r="I321" s="2" t="n">
        <v>7</v>
      </c>
    </row>
    <row r="322" customFormat="false" ht="15" hidden="false" customHeight="false" outlineLevel="0" collapsed="false">
      <c r="A322" s="2" t="s">
        <v>765</v>
      </c>
      <c r="B322" s="2" t="s">
        <v>172</v>
      </c>
      <c r="C322" s="2" t="n">
        <v>50</v>
      </c>
      <c r="D322" s="2" t="s">
        <v>54</v>
      </c>
      <c r="E322" s="2" t="s">
        <v>1962</v>
      </c>
      <c r="F322" s="2" t="n">
        <v>25</v>
      </c>
      <c r="G322" s="2" t="n">
        <v>75</v>
      </c>
      <c r="H322" s="2" t="s">
        <v>1689</v>
      </c>
      <c r="I322" s="2" t="n">
        <v>8</v>
      </c>
    </row>
    <row r="323" customFormat="false" ht="15" hidden="false" customHeight="false" outlineLevel="0" collapsed="false">
      <c r="A323" s="2" t="s">
        <v>765</v>
      </c>
      <c r="B323" s="2" t="s">
        <v>301</v>
      </c>
      <c r="C323" s="2" t="n">
        <v>30</v>
      </c>
      <c r="D323" s="2" t="s">
        <v>54</v>
      </c>
      <c r="E323" s="2" t="s">
        <v>1963</v>
      </c>
      <c r="F323" s="2" t="n">
        <v>15</v>
      </c>
      <c r="G323" s="2" t="n">
        <v>45</v>
      </c>
      <c r="H323" s="2" t="s">
        <v>1689</v>
      </c>
      <c r="I323" s="2" t="n">
        <v>9</v>
      </c>
    </row>
    <row r="324" customFormat="false" ht="15" hidden="false" customHeight="false" outlineLevel="0" collapsed="false">
      <c r="A324" s="2" t="s">
        <v>765</v>
      </c>
      <c r="B324" s="2" t="s">
        <v>500</v>
      </c>
      <c r="C324" s="2" t="n">
        <v>1.333</v>
      </c>
      <c r="D324" s="2" t="s">
        <v>1687</v>
      </c>
      <c r="E324" s="2" t="s">
        <v>1964</v>
      </c>
      <c r="F324" s="2" t="n">
        <v>0.333333333333333</v>
      </c>
      <c r="G324" s="2" t="n">
        <v>2.33333333333333</v>
      </c>
      <c r="H324" s="2" t="s">
        <v>1689</v>
      </c>
      <c r="I324" s="2" t="n">
        <v>10</v>
      </c>
    </row>
    <row r="325" customFormat="false" ht="15" hidden="false" customHeight="false" outlineLevel="0" collapsed="false">
      <c r="A325" s="2" t="s">
        <v>765</v>
      </c>
      <c r="B325" s="2" t="s">
        <v>367</v>
      </c>
      <c r="C325" s="2" t="n">
        <v>10</v>
      </c>
      <c r="D325" s="2" t="s">
        <v>76</v>
      </c>
      <c r="E325" s="2" t="s">
        <v>1965</v>
      </c>
      <c r="F325" s="2" t="n">
        <v>9</v>
      </c>
      <c r="G325" s="2" t="n">
        <v>11</v>
      </c>
      <c r="H325" s="2" t="s">
        <v>1689</v>
      </c>
      <c r="I325" s="2" t="n">
        <v>11</v>
      </c>
    </row>
    <row r="326" customFormat="false" ht="15" hidden="false" customHeight="false" outlineLevel="0" collapsed="false">
      <c r="A326" s="2" t="s">
        <v>765</v>
      </c>
      <c r="B326" s="2" t="s">
        <v>456</v>
      </c>
      <c r="C326" s="2" t="n">
        <v>0.333</v>
      </c>
      <c r="D326" s="2" t="s">
        <v>1687</v>
      </c>
      <c r="E326" s="2" t="s">
        <v>1966</v>
      </c>
      <c r="F326" s="2"/>
      <c r="G326" s="2" t="n">
        <v>1.33333333333333</v>
      </c>
      <c r="H326" s="2" t="s">
        <v>1689</v>
      </c>
      <c r="I326" s="2" t="n">
        <v>12</v>
      </c>
    </row>
    <row r="327" customFormat="false" ht="15" hidden="false" customHeight="false" outlineLevel="0" collapsed="false">
      <c r="A327" s="2" t="s">
        <v>765</v>
      </c>
      <c r="B327" s="2" t="s">
        <v>177</v>
      </c>
      <c r="C327" s="2" t="n">
        <v>75</v>
      </c>
      <c r="D327" s="2" t="s">
        <v>54</v>
      </c>
      <c r="E327" s="2" t="s">
        <v>1967</v>
      </c>
      <c r="F327" s="2" t="n">
        <v>37.5</v>
      </c>
      <c r="G327" s="2" t="n">
        <v>112.5</v>
      </c>
      <c r="H327" s="2" t="s">
        <v>1689</v>
      </c>
      <c r="I327" s="2" t="n">
        <v>13</v>
      </c>
    </row>
    <row r="328" customFormat="false" ht="15" hidden="false" customHeight="false" outlineLevel="0" collapsed="false">
      <c r="A328" s="2" t="s">
        <v>768</v>
      </c>
      <c r="B328" s="2" t="s">
        <v>129</v>
      </c>
      <c r="C328" s="2" t="n">
        <v>4</v>
      </c>
      <c r="D328" s="2" t="s">
        <v>54</v>
      </c>
      <c r="E328" s="2" t="s">
        <v>1968</v>
      </c>
      <c r="F328" s="2" t="n">
        <v>2</v>
      </c>
      <c r="G328" s="2" t="n">
        <v>6</v>
      </c>
      <c r="H328" s="2" t="s">
        <v>1700</v>
      </c>
      <c r="I328" s="2" t="n">
        <v>1</v>
      </c>
    </row>
    <row r="329" customFormat="false" ht="15" hidden="false" customHeight="false" outlineLevel="0" collapsed="false">
      <c r="A329" s="2" t="s">
        <v>768</v>
      </c>
      <c r="B329" s="2" t="s">
        <v>409</v>
      </c>
      <c r="C329" s="2" t="n">
        <v>75</v>
      </c>
      <c r="D329" s="2" t="s">
        <v>54</v>
      </c>
      <c r="E329" s="2" t="s">
        <v>1969</v>
      </c>
      <c r="F329" s="2" t="n">
        <v>37.5</v>
      </c>
      <c r="G329" s="2" t="n">
        <v>112.5</v>
      </c>
      <c r="H329" s="2" t="s">
        <v>1689</v>
      </c>
      <c r="I329" s="2" t="n">
        <v>2</v>
      </c>
    </row>
    <row r="330" customFormat="false" ht="15" hidden="false" customHeight="false" outlineLevel="0" collapsed="false">
      <c r="A330" s="2" t="s">
        <v>768</v>
      </c>
      <c r="B330" s="2" t="s">
        <v>375</v>
      </c>
      <c r="C330" s="2" t="n">
        <v>0.5</v>
      </c>
      <c r="D330" s="2" t="s">
        <v>1687</v>
      </c>
      <c r="E330" s="2" t="s">
        <v>1970</v>
      </c>
      <c r="F330" s="2"/>
      <c r="G330" s="2" t="n">
        <v>1.5</v>
      </c>
      <c r="H330" s="2" t="s">
        <v>1689</v>
      </c>
      <c r="I330" s="2" t="n">
        <v>3</v>
      </c>
    </row>
    <row r="331" customFormat="false" ht="15" hidden="false" customHeight="false" outlineLevel="0" collapsed="false">
      <c r="A331" s="2" t="s">
        <v>768</v>
      </c>
      <c r="B331" s="2" t="s">
        <v>221</v>
      </c>
      <c r="C331" s="2" t="n">
        <v>170</v>
      </c>
      <c r="D331" s="2" t="s">
        <v>54</v>
      </c>
      <c r="E331" s="2" t="s">
        <v>1971</v>
      </c>
      <c r="F331" s="2" t="n">
        <v>85</v>
      </c>
      <c r="G331" s="2" t="n">
        <v>255</v>
      </c>
      <c r="H331" s="2" t="s">
        <v>1693</v>
      </c>
      <c r="I331" s="2" t="n">
        <v>4</v>
      </c>
    </row>
    <row r="332" customFormat="false" ht="15" hidden="false" customHeight="false" outlineLevel="0" collapsed="false">
      <c r="A332" s="2" t="s">
        <v>768</v>
      </c>
      <c r="B332" s="2" t="s">
        <v>297</v>
      </c>
      <c r="C332" s="2" t="n">
        <v>2</v>
      </c>
      <c r="D332" s="2" t="s">
        <v>1687</v>
      </c>
      <c r="E332" s="2" t="s">
        <v>1972</v>
      </c>
      <c r="F332" s="2" t="n">
        <v>1</v>
      </c>
      <c r="G332" s="2" t="n">
        <v>3</v>
      </c>
      <c r="H332" s="2" t="s">
        <v>1689</v>
      </c>
      <c r="I332" s="2" t="n">
        <v>5</v>
      </c>
    </row>
    <row r="333" customFormat="false" ht="15" hidden="false" customHeight="false" outlineLevel="0" collapsed="false">
      <c r="A333" s="2" t="s">
        <v>768</v>
      </c>
      <c r="B333" s="2" t="s">
        <v>462</v>
      </c>
      <c r="C333" s="2" t="n">
        <v>30</v>
      </c>
      <c r="D333" s="2" t="s">
        <v>54</v>
      </c>
      <c r="E333" s="2" t="s">
        <v>1973</v>
      </c>
      <c r="F333" s="2" t="n">
        <v>15</v>
      </c>
      <c r="G333" s="2" t="n">
        <v>45</v>
      </c>
      <c r="H333" s="2" t="s">
        <v>1693</v>
      </c>
      <c r="I333" s="2" t="n">
        <v>6</v>
      </c>
    </row>
    <row r="334" customFormat="false" ht="15" hidden="false" customHeight="false" outlineLevel="0" collapsed="false">
      <c r="A334" s="2" t="s">
        <v>768</v>
      </c>
      <c r="B334" s="2" t="s">
        <v>117</v>
      </c>
      <c r="C334" s="2" t="n">
        <v>0.5</v>
      </c>
      <c r="D334" s="2" t="s">
        <v>1687</v>
      </c>
      <c r="E334" s="2" t="s">
        <v>1722</v>
      </c>
      <c r="F334" s="2"/>
      <c r="G334" s="2" t="n">
        <v>1.5</v>
      </c>
      <c r="H334" s="2" t="s">
        <v>1700</v>
      </c>
      <c r="I334" s="2" t="n">
        <v>7</v>
      </c>
    </row>
    <row r="335" customFormat="false" ht="15" hidden="false" customHeight="false" outlineLevel="0" collapsed="false">
      <c r="A335" s="2" t="s">
        <v>768</v>
      </c>
      <c r="B335" s="2" t="s">
        <v>219</v>
      </c>
      <c r="C335" s="2" t="n">
        <v>90</v>
      </c>
      <c r="D335" s="2" t="s">
        <v>54</v>
      </c>
      <c r="E335" s="2" t="s">
        <v>1974</v>
      </c>
      <c r="F335" s="2" t="n">
        <v>45</v>
      </c>
      <c r="G335" s="2" t="n">
        <v>135</v>
      </c>
      <c r="H335" s="2" t="s">
        <v>1689</v>
      </c>
      <c r="I335" s="2" t="n">
        <v>8</v>
      </c>
    </row>
    <row r="336" customFormat="false" ht="15" hidden="false" customHeight="false" outlineLevel="0" collapsed="false">
      <c r="A336" s="2" t="s">
        <v>768</v>
      </c>
      <c r="B336" s="2" t="s">
        <v>312</v>
      </c>
      <c r="C336" s="2" t="n">
        <v>0.5</v>
      </c>
      <c r="D336" s="2" t="s">
        <v>1687</v>
      </c>
      <c r="E336" s="2" t="s">
        <v>1975</v>
      </c>
      <c r="F336" s="2"/>
      <c r="G336" s="2" t="n">
        <v>1.5</v>
      </c>
      <c r="H336" s="2" t="s">
        <v>1689</v>
      </c>
      <c r="I336" s="2" t="n">
        <v>9</v>
      </c>
    </row>
    <row r="337" customFormat="false" ht="15" hidden="false" customHeight="false" outlineLevel="0" collapsed="false">
      <c r="A337" s="2" t="s">
        <v>768</v>
      </c>
      <c r="B337" s="2" t="s">
        <v>480</v>
      </c>
      <c r="C337" s="2" t="n">
        <v>1</v>
      </c>
      <c r="D337" s="2" t="s">
        <v>54</v>
      </c>
      <c r="E337" s="2" t="s">
        <v>1858</v>
      </c>
      <c r="F337" s="2" t="n">
        <v>0.5</v>
      </c>
      <c r="G337" s="2" t="n">
        <v>1.5</v>
      </c>
      <c r="H337" s="2" t="s">
        <v>1689</v>
      </c>
      <c r="I337" s="2" t="n">
        <v>10</v>
      </c>
    </row>
    <row r="338" customFormat="false" ht="15" hidden="false" customHeight="false" outlineLevel="0" collapsed="false">
      <c r="A338" s="2" t="s">
        <v>771</v>
      </c>
      <c r="B338" s="2" t="s">
        <v>361</v>
      </c>
      <c r="C338" s="2" t="n">
        <v>450</v>
      </c>
      <c r="D338" s="2" t="s">
        <v>54</v>
      </c>
      <c r="E338" s="2" t="s">
        <v>1976</v>
      </c>
      <c r="F338" s="2" t="n">
        <v>225</v>
      </c>
      <c r="G338" s="2" t="n">
        <v>675</v>
      </c>
      <c r="H338" s="2" t="s">
        <v>1693</v>
      </c>
      <c r="I338" s="2" t="n">
        <v>1</v>
      </c>
    </row>
    <row r="339" customFormat="false" ht="15" hidden="false" customHeight="false" outlineLevel="0" collapsed="false">
      <c r="A339" s="2" t="s">
        <v>771</v>
      </c>
      <c r="B339" s="2" t="s">
        <v>422</v>
      </c>
      <c r="C339" s="2" t="n">
        <v>400</v>
      </c>
      <c r="D339" s="2" t="s">
        <v>54</v>
      </c>
      <c r="E339" s="2" t="s">
        <v>1977</v>
      </c>
      <c r="F339" s="2" t="n">
        <v>200</v>
      </c>
      <c r="G339" s="2" t="n">
        <v>600</v>
      </c>
      <c r="H339" s="2" t="s">
        <v>1689</v>
      </c>
      <c r="I339" s="2" t="n">
        <v>2</v>
      </c>
    </row>
    <row r="340" customFormat="false" ht="15" hidden="false" customHeight="false" outlineLevel="0" collapsed="false">
      <c r="A340" s="2" t="s">
        <v>771</v>
      </c>
      <c r="B340" s="2" t="s">
        <v>458</v>
      </c>
      <c r="C340" s="2" t="n">
        <v>150</v>
      </c>
      <c r="D340" s="2" t="s">
        <v>54</v>
      </c>
      <c r="E340" s="2" t="s">
        <v>1978</v>
      </c>
      <c r="F340" s="2" t="n">
        <v>75</v>
      </c>
      <c r="G340" s="2" t="n">
        <v>225</v>
      </c>
      <c r="H340" s="2" t="s">
        <v>1689</v>
      </c>
      <c r="I340" s="2" t="n">
        <v>3</v>
      </c>
    </row>
    <row r="341" customFormat="false" ht="15" hidden="false" customHeight="false" outlineLevel="0" collapsed="false">
      <c r="A341" s="2" t="s">
        <v>771</v>
      </c>
      <c r="B341" s="2" t="s">
        <v>301</v>
      </c>
      <c r="C341" s="2" t="n">
        <v>30</v>
      </c>
      <c r="D341" s="2" t="s">
        <v>54</v>
      </c>
      <c r="E341" s="2" t="s">
        <v>1979</v>
      </c>
      <c r="F341" s="2" t="n">
        <v>15</v>
      </c>
      <c r="G341" s="2" t="n">
        <v>45</v>
      </c>
      <c r="H341" s="2" t="s">
        <v>1689</v>
      </c>
      <c r="I341" s="2" t="n">
        <v>4</v>
      </c>
    </row>
    <row r="342" customFormat="false" ht="15" hidden="false" customHeight="false" outlineLevel="0" collapsed="false">
      <c r="A342" s="2" t="s">
        <v>771</v>
      </c>
      <c r="B342" s="2" t="s">
        <v>365</v>
      </c>
      <c r="C342" s="2" t="n">
        <v>0.5</v>
      </c>
      <c r="D342" s="2" t="s">
        <v>1687</v>
      </c>
      <c r="E342" s="2" t="s">
        <v>1980</v>
      </c>
      <c r="F342" s="2"/>
      <c r="G342" s="2" t="n">
        <v>1.5</v>
      </c>
      <c r="H342" s="2" t="s">
        <v>1689</v>
      </c>
      <c r="I342" s="2" t="n">
        <v>5</v>
      </c>
    </row>
    <row r="343" customFormat="false" ht="15" hidden="false" customHeight="false" outlineLevel="0" collapsed="false">
      <c r="A343" s="2" t="s">
        <v>771</v>
      </c>
      <c r="B343" s="2" t="s">
        <v>301</v>
      </c>
      <c r="C343" s="2" t="n">
        <v>16</v>
      </c>
      <c r="D343" s="2" t="s">
        <v>54</v>
      </c>
      <c r="E343" s="2" t="s">
        <v>1981</v>
      </c>
      <c r="F343" s="2" t="n">
        <v>8</v>
      </c>
      <c r="G343" s="2" t="n">
        <v>24</v>
      </c>
      <c r="H343" s="2" t="s">
        <v>1689</v>
      </c>
      <c r="I343" s="2" t="n">
        <v>6</v>
      </c>
    </row>
    <row r="344" customFormat="false" ht="15" hidden="false" customHeight="false" outlineLevel="0" collapsed="false">
      <c r="A344" s="2" t="s">
        <v>771</v>
      </c>
      <c r="B344" s="2" t="s">
        <v>312</v>
      </c>
      <c r="C344" s="2" t="n">
        <v>2</v>
      </c>
      <c r="D344" s="2" t="s">
        <v>1687</v>
      </c>
      <c r="E344" s="2" t="s">
        <v>1982</v>
      </c>
      <c r="F344" s="2" t="n">
        <v>1</v>
      </c>
      <c r="G344" s="2" t="n">
        <v>3</v>
      </c>
      <c r="H344" s="2" t="s">
        <v>1689</v>
      </c>
      <c r="I344" s="2" t="n">
        <v>7</v>
      </c>
    </row>
    <row r="345" customFormat="false" ht="15" hidden="false" customHeight="false" outlineLevel="0" collapsed="false">
      <c r="A345" s="2" t="s">
        <v>771</v>
      </c>
      <c r="B345" s="2" t="s">
        <v>271</v>
      </c>
      <c r="C345" s="2" t="n">
        <v>7</v>
      </c>
      <c r="D345" s="2" t="s">
        <v>54</v>
      </c>
      <c r="E345" s="2" t="s">
        <v>1983</v>
      </c>
      <c r="F345" s="2" t="n">
        <v>3.5</v>
      </c>
      <c r="G345" s="2" t="n">
        <v>10.5</v>
      </c>
      <c r="H345" s="2" t="s">
        <v>1689</v>
      </c>
      <c r="I345" s="2" t="n">
        <v>8</v>
      </c>
    </row>
    <row r="346" customFormat="false" ht="15" hidden="false" customHeight="false" outlineLevel="0" collapsed="false">
      <c r="A346" s="2" t="s">
        <v>771</v>
      </c>
      <c r="B346" s="2" t="s">
        <v>271</v>
      </c>
      <c r="C346" s="2" t="n">
        <v>6</v>
      </c>
      <c r="D346" s="2" t="s">
        <v>54</v>
      </c>
      <c r="E346" s="2" t="s">
        <v>1984</v>
      </c>
      <c r="F346" s="2" t="n">
        <v>3</v>
      </c>
      <c r="G346" s="2" t="n">
        <v>9</v>
      </c>
      <c r="H346" s="2" t="s">
        <v>1689</v>
      </c>
      <c r="I346" s="2" t="n">
        <v>9</v>
      </c>
    </row>
    <row r="347" customFormat="false" ht="15" hidden="false" customHeight="false" outlineLevel="0" collapsed="false">
      <c r="A347" s="2" t="s">
        <v>771</v>
      </c>
      <c r="B347" s="2" t="s">
        <v>129</v>
      </c>
      <c r="C347" s="2" t="n">
        <v>14</v>
      </c>
      <c r="D347" s="2" t="s">
        <v>54</v>
      </c>
      <c r="E347" s="2" t="s">
        <v>1985</v>
      </c>
      <c r="F347" s="2" t="n">
        <v>7</v>
      </c>
      <c r="G347" s="2" t="n">
        <v>21</v>
      </c>
      <c r="H347" s="2" t="s">
        <v>1700</v>
      </c>
      <c r="I347" s="2" t="n">
        <v>10</v>
      </c>
    </row>
    <row r="348" customFormat="false" ht="15" hidden="false" customHeight="false" outlineLevel="0" collapsed="false">
      <c r="A348" s="2" t="s">
        <v>771</v>
      </c>
      <c r="B348" s="2" t="s">
        <v>271</v>
      </c>
      <c r="C348" s="2" t="n">
        <v>4</v>
      </c>
      <c r="D348" s="2" t="s">
        <v>54</v>
      </c>
      <c r="E348" s="2" t="s">
        <v>1986</v>
      </c>
      <c r="F348" s="2" t="n">
        <v>2</v>
      </c>
      <c r="G348" s="2" t="n">
        <v>6</v>
      </c>
      <c r="H348" s="2" t="s">
        <v>1689</v>
      </c>
      <c r="I348" s="2" t="n">
        <v>11</v>
      </c>
    </row>
    <row r="349" customFormat="false" ht="15" hidden="false" customHeight="false" outlineLevel="0" collapsed="false">
      <c r="A349" s="2" t="s">
        <v>771</v>
      </c>
      <c r="B349" s="2" t="s">
        <v>456</v>
      </c>
      <c r="C349" s="2" t="n">
        <v>1</v>
      </c>
      <c r="D349" s="2" t="s">
        <v>1687</v>
      </c>
      <c r="E349" s="2" t="s">
        <v>1987</v>
      </c>
      <c r="F349" s="2"/>
      <c r="G349" s="2" t="n">
        <v>2</v>
      </c>
      <c r="H349" s="2" t="s">
        <v>1689</v>
      </c>
      <c r="I349" s="2" t="n">
        <v>12</v>
      </c>
    </row>
    <row r="350" customFormat="false" ht="15" hidden="false" customHeight="false" outlineLevel="0" collapsed="false">
      <c r="A350" s="2" t="s">
        <v>771</v>
      </c>
      <c r="B350" s="2" t="s">
        <v>177</v>
      </c>
      <c r="C350" s="2" t="n">
        <v>220</v>
      </c>
      <c r="D350" s="2" t="s">
        <v>54</v>
      </c>
      <c r="E350" s="2" t="s">
        <v>1988</v>
      </c>
      <c r="F350" s="2" t="n">
        <v>110</v>
      </c>
      <c r="G350" s="2" t="n">
        <v>330</v>
      </c>
      <c r="H350" s="2" t="s">
        <v>1689</v>
      </c>
      <c r="I350" s="2" t="n">
        <v>13</v>
      </c>
    </row>
    <row r="351" customFormat="false" ht="15" hidden="false" customHeight="false" outlineLevel="0" collapsed="false">
      <c r="A351" s="2" t="s">
        <v>774</v>
      </c>
      <c r="B351" s="2" t="s">
        <v>476</v>
      </c>
      <c r="C351" s="2" t="n">
        <v>250</v>
      </c>
      <c r="D351" s="2" t="s">
        <v>54</v>
      </c>
      <c r="E351" s="2" t="s">
        <v>1989</v>
      </c>
      <c r="F351" s="2" t="n">
        <v>125</v>
      </c>
      <c r="G351" s="2" t="n">
        <v>375</v>
      </c>
      <c r="H351" s="2" t="s">
        <v>1693</v>
      </c>
      <c r="I351" s="2" t="n">
        <v>1</v>
      </c>
    </row>
    <row r="352" customFormat="false" ht="15" hidden="false" customHeight="false" outlineLevel="0" collapsed="false">
      <c r="A352" s="2" t="s">
        <v>774</v>
      </c>
      <c r="B352" s="2" t="s">
        <v>271</v>
      </c>
      <c r="C352" s="2" t="n">
        <v>5</v>
      </c>
      <c r="D352" s="2" t="s">
        <v>54</v>
      </c>
      <c r="E352" s="2" t="s">
        <v>1990</v>
      </c>
      <c r="F352" s="2" t="n">
        <v>2.5</v>
      </c>
      <c r="G352" s="2" t="n">
        <v>7.5</v>
      </c>
      <c r="H352" s="2" t="s">
        <v>1689</v>
      </c>
      <c r="I352" s="2" t="n">
        <v>2</v>
      </c>
    </row>
    <row r="353" customFormat="false" ht="15" hidden="false" customHeight="false" outlineLevel="0" collapsed="false">
      <c r="A353" s="2" t="s">
        <v>774</v>
      </c>
      <c r="B353" s="2" t="s">
        <v>365</v>
      </c>
      <c r="C353" s="2" t="n">
        <v>0.086</v>
      </c>
      <c r="D353" s="2" t="s">
        <v>1687</v>
      </c>
      <c r="E353" s="2" t="s">
        <v>1991</v>
      </c>
      <c r="F353" s="2"/>
      <c r="G353" s="2" t="n">
        <v>1.08620689655172</v>
      </c>
      <c r="H353" s="2" t="s">
        <v>1689</v>
      </c>
      <c r="I353" s="2" t="n">
        <v>3</v>
      </c>
    </row>
    <row r="354" customFormat="false" ht="15" hidden="false" customHeight="false" outlineLevel="0" collapsed="false">
      <c r="A354" s="2" t="s">
        <v>774</v>
      </c>
      <c r="B354" s="2" t="s">
        <v>199</v>
      </c>
      <c r="C354" s="2" t="n">
        <v>40</v>
      </c>
      <c r="D354" s="2" t="s">
        <v>54</v>
      </c>
      <c r="E354" s="2" t="s">
        <v>1992</v>
      </c>
      <c r="F354" s="2" t="n">
        <v>20</v>
      </c>
      <c r="G354" s="2" t="n">
        <v>60</v>
      </c>
      <c r="H354" s="2" t="s">
        <v>1689</v>
      </c>
      <c r="I354" s="2" t="n">
        <v>4</v>
      </c>
    </row>
    <row r="355" customFormat="false" ht="15" hidden="false" customHeight="false" outlineLevel="0" collapsed="false">
      <c r="A355" s="2" t="s">
        <v>774</v>
      </c>
      <c r="B355" s="2" t="s">
        <v>301</v>
      </c>
      <c r="C355" s="2" t="n">
        <v>100</v>
      </c>
      <c r="D355" s="2" t="s">
        <v>54</v>
      </c>
      <c r="E355" s="2" t="s">
        <v>1993</v>
      </c>
      <c r="F355" s="2" t="n">
        <v>50</v>
      </c>
      <c r="G355" s="2" t="n">
        <v>150</v>
      </c>
      <c r="H355" s="2" t="s">
        <v>1689</v>
      </c>
      <c r="I355" s="2" t="n">
        <v>5</v>
      </c>
    </row>
    <row r="356" customFormat="false" ht="15" hidden="false" customHeight="false" outlineLevel="0" collapsed="false">
      <c r="A356" s="2" t="s">
        <v>774</v>
      </c>
      <c r="B356" s="2" t="s">
        <v>301</v>
      </c>
      <c r="C356" s="2" t="n">
        <v>50</v>
      </c>
      <c r="D356" s="2" t="s">
        <v>54</v>
      </c>
      <c r="E356" s="2" t="s">
        <v>1994</v>
      </c>
      <c r="F356" s="2" t="n">
        <v>25</v>
      </c>
      <c r="G356" s="2" t="n">
        <v>75</v>
      </c>
      <c r="H356" s="2" t="s">
        <v>1689</v>
      </c>
      <c r="I356" s="2" t="n">
        <v>6</v>
      </c>
    </row>
    <row r="357" customFormat="false" ht="15" hidden="false" customHeight="false" outlineLevel="0" collapsed="false">
      <c r="A357" s="2" t="s">
        <v>774</v>
      </c>
      <c r="B357" s="2" t="s">
        <v>260</v>
      </c>
      <c r="C357" s="2" t="n">
        <v>80</v>
      </c>
      <c r="D357" s="2" t="s">
        <v>54</v>
      </c>
      <c r="E357" s="2" t="s">
        <v>1995</v>
      </c>
      <c r="F357" s="2" t="n">
        <v>40</v>
      </c>
      <c r="G357" s="2" t="n">
        <v>120</v>
      </c>
      <c r="H357" s="2" t="s">
        <v>1689</v>
      </c>
      <c r="I357" s="2" t="n">
        <v>7</v>
      </c>
    </row>
    <row r="358" customFormat="false" ht="15" hidden="false" customHeight="false" outlineLevel="0" collapsed="false">
      <c r="A358" s="2" t="s">
        <v>774</v>
      </c>
      <c r="B358" s="2" t="s">
        <v>219</v>
      </c>
      <c r="C358" s="2" t="n">
        <v>50</v>
      </c>
      <c r="D358" s="2" t="s">
        <v>54</v>
      </c>
      <c r="E358" s="2" t="s">
        <v>1996</v>
      </c>
      <c r="F358" s="2" t="n">
        <v>25</v>
      </c>
      <c r="G358" s="2" t="n">
        <v>75</v>
      </c>
      <c r="H358" s="2" t="s">
        <v>1689</v>
      </c>
      <c r="I358" s="2" t="n">
        <v>8</v>
      </c>
    </row>
    <row r="359" customFormat="false" ht="15" hidden="false" customHeight="false" outlineLevel="0" collapsed="false">
      <c r="A359" s="2" t="s">
        <v>774</v>
      </c>
      <c r="B359" s="2" t="s">
        <v>458</v>
      </c>
      <c r="C359" s="2" t="n">
        <v>30</v>
      </c>
      <c r="D359" s="2" t="s">
        <v>54</v>
      </c>
      <c r="E359" s="2" t="s">
        <v>1997</v>
      </c>
      <c r="F359" s="2" t="n">
        <v>15</v>
      </c>
      <c r="G359" s="2" t="n">
        <v>45</v>
      </c>
      <c r="H359" s="2" t="s">
        <v>1689</v>
      </c>
      <c r="I359" s="2" t="n">
        <v>9</v>
      </c>
    </row>
    <row r="360" customFormat="false" ht="15" hidden="false" customHeight="false" outlineLevel="0" collapsed="false">
      <c r="A360" s="2" t="s">
        <v>774</v>
      </c>
      <c r="B360" s="2" t="s">
        <v>67</v>
      </c>
      <c r="C360" s="2" t="n">
        <v>100</v>
      </c>
      <c r="D360" s="2" t="s">
        <v>54</v>
      </c>
      <c r="E360" s="2" t="s">
        <v>1998</v>
      </c>
      <c r="F360" s="2" t="n">
        <v>50</v>
      </c>
      <c r="G360" s="2" t="n">
        <v>150</v>
      </c>
      <c r="H360" s="2" t="s">
        <v>1693</v>
      </c>
      <c r="I360" s="2" t="n">
        <v>10</v>
      </c>
    </row>
    <row r="361" customFormat="false" ht="15" hidden="false" customHeight="false" outlineLevel="0" collapsed="false">
      <c r="A361" s="2" t="s">
        <v>774</v>
      </c>
      <c r="B361" s="2" t="s">
        <v>367</v>
      </c>
      <c r="C361" s="2" t="n">
        <v>15</v>
      </c>
      <c r="D361" s="2" t="s">
        <v>76</v>
      </c>
      <c r="E361" s="2" t="s">
        <v>1999</v>
      </c>
      <c r="F361" s="2" t="n">
        <v>14</v>
      </c>
      <c r="G361" s="2" t="n">
        <v>16</v>
      </c>
      <c r="H361" s="2" t="s">
        <v>1689</v>
      </c>
      <c r="I361" s="2" t="n">
        <v>11</v>
      </c>
    </row>
    <row r="362" customFormat="false" ht="15" hidden="false" customHeight="false" outlineLevel="0" collapsed="false">
      <c r="A362" s="2" t="s">
        <v>774</v>
      </c>
      <c r="B362" s="2" t="s">
        <v>129</v>
      </c>
      <c r="C362" s="2" t="n">
        <v>10</v>
      </c>
      <c r="D362" s="2" t="s">
        <v>54</v>
      </c>
      <c r="E362" s="2" t="s">
        <v>2000</v>
      </c>
      <c r="F362" s="2" t="n">
        <v>5</v>
      </c>
      <c r="G362" s="2" t="n">
        <v>15</v>
      </c>
      <c r="H362" s="2" t="s">
        <v>1700</v>
      </c>
      <c r="I362" s="2" t="n">
        <v>12</v>
      </c>
    </row>
    <row r="363" customFormat="false" ht="15" hidden="false" customHeight="false" outlineLevel="0" collapsed="false">
      <c r="A363" s="2" t="s">
        <v>774</v>
      </c>
      <c r="B363" s="2" t="s">
        <v>301</v>
      </c>
      <c r="C363" s="2" t="n">
        <v>5</v>
      </c>
      <c r="D363" s="2" t="s">
        <v>54</v>
      </c>
      <c r="E363" s="2" t="s">
        <v>2001</v>
      </c>
      <c r="F363" s="2" t="n">
        <v>2.5</v>
      </c>
      <c r="G363" s="2" t="n">
        <v>7.5</v>
      </c>
      <c r="H363" s="2" t="s">
        <v>1689</v>
      </c>
      <c r="I363" s="2" t="n">
        <v>13</v>
      </c>
    </row>
    <row r="364" customFormat="false" ht="15" hidden="false" customHeight="false" outlineLevel="0" collapsed="false">
      <c r="A364" s="2" t="s">
        <v>774</v>
      </c>
      <c r="B364" s="2" t="s">
        <v>312</v>
      </c>
      <c r="C364" s="2" t="n">
        <v>1</v>
      </c>
      <c r="D364" s="2" t="s">
        <v>1687</v>
      </c>
      <c r="E364" s="2" t="s">
        <v>2002</v>
      </c>
      <c r="F364" s="2"/>
      <c r="G364" s="2" t="n">
        <v>2</v>
      </c>
      <c r="H364" s="2" t="s">
        <v>1689</v>
      </c>
      <c r="I364" s="2" t="n">
        <v>14</v>
      </c>
    </row>
    <row r="365" customFormat="false" ht="15" hidden="false" customHeight="false" outlineLevel="0" collapsed="false">
      <c r="A365" s="2" t="s">
        <v>774</v>
      </c>
      <c r="B365" s="2" t="s">
        <v>442</v>
      </c>
      <c r="C365" s="2" t="n">
        <v>20</v>
      </c>
      <c r="D365" s="2" t="s">
        <v>54</v>
      </c>
      <c r="E365" s="2" t="s">
        <v>2003</v>
      </c>
      <c r="F365" s="2" t="n">
        <v>10</v>
      </c>
      <c r="G365" s="2" t="n">
        <v>30</v>
      </c>
      <c r="H365" s="2" t="s">
        <v>1689</v>
      </c>
      <c r="I365" s="2" t="n">
        <v>15</v>
      </c>
    </row>
    <row r="366" customFormat="false" ht="15" hidden="false" customHeight="false" outlineLevel="0" collapsed="false">
      <c r="A366" s="2" t="s">
        <v>774</v>
      </c>
      <c r="B366" s="2" t="s">
        <v>480</v>
      </c>
      <c r="C366" s="2" t="n">
        <v>1</v>
      </c>
      <c r="D366" s="2" t="s">
        <v>54</v>
      </c>
      <c r="E366" s="2" t="s">
        <v>1858</v>
      </c>
      <c r="F366" s="2" t="n">
        <v>0.5</v>
      </c>
      <c r="G366" s="2" t="n">
        <v>1.5</v>
      </c>
      <c r="H366" s="2" t="s">
        <v>1689</v>
      </c>
      <c r="I366" s="2" t="n">
        <v>16</v>
      </c>
    </row>
    <row r="367" customFormat="false" ht="15" hidden="false" customHeight="false" outlineLevel="0" collapsed="false">
      <c r="A367" s="2" t="s">
        <v>777</v>
      </c>
      <c r="B367" s="2" t="s">
        <v>221</v>
      </c>
      <c r="C367" s="2" t="n">
        <v>120</v>
      </c>
      <c r="D367" s="2" t="s">
        <v>54</v>
      </c>
      <c r="E367" s="2" t="s">
        <v>2004</v>
      </c>
      <c r="F367" s="2" t="n">
        <v>60</v>
      </c>
      <c r="G367" s="2" t="n">
        <v>180</v>
      </c>
      <c r="H367" s="2" t="s">
        <v>1693</v>
      </c>
      <c r="I367" s="2" t="n">
        <v>1</v>
      </c>
    </row>
    <row r="368" customFormat="false" ht="15" hidden="false" customHeight="false" outlineLevel="0" collapsed="false">
      <c r="A368" s="2" t="s">
        <v>777</v>
      </c>
      <c r="B368" s="2" t="s">
        <v>110</v>
      </c>
      <c r="C368" s="2" t="n">
        <v>1</v>
      </c>
      <c r="D368" s="2" t="s">
        <v>1687</v>
      </c>
      <c r="E368" s="2" t="s">
        <v>1853</v>
      </c>
      <c r="F368" s="2"/>
      <c r="G368" s="2" t="n">
        <v>2</v>
      </c>
      <c r="H368" s="2" t="s">
        <v>1693</v>
      </c>
      <c r="I368" s="2" t="n">
        <v>2</v>
      </c>
    </row>
    <row r="369" customFormat="false" ht="15" hidden="false" customHeight="false" outlineLevel="0" collapsed="false">
      <c r="A369" s="2" t="s">
        <v>777</v>
      </c>
      <c r="B369" s="2" t="s">
        <v>81</v>
      </c>
      <c r="C369" s="2" t="n">
        <v>40</v>
      </c>
      <c r="D369" s="2" t="s">
        <v>54</v>
      </c>
      <c r="E369" s="2" t="s">
        <v>2005</v>
      </c>
      <c r="F369" s="2" t="n">
        <v>20</v>
      </c>
      <c r="G369" s="2" t="n">
        <v>60</v>
      </c>
      <c r="H369" s="2" t="s">
        <v>1689</v>
      </c>
      <c r="I369" s="2" t="n">
        <v>3</v>
      </c>
    </row>
    <row r="370" customFormat="false" ht="15" hidden="false" customHeight="false" outlineLevel="0" collapsed="false">
      <c r="A370" s="2" t="s">
        <v>777</v>
      </c>
      <c r="B370" s="2" t="s">
        <v>74</v>
      </c>
      <c r="C370" s="2" t="n">
        <v>15</v>
      </c>
      <c r="D370" s="2" t="s">
        <v>76</v>
      </c>
      <c r="E370" s="2" t="s">
        <v>2006</v>
      </c>
      <c r="F370" s="2" t="n">
        <v>7.5</v>
      </c>
      <c r="G370" s="2" t="n">
        <v>22.5</v>
      </c>
      <c r="H370" s="2" t="s">
        <v>1689</v>
      </c>
      <c r="I370" s="2" t="n">
        <v>4</v>
      </c>
    </row>
    <row r="371" customFormat="false" ht="15" hidden="false" customHeight="false" outlineLevel="0" collapsed="false">
      <c r="A371" s="2" t="s">
        <v>777</v>
      </c>
      <c r="B371" s="2" t="s">
        <v>91</v>
      </c>
      <c r="C371" s="2" t="n">
        <v>14</v>
      </c>
      <c r="D371" s="2" t="s">
        <v>54</v>
      </c>
      <c r="E371" s="2" t="s">
        <v>1741</v>
      </c>
      <c r="F371" s="2" t="n">
        <v>7</v>
      </c>
      <c r="G371" s="2" t="n">
        <v>21</v>
      </c>
      <c r="H371" s="2" t="s">
        <v>1689</v>
      </c>
      <c r="I371" s="2" t="n">
        <v>5</v>
      </c>
    </row>
    <row r="372" customFormat="false" ht="15" hidden="false" customHeight="false" outlineLevel="0" collapsed="false">
      <c r="A372" s="2" t="s">
        <v>777</v>
      </c>
      <c r="B372" s="2" t="s">
        <v>262</v>
      </c>
      <c r="C372" s="2" t="n">
        <v>2</v>
      </c>
      <c r="D372" s="2" t="s">
        <v>54</v>
      </c>
      <c r="E372" s="2" t="s">
        <v>2007</v>
      </c>
      <c r="F372" s="2" t="n">
        <v>1</v>
      </c>
      <c r="G372" s="2" t="n">
        <v>3</v>
      </c>
      <c r="H372" s="2" t="s">
        <v>1689</v>
      </c>
      <c r="I372" s="2" t="n">
        <v>6</v>
      </c>
    </row>
    <row r="373" customFormat="false" ht="15" hidden="false" customHeight="false" outlineLevel="0" collapsed="false">
      <c r="A373" s="2" t="s">
        <v>777</v>
      </c>
      <c r="B373" s="2" t="s">
        <v>129</v>
      </c>
      <c r="C373" s="2" t="n">
        <v>9</v>
      </c>
      <c r="D373" s="2" t="s">
        <v>54</v>
      </c>
      <c r="E373" s="2" t="s">
        <v>2008</v>
      </c>
      <c r="F373" s="2" t="n">
        <v>4.5</v>
      </c>
      <c r="G373" s="2" t="n">
        <v>13.5</v>
      </c>
      <c r="H373" s="2" t="s">
        <v>1700</v>
      </c>
      <c r="I373" s="2" t="n">
        <v>7</v>
      </c>
    </row>
    <row r="374" customFormat="false" ht="15" hidden="false" customHeight="false" outlineLevel="0" collapsed="false">
      <c r="A374" s="2" t="s">
        <v>777</v>
      </c>
      <c r="B374" s="2" t="s">
        <v>394</v>
      </c>
      <c r="C374" s="2" t="n">
        <v>60</v>
      </c>
      <c r="D374" s="2" t="s">
        <v>54</v>
      </c>
      <c r="E374" s="2" t="s">
        <v>2009</v>
      </c>
      <c r="F374" s="2" t="n">
        <v>30</v>
      </c>
      <c r="G374" s="2" t="n">
        <v>90</v>
      </c>
      <c r="H374" s="2" t="s">
        <v>1689</v>
      </c>
      <c r="I374" s="2" t="n">
        <v>8</v>
      </c>
    </row>
    <row r="375" customFormat="false" ht="15" hidden="false" customHeight="false" outlineLevel="0" collapsed="false">
      <c r="A375" s="2" t="s">
        <v>777</v>
      </c>
      <c r="B375" s="2" t="s">
        <v>219</v>
      </c>
      <c r="C375" s="2" t="n">
        <v>50</v>
      </c>
      <c r="D375" s="2" t="s">
        <v>54</v>
      </c>
      <c r="E375" s="2" t="s">
        <v>2010</v>
      </c>
      <c r="F375" s="2" t="n">
        <v>25</v>
      </c>
      <c r="G375" s="2" t="n">
        <v>75</v>
      </c>
      <c r="H375" s="2" t="s">
        <v>1689</v>
      </c>
      <c r="I375" s="2" t="n">
        <v>9</v>
      </c>
    </row>
    <row r="376" customFormat="false" ht="15" hidden="false" customHeight="false" outlineLevel="0" collapsed="false">
      <c r="A376" s="2" t="s">
        <v>777</v>
      </c>
      <c r="B376" s="2" t="s">
        <v>170</v>
      </c>
      <c r="C376" s="2" t="n">
        <v>15</v>
      </c>
      <c r="D376" s="2" t="s">
        <v>76</v>
      </c>
      <c r="E376" s="2" t="s">
        <v>2011</v>
      </c>
      <c r="F376" s="2" t="n">
        <v>7.5</v>
      </c>
      <c r="G376" s="2" t="n">
        <v>22.5</v>
      </c>
      <c r="H376" s="2" t="s">
        <v>1689</v>
      </c>
      <c r="I376" s="2" t="n">
        <v>10</v>
      </c>
    </row>
    <row r="377" customFormat="false" ht="15" hidden="false" customHeight="false" outlineLevel="0" collapsed="false">
      <c r="A377" s="2" t="s">
        <v>777</v>
      </c>
      <c r="B377" s="2" t="s">
        <v>514</v>
      </c>
      <c r="C377" s="2" t="n">
        <v>150</v>
      </c>
      <c r="D377" s="2" t="s">
        <v>54</v>
      </c>
      <c r="E377" s="2" t="s">
        <v>2012</v>
      </c>
      <c r="F377" s="2" t="n">
        <v>75</v>
      </c>
      <c r="G377" s="2" t="n">
        <v>225</v>
      </c>
      <c r="H377" s="2" t="s">
        <v>1689</v>
      </c>
      <c r="I377" s="2" t="n">
        <v>11</v>
      </c>
    </row>
    <row r="378" customFormat="false" ht="15" hidden="false" customHeight="false" outlineLevel="0" collapsed="false">
      <c r="A378" s="2" t="s">
        <v>777</v>
      </c>
      <c r="B378" s="2" t="s">
        <v>271</v>
      </c>
      <c r="C378" s="2" t="n">
        <v>2</v>
      </c>
      <c r="D378" s="2" t="s">
        <v>54</v>
      </c>
      <c r="E378" s="2" t="s">
        <v>2013</v>
      </c>
      <c r="F378" s="2" t="n">
        <v>1</v>
      </c>
      <c r="G378" s="2" t="n">
        <v>3</v>
      </c>
      <c r="H378" s="2" t="s">
        <v>1689</v>
      </c>
      <c r="I378" s="2" t="n">
        <v>12</v>
      </c>
    </row>
    <row r="379" customFormat="false" ht="15" hidden="false" customHeight="false" outlineLevel="0" collapsed="false">
      <c r="A379" s="2" t="s">
        <v>780</v>
      </c>
      <c r="B379" s="2" t="s">
        <v>476</v>
      </c>
      <c r="C379" s="2" t="n">
        <v>150</v>
      </c>
      <c r="D379" s="2" t="s">
        <v>54</v>
      </c>
      <c r="E379" s="2" t="s">
        <v>2014</v>
      </c>
      <c r="F379" s="2" t="n">
        <v>75</v>
      </c>
      <c r="G379" s="2" t="n">
        <v>225</v>
      </c>
      <c r="H379" s="2" t="s">
        <v>1693</v>
      </c>
      <c r="I379" s="2" t="n">
        <v>1</v>
      </c>
    </row>
    <row r="380" customFormat="false" ht="15" hidden="false" customHeight="false" outlineLevel="0" collapsed="false">
      <c r="A380" s="2" t="s">
        <v>780</v>
      </c>
      <c r="B380" s="2" t="s">
        <v>253</v>
      </c>
      <c r="C380" s="2" t="n">
        <v>50</v>
      </c>
      <c r="D380" s="2" t="s">
        <v>54</v>
      </c>
      <c r="E380" s="2" t="s">
        <v>2015</v>
      </c>
      <c r="F380" s="2" t="n">
        <v>25</v>
      </c>
      <c r="G380" s="2" t="n">
        <v>75</v>
      </c>
      <c r="H380" s="2" t="s">
        <v>1689</v>
      </c>
      <c r="I380" s="2" t="n">
        <v>2</v>
      </c>
    </row>
    <row r="381" customFormat="false" ht="15" hidden="false" customHeight="false" outlineLevel="0" collapsed="false">
      <c r="A381" s="2" t="s">
        <v>780</v>
      </c>
      <c r="B381" s="2" t="s">
        <v>470</v>
      </c>
      <c r="C381" s="2" t="n">
        <v>20</v>
      </c>
      <c r="D381" s="2" t="s">
        <v>54</v>
      </c>
      <c r="E381" s="2" t="s">
        <v>1860</v>
      </c>
      <c r="F381" s="2" t="n">
        <v>10</v>
      </c>
      <c r="G381" s="2" t="n">
        <v>30</v>
      </c>
      <c r="H381" s="2" t="s">
        <v>1693</v>
      </c>
      <c r="I381" s="2" t="n">
        <v>3</v>
      </c>
    </row>
    <row r="382" customFormat="false" ht="15" hidden="false" customHeight="false" outlineLevel="0" collapsed="false">
      <c r="A382" s="2" t="s">
        <v>780</v>
      </c>
      <c r="B382" s="2" t="s">
        <v>59</v>
      </c>
      <c r="C382" s="2" t="n">
        <v>40</v>
      </c>
      <c r="D382" s="2" t="s">
        <v>54</v>
      </c>
      <c r="E382" s="2" t="s">
        <v>1799</v>
      </c>
      <c r="F382" s="2" t="n">
        <v>20</v>
      </c>
      <c r="G382" s="2" t="n">
        <v>60</v>
      </c>
      <c r="H382" s="2" t="s">
        <v>1689</v>
      </c>
      <c r="I382" s="2" t="n">
        <v>4</v>
      </c>
    </row>
    <row r="383" customFormat="false" ht="15" hidden="false" customHeight="false" outlineLevel="0" collapsed="false">
      <c r="A383" s="2" t="s">
        <v>780</v>
      </c>
      <c r="B383" s="2" t="s">
        <v>301</v>
      </c>
      <c r="C383" s="2" t="n">
        <v>3</v>
      </c>
      <c r="D383" s="2" t="s">
        <v>54</v>
      </c>
      <c r="E383" s="2" t="s">
        <v>2016</v>
      </c>
      <c r="F383" s="2" t="n">
        <v>1.5</v>
      </c>
      <c r="G383" s="2" t="n">
        <v>4.5</v>
      </c>
      <c r="H383" s="2" t="s">
        <v>1689</v>
      </c>
      <c r="I383" s="2" t="n">
        <v>5</v>
      </c>
    </row>
    <row r="384" customFormat="false" ht="15" hidden="false" customHeight="false" outlineLevel="0" collapsed="false">
      <c r="A384" s="2" t="s">
        <v>780</v>
      </c>
      <c r="B384" s="2" t="s">
        <v>375</v>
      </c>
      <c r="C384" s="2" t="n">
        <v>1</v>
      </c>
      <c r="D384" s="2" t="s">
        <v>1687</v>
      </c>
      <c r="E384" s="2" t="s">
        <v>2017</v>
      </c>
      <c r="F384" s="2"/>
      <c r="G384" s="2" t="n">
        <v>2</v>
      </c>
      <c r="H384" s="2" t="s">
        <v>1689</v>
      </c>
      <c r="I384" s="2" t="n">
        <v>6</v>
      </c>
    </row>
    <row r="385" customFormat="false" ht="15" hidden="false" customHeight="false" outlineLevel="0" collapsed="false">
      <c r="A385" s="2" t="s">
        <v>780</v>
      </c>
      <c r="B385" s="2" t="s">
        <v>129</v>
      </c>
      <c r="C385" s="2" t="n">
        <v>4</v>
      </c>
      <c r="D385" s="2" t="s">
        <v>54</v>
      </c>
      <c r="E385" s="2" t="s">
        <v>1725</v>
      </c>
      <c r="F385" s="2" t="n">
        <v>2</v>
      </c>
      <c r="G385" s="2" t="n">
        <v>6</v>
      </c>
      <c r="H385" s="2" t="s">
        <v>1700</v>
      </c>
      <c r="I385" s="2" t="n">
        <v>7</v>
      </c>
    </row>
    <row r="386" customFormat="false" ht="15" hidden="false" customHeight="false" outlineLevel="0" collapsed="false">
      <c r="A386" s="2" t="s">
        <v>780</v>
      </c>
      <c r="B386" s="2" t="s">
        <v>170</v>
      </c>
      <c r="C386" s="2" t="n">
        <v>20</v>
      </c>
      <c r="D386" s="2" t="s">
        <v>76</v>
      </c>
      <c r="E386" s="2" t="s">
        <v>2018</v>
      </c>
      <c r="F386" s="2" t="n">
        <v>10</v>
      </c>
      <c r="G386" s="2" t="n">
        <v>30</v>
      </c>
      <c r="H386" s="2" t="s">
        <v>1689</v>
      </c>
      <c r="I386" s="2" t="n">
        <v>8</v>
      </c>
    </row>
    <row r="387" customFormat="false" ht="15" hidden="false" customHeight="false" outlineLevel="0" collapsed="false">
      <c r="A387" s="2" t="s">
        <v>783</v>
      </c>
      <c r="B387" s="2" t="s">
        <v>221</v>
      </c>
      <c r="C387" s="2" t="n">
        <v>300</v>
      </c>
      <c r="D387" s="2" t="s">
        <v>54</v>
      </c>
      <c r="E387" s="2" t="s">
        <v>2019</v>
      </c>
      <c r="F387" s="2" t="n">
        <v>150</v>
      </c>
      <c r="G387" s="2" t="n">
        <v>450</v>
      </c>
      <c r="H387" s="2" t="s">
        <v>1693</v>
      </c>
      <c r="I387" s="2" t="n">
        <v>1</v>
      </c>
    </row>
    <row r="388" customFormat="false" ht="15" hidden="false" customHeight="false" outlineLevel="0" collapsed="false">
      <c r="A388" s="2" t="s">
        <v>783</v>
      </c>
      <c r="B388" s="2" t="s">
        <v>129</v>
      </c>
      <c r="C388" s="2" t="n">
        <v>14</v>
      </c>
      <c r="D388" s="2" t="s">
        <v>54</v>
      </c>
      <c r="E388" s="2" t="s">
        <v>1985</v>
      </c>
      <c r="F388" s="2" t="n">
        <v>7</v>
      </c>
      <c r="G388" s="2" t="n">
        <v>21</v>
      </c>
      <c r="H388" s="2" t="s">
        <v>1700</v>
      </c>
      <c r="I388" s="2" t="n">
        <v>2</v>
      </c>
    </row>
    <row r="389" customFormat="false" ht="15" hidden="false" customHeight="false" outlineLevel="0" collapsed="false">
      <c r="A389" s="2" t="s">
        <v>783</v>
      </c>
      <c r="B389" s="2" t="s">
        <v>271</v>
      </c>
      <c r="C389" s="2" t="n">
        <v>1</v>
      </c>
      <c r="D389" s="2" t="s">
        <v>54</v>
      </c>
      <c r="E389" s="2" t="s">
        <v>2020</v>
      </c>
      <c r="F389" s="2" t="n">
        <v>0.5</v>
      </c>
      <c r="G389" s="2" t="n">
        <v>1.5</v>
      </c>
      <c r="H389" s="2" t="s">
        <v>1689</v>
      </c>
      <c r="I389" s="2" t="n">
        <v>3</v>
      </c>
    </row>
    <row r="390" customFormat="false" ht="15" hidden="false" customHeight="false" outlineLevel="0" collapsed="false">
      <c r="A390" s="2" t="s">
        <v>783</v>
      </c>
      <c r="B390" s="2" t="s">
        <v>271</v>
      </c>
      <c r="C390" s="2" t="n">
        <v>1</v>
      </c>
      <c r="D390" s="2" t="s">
        <v>54</v>
      </c>
      <c r="E390" s="2" t="s">
        <v>2021</v>
      </c>
      <c r="F390" s="2" t="n">
        <v>0.5</v>
      </c>
      <c r="G390" s="2" t="n">
        <v>1.5</v>
      </c>
      <c r="H390" s="2" t="s">
        <v>1689</v>
      </c>
      <c r="I390" s="2" t="n">
        <v>4</v>
      </c>
    </row>
    <row r="391" customFormat="false" ht="15" hidden="false" customHeight="false" outlineLevel="0" collapsed="false">
      <c r="A391" s="2" t="s">
        <v>783</v>
      </c>
      <c r="B391" s="2" t="s">
        <v>271</v>
      </c>
      <c r="C391" s="2" t="n">
        <v>1</v>
      </c>
      <c r="D391" s="2" t="s">
        <v>54</v>
      </c>
      <c r="E391" s="2" t="s">
        <v>2022</v>
      </c>
      <c r="F391" s="2" t="n">
        <v>0.5</v>
      </c>
      <c r="G391" s="2" t="n">
        <v>1.5</v>
      </c>
      <c r="H391" s="2" t="s">
        <v>1689</v>
      </c>
      <c r="I391" s="2" t="n">
        <v>5</v>
      </c>
    </row>
    <row r="392" customFormat="false" ht="15" hidden="false" customHeight="false" outlineLevel="0" collapsed="false">
      <c r="A392" s="2" t="s">
        <v>783</v>
      </c>
      <c r="B392" s="2" t="s">
        <v>91</v>
      </c>
      <c r="C392" s="2" t="n">
        <v>7</v>
      </c>
      <c r="D392" s="2" t="s">
        <v>54</v>
      </c>
      <c r="E392" s="2" t="s">
        <v>1847</v>
      </c>
      <c r="F392" s="2" t="n">
        <v>3.5</v>
      </c>
      <c r="G392" s="2" t="n">
        <v>10.5</v>
      </c>
      <c r="H392" s="2" t="s">
        <v>1689</v>
      </c>
      <c r="I392" s="2" t="n">
        <v>6</v>
      </c>
    </row>
    <row r="393" customFormat="false" ht="15" hidden="false" customHeight="false" outlineLevel="0" collapsed="false">
      <c r="A393" s="2" t="s">
        <v>783</v>
      </c>
      <c r="B393" s="2" t="s">
        <v>301</v>
      </c>
      <c r="C393" s="2" t="n">
        <v>10</v>
      </c>
      <c r="D393" s="2" t="s">
        <v>54</v>
      </c>
      <c r="E393" s="2" t="s">
        <v>2023</v>
      </c>
      <c r="F393" s="2" t="n">
        <v>5</v>
      </c>
      <c r="G393" s="2" t="n">
        <v>15</v>
      </c>
      <c r="H393" s="2" t="s">
        <v>1689</v>
      </c>
      <c r="I393" s="2" t="n">
        <v>7</v>
      </c>
    </row>
    <row r="394" customFormat="false" ht="15" hidden="false" customHeight="false" outlineLevel="0" collapsed="false">
      <c r="A394" s="2" t="s">
        <v>783</v>
      </c>
      <c r="B394" s="2" t="s">
        <v>367</v>
      </c>
      <c r="C394" s="2" t="n">
        <v>1</v>
      </c>
      <c r="D394" s="2" t="s">
        <v>76</v>
      </c>
      <c r="E394" s="2" t="s">
        <v>2024</v>
      </c>
      <c r="F394" s="2"/>
      <c r="G394" s="2" t="n">
        <v>2</v>
      </c>
      <c r="H394" s="2" t="s">
        <v>1689</v>
      </c>
      <c r="I394" s="2" t="n">
        <v>8</v>
      </c>
    </row>
    <row r="395" customFormat="false" ht="15" hidden="false" customHeight="false" outlineLevel="0" collapsed="false">
      <c r="A395" s="2" t="s">
        <v>783</v>
      </c>
      <c r="B395" s="2" t="s">
        <v>375</v>
      </c>
      <c r="C395" s="2" t="n">
        <v>1</v>
      </c>
      <c r="D395" s="2" t="s">
        <v>1687</v>
      </c>
      <c r="E395" s="2" t="s">
        <v>2025</v>
      </c>
      <c r="F395" s="2"/>
      <c r="G395" s="2" t="n">
        <v>2</v>
      </c>
      <c r="H395" s="2" t="s">
        <v>1689</v>
      </c>
      <c r="I395" s="2" t="n">
        <v>9</v>
      </c>
    </row>
    <row r="396" customFormat="false" ht="15" hidden="false" customHeight="false" outlineLevel="0" collapsed="false">
      <c r="A396" s="2" t="s">
        <v>783</v>
      </c>
      <c r="B396" s="2" t="s">
        <v>394</v>
      </c>
      <c r="C396" s="2" t="n">
        <v>30</v>
      </c>
      <c r="D396" s="2" t="s">
        <v>54</v>
      </c>
      <c r="E396" s="2" t="s">
        <v>2026</v>
      </c>
      <c r="F396" s="2" t="n">
        <v>15</v>
      </c>
      <c r="G396" s="2" t="n">
        <v>45</v>
      </c>
      <c r="H396" s="2" t="s">
        <v>1689</v>
      </c>
      <c r="I396" s="2" t="n">
        <v>10</v>
      </c>
    </row>
    <row r="397" customFormat="false" ht="15" hidden="false" customHeight="false" outlineLevel="0" collapsed="false">
      <c r="A397" s="2" t="s">
        <v>783</v>
      </c>
      <c r="B397" s="2" t="s">
        <v>260</v>
      </c>
      <c r="C397" s="2" t="n">
        <v>150</v>
      </c>
      <c r="D397" s="2" t="s">
        <v>54</v>
      </c>
      <c r="E397" s="2" t="s">
        <v>2027</v>
      </c>
      <c r="F397" s="2" t="n">
        <v>75</v>
      </c>
      <c r="G397" s="2" t="n">
        <v>225</v>
      </c>
      <c r="H397" s="2" t="s">
        <v>1689</v>
      </c>
      <c r="I397" s="2" t="n">
        <v>11</v>
      </c>
    </row>
    <row r="398" customFormat="false" ht="15" hidden="false" customHeight="false" outlineLevel="0" collapsed="false">
      <c r="A398" s="2" t="s">
        <v>783</v>
      </c>
      <c r="B398" s="2" t="s">
        <v>219</v>
      </c>
      <c r="C398" s="2" t="n">
        <v>50</v>
      </c>
      <c r="D398" s="2" t="s">
        <v>54</v>
      </c>
      <c r="E398" s="2" t="s">
        <v>2028</v>
      </c>
      <c r="F398" s="2" t="n">
        <v>25</v>
      </c>
      <c r="G398" s="2" t="n">
        <v>75</v>
      </c>
      <c r="H398" s="2" t="s">
        <v>1689</v>
      </c>
      <c r="I398" s="2" t="n">
        <v>12</v>
      </c>
    </row>
    <row r="399" customFormat="false" ht="15" hidden="false" customHeight="false" outlineLevel="0" collapsed="false">
      <c r="A399" s="2" t="s">
        <v>783</v>
      </c>
      <c r="B399" s="2" t="s">
        <v>446</v>
      </c>
      <c r="C399" s="2" t="n">
        <v>360</v>
      </c>
      <c r="D399" s="2" t="s">
        <v>54</v>
      </c>
      <c r="E399" s="2" t="s">
        <v>2029</v>
      </c>
      <c r="F399" s="2" t="n">
        <v>180</v>
      </c>
      <c r="G399" s="2" t="n">
        <v>540</v>
      </c>
      <c r="H399" s="2" t="s">
        <v>1689</v>
      </c>
      <c r="I399" s="2" t="n">
        <v>13</v>
      </c>
    </row>
    <row r="400" customFormat="false" ht="15" hidden="false" customHeight="false" outlineLevel="0" collapsed="false">
      <c r="A400" s="2" t="s">
        <v>786</v>
      </c>
      <c r="B400" s="2" t="s">
        <v>355</v>
      </c>
      <c r="C400" s="2" t="n">
        <v>500</v>
      </c>
      <c r="D400" s="2" t="s">
        <v>54</v>
      </c>
      <c r="E400" s="2" t="s">
        <v>2030</v>
      </c>
      <c r="F400" s="2" t="n">
        <v>250</v>
      </c>
      <c r="G400" s="2" t="n">
        <v>750</v>
      </c>
      <c r="H400" s="2" t="s">
        <v>1693</v>
      </c>
      <c r="I400" s="2" t="n">
        <v>1</v>
      </c>
    </row>
    <row r="401" customFormat="false" ht="15" hidden="false" customHeight="false" outlineLevel="0" collapsed="false">
      <c r="A401" s="2" t="s">
        <v>786</v>
      </c>
      <c r="B401" s="2" t="s">
        <v>496</v>
      </c>
      <c r="C401" s="2" t="n">
        <v>32</v>
      </c>
      <c r="D401" s="2" t="s">
        <v>76</v>
      </c>
      <c r="E401" s="2" t="s">
        <v>2031</v>
      </c>
      <c r="F401" s="2" t="n">
        <v>16</v>
      </c>
      <c r="G401" s="2" t="n">
        <v>48</v>
      </c>
      <c r="H401" s="2" t="s">
        <v>1693</v>
      </c>
      <c r="I401" s="2" t="n">
        <v>2</v>
      </c>
    </row>
    <row r="402" customFormat="false" ht="15" hidden="false" customHeight="false" outlineLevel="0" collapsed="false">
      <c r="A402" s="2" t="s">
        <v>786</v>
      </c>
      <c r="B402" s="2" t="s">
        <v>486</v>
      </c>
      <c r="C402" s="2" t="n">
        <v>14</v>
      </c>
      <c r="D402" s="2" t="s">
        <v>54</v>
      </c>
      <c r="E402" s="2" t="s">
        <v>2032</v>
      </c>
      <c r="F402" s="2" t="n">
        <v>7</v>
      </c>
      <c r="G402" s="2" t="n">
        <v>21</v>
      </c>
      <c r="H402" s="2" t="s">
        <v>1700</v>
      </c>
      <c r="I402" s="2" t="n">
        <v>3</v>
      </c>
    </row>
    <row r="403" customFormat="false" ht="15" hidden="false" customHeight="false" outlineLevel="0" collapsed="false">
      <c r="A403" s="2" t="s">
        <v>786</v>
      </c>
      <c r="B403" s="2" t="s">
        <v>466</v>
      </c>
      <c r="C403" s="2" t="n">
        <v>15</v>
      </c>
      <c r="D403" s="2" t="s">
        <v>76</v>
      </c>
      <c r="E403" s="2" t="s">
        <v>2033</v>
      </c>
      <c r="F403" s="2" t="n">
        <v>7.5</v>
      </c>
      <c r="G403" s="2" t="n">
        <v>22.5</v>
      </c>
      <c r="H403" s="2" t="s">
        <v>1689</v>
      </c>
      <c r="I403" s="2" t="n">
        <v>4</v>
      </c>
    </row>
    <row r="404" customFormat="false" ht="15" hidden="false" customHeight="false" outlineLevel="0" collapsed="false">
      <c r="A404" s="2" t="s">
        <v>786</v>
      </c>
      <c r="B404" s="2" t="s">
        <v>312</v>
      </c>
      <c r="C404" s="2" t="n">
        <v>2</v>
      </c>
      <c r="D404" s="2" t="s">
        <v>1687</v>
      </c>
      <c r="E404" s="2" t="s">
        <v>2034</v>
      </c>
      <c r="F404" s="2" t="n">
        <v>1</v>
      </c>
      <c r="G404" s="2" t="n">
        <v>3</v>
      </c>
      <c r="H404" s="2" t="s">
        <v>1689</v>
      </c>
      <c r="I404" s="2" t="n">
        <v>5</v>
      </c>
    </row>
    <row r="405" customFormat="false" ht="15" hidden="false" customHeight="false" outlineLevel="0" collapsed="false">
      <c r="A405" s="2" t="s">
        <v>786</v>
      </c>
      <c r="B405" s="2" t="s">
        <v>299</v>
      </c>
      <c r="C405" s="2" t="n">
        <v>3</v>
      </c>
      <c r="D405" s="2" t="s">
        <v>54</v>
      </c>
      <c r="E405" s="2" t="s">
        <v>1926</v>
      </c>
      <c r="F405" s="2" t="n">
        <v>2</v>
      </c>
      <c r="G405" s="2" t="n">
        <v>4</v>
      </c>
      <c r="H405" s="2" t="s">
        <v>1689</v>
      </c>
      <c r="I405" s="2" t="n">
        <v>6</v>
      </c>
    </row>
    <row r="406" customFormat="false" ht="15" hidden="false" customHeight="false" outlineLevel="0" collapsed="false">
      <c r="A406" s="2" t="s">
        <v>786</v>
      </c>
      <c r="B406" s="2" t="s">
        <v>91</v>
      </c>
      <c r="C406" s="2" t="n">
        <v>21</v>
      </c>
      <c r="D406" s="2" t="s">
        <v>54</v>
      </c>
      <c r="E406" s="2" t="s">
        <v>1788</v>
      </c>
      <c r="F406" s="2" t="n">
        <v>10.5</v>
      </c>
      <c r="G406" s="2" t="n">
        <v>31.5</v>
      </c>
      <c r="H406" s="2" t="s">
        <v>1689</v>
      </c>
      <c r="I406" s="2" t="n">
        <v>7</v>
      </c>
    </row>
    <row r="407" customFormat="false" ht="15" hidden="false" customHeight="false" outlineLevel="0" collapsed="false">
      <c r="A407" s="2" t="s">
        <v>786</v>
      </c>
      <c r="B407" s="2" t="s">
        <v>329</v>
      </c>
      <c r="C407" s="2" t="n">
        <v>18</v>
      </c>
      <c r="D407" s="2" t="s">
        <v>54</v>
      </c>
      <c r="E407" s="2" t="s">
        <v>2035</v>
      </c>
      <c r="F407" s="2" t="n">
        <v>9</v>
      </c>
      <c r="G407" s="2" t="n">
        <v>27</v>
      </c>
      <c r="H407" s="2" t="s">
        <v>1689</v>
      </c>
      <c r="I407" s="2" t="n">
        <v>8</v>
      </c>
    </row>
    <row r="408" customFormat="false" ht="15" hidden="false" customHeight="false" outlineLevel="0" collapsed="false">
      <c r="A408" s="2" t="s">
        <v>786</v>
      </c>
      <c r="B408" s="2" t="s">
        <v>249</v>
      </c>
      <c r="C408" s="2" t="n">
        <v>8</v>
      </c>
      <c r="D408" s="2" t="s">
        <v>54</v>
      </c>
      <c r="E408" s="2" t="s">
        <v>2036</v>
      </c>
      <c r="F408" s="2" t="n">
        <v>4</v>
      </c>
      <c r="G408" s="2" t="n">
        <v>12</v>
      </c>
      <c r="H408" s="2" t="s">
        <v>1689</v>
      </c>
      <c r="I408" s="2" t="n">
        <v>9</v>
      </c>
    </row>
    <row r="409" customFormat="false" ht="15" hidden="false" customHeight="false" outlineLevel="0" collapsed="false">
      <c r="A409" s="2" t="s">
        <v>786</v>
      </c>
      <c r="B409" s="2" t="s">
        <v>129</v>
      </c>
      <c r="C409" s="2" t="n">
        <v>14</v>
      </c>
      <c r="D409" s="2" t="s">
        <v>54</v>
      </c>
      <c r="E409" s="2" t="s">
        <v>2037</v>
      </c>
      <c r="F409" s="2" t="n">
        <v>7</v>
      </c>
      <c r="G409" s="2" t="n">
        <v>21</v>
      </c>
      <c r="H409" s="2" t="s">
        <v>1700</v>
      </c>
      <c r="I409" s="2" t="n">
        <v>10</v>
      </c>
    </row>
    <row r="410" customFormat="false" ht="15" hidden="false" customHeight="false" outlineLevel="0" collapsed="false">
      <c r="A410" s="2" t="s">
        <v>786</v>
      </c>
      <c r="B410" s="2" t="s">
        <v>409</v>
      </c>
      <c r="C410" s="2" t="n">
        <v>150</v>
      </c>
      <c r="D410" s="2" t="s">
        <v>54</v>
      </c>
      <c r="E410" s="2" t="s">
        <v>2038</v>
      </c>
      <c r="F410" s="2" t="n">
        <v>75</v>
      </c>
      <c r="G410" s="2" t="n">
        <v>225</v>
      </c>
      <c r="H410" s="2" t="s">
        <v>1689</v>
      </c>
      <c r="I410" s="2" t="n">
        <v>11</v>
      </c>
    </row>
    <row r="411" customFormat="false" ht="15" hidden="false" customHeight="false" outlineLevel="0" collapsed="false">
      <c r="A411" s="2" t="s">
        <v>786</v>
      </c>
      <c r="B411" s="2" t="s">
        <v>454</v>
      </c>
      <c r="C411" s="2" t="n">
        <v>150</v>
      </c>
      <c r="D411" s="2" t="s">
        <v>54</v>
      </c>
      <c r="E411" s="2" t="s">
        <v>2039</v>
      </c>
      <c r="F411" s="2" t="n">
        <v>75</v>
      </c>
      <c r="G411" s="2" t="n">
        <v>225</v>
      </c>
      <c r="H411" s="2" t="s">
        <v>1689</v>
      </c>
      <c r="I411" s="2" t="n">
        <v>12</v>
      </c>
    </row>
    <row r="412" customFormat="false" ht="15" hidden="false" customHeight="false" outlineLevel="0" collapsed="false">
      <c r="A412" s="2" t="s">
        <v>786</v>
      </c>
      <c r="B412" s="2" t="s">
        <v>195</v>
      </c>
      <c r="C412" s="2" t="n">
        <v>90</v>
      </c>
      <c r="D412" s="2" t="s">
        <v>54</v>
      </c>
      <c r="E412" s="2" t="s">
        <v>2040</v>
      </c>
      <c r="F412" s="2" t="n">
        <v>45</v>
      </c>
      <c r="G412" s="2" t="n">
        <v>135</v>
      </c>
      <c r="H412" s="2" t="s">
        <v>1693</v>
      </c>
      <c r="I412" s="2" t="n">
        <v>13</v>
      </c>
    </row>
    <row r="413" customFormat="false" ht="15" hidden="false" customHeight="false" outlineLevel="0" collapsed="false">
      <c r="A413" s="2" t="s">
        <v>786</v>
      </c>
      <c r="B413" s="2" t="s">
        <v>177</v>
      </c>
      <c r="C413" s="2" t="n">
        <v>265</v>
      </c>
      <c r="D413" s="2" t="s">
        <v>54</v>
      </c>
      <c r="E413" s="2" t="s">
        <v>2041</v>
      </c>
      <c r="F413" s="2" t="n">
        <v>132.5</v>
      </c>
      <c r="G413" s="2" t="n">
        <v>397.5</v>
      </c>
      <c r="H413" s="2" t="s">
        <v>1689</v>
      </c>
      <c r="I413" s="2" t="n">
        <v>14</v>
      </c>
    </row>
    <row r="414" customFormat="false" ht="15" hidden="false" customHeight="false" outlineLevel="0" collapsed="false">
      <c r="A414" s="2" t="s">
        <v>786</v>
      </c>
      <c r="B414" s="2" t="s">
        <v>488</v>
      </c>
      <c r="C414" s="2" t="n">
        <v>9</v>
      </c>
      <c r="D414" s="2" t="s">
        <v>54</v>
      </c>
      <c r="E414" s="2" t="s">
        <v>2042</v>
      </c>
      <c r="F414" s="2" t="n">
        <v>4.5</v>
      </c>
      <c r="G414" s="2" t="n">
        <v>13.5</v>
      </c>
      <c r="H414" s="2" t="s">
        <v>1700</v>
      </c>
      <c r="I414" s="2" t="n">
        <v>15</v>
      </c>
    </row>
    <row r="415" customFormat="false" ht="15" hidden="false" customHeight="false" outlineLevel="0" collapsed="false">
      <c r="A415" s="2" t="s">
        <v>786</v>
      </c>
      <c r="B415" s="2" t="s">
        <v>500</v>
      </c>
      <c r="C415" s="2" t="n">
        <v>2</v>
      </c>
      <c r="D415" s="2" t="s">
        <v>1687</v>
      </c>
      <c r="E415" s="2" t="s">
        <v>2043</v>
      </c>
      <c r="F415" s="2" t="n">
        <v>1</v>
      </c>
      <c r="G415" s="2" t="n">
        <v>3</v>
      </c>
      <c r="H415" s="2" t="s">
        <v>1689</v>
      </c>
      <c r="I415" s="2" t="n">
        <v>16</v>
      </c>
    </row>
    <row r="416" customFormat="false" ht="15" hidden="false" customHeight="false" outlineLevel="0" collapsed="false">
      <c r="A416" s="2" t="s">
        <v>786</v>
      </c>
      <c r="B416" s="2" t="s">
        <v>456</v>
      </c>
      <c r="C416" s="2" t="n">
        <v>1.5</v>
      </c>
      <c r="D416" s="2" t="s">
        <v>1687</v>
      </c>
      <c r="E416" s="2" t="s">
        <v>2044</v>
      </c>
      <c r="F416" s="2" t="n">
        <v>0.5</v>
      </c>
      <c r="G416" s="2" t="n">
        <v>2.5</v>
      </c>
      <c r="H416" s="2" t="s">
        <v>1689</v>
      </c>
      <c r="I416" s="2" t="n">
        <v>17</v>
      </c>
    </row>
    <row r="417" customFormat="false" ht="15" hidden="false" customHeight="false" outlineLevel="0" collapsed="false">
      <c r="A417" s="2" t="s">
        <v>789</v>
      </c>
      <c r="B417" s="2" t="s">
        <v>221</v>
      </c>
      <c r="C417" s="2" t="n">
        <v>500</v>
      </c>
      <c r="D417" s="2" t="s">
        <v>54</v>
      </c>
      <c r="E417" s="2" t="s">
        <v>2045</v>
      </c>
      <c r="F417" s="2" t="n">
        <v>250</v>
      </c>
      <c r="G417" s="2" t="n">
        <v>750</v>
      </c>
      <c r="H417" s="2" t="s">
        <v>1693</v>
      </c>
      <c r="I417" s="2" t="n">
        <v>1</v>
      </c>
    </row>
    <row r="418" customFormat="false" ht="15" hidden="false" customHeight="false" outlineLevel="0" collapsed="false">
      <c r="A418" s="2" t="s">
        <v>789</v>
      </c>
      <c r="B418" s="2" t="s">
        <v>409</v>
      </c>
      <c r="C418" s="2" t="n">
        <v>150</v>
      </c>
      <c r="D418" s="2" t="s">
        <v>54</v>
      </c>
      <c r="E418" s="2" t="s">
        <v>2046</v>
      </c>
      <c r="F418" s="2" t="n">
        <v>75</v>
      </c>
      <c r="G418" s="2" t="n">
        <v>225</v>
      </c>
      <c r="H418" s="2" t="s">
        <v>1689</v>
      </c>
      <c r="I418" s="2" t="n">
        <v>2</v>
      </c>
    </row>
    <row r="419" customFormat="false" ht="15" hidden="false" customHeight="false" outlineLevel="0" collapsed="false">
      <c r="A419" s="2" t="s">
        <v>789</v>
      </c>
      <c r="B419" s="2" t="s">
        <v>312</v>
      </c>
      <c r="C419" s="2" t="n">
        <v>3</v>
      </c>
      <c r="D419" s="2" t="s">
        <v>1687</v>
      </c>
      <c r="E419" s="2" t="s">
        <v>2047</v>
      </c>
      <c r="F419" s="2" t="n">
        <v>2</v>
      </c>
      <c r="G419" s="2" t="n">
        <v>4</v>
      </c>
      <c r="H419" s="2" t="s">
        <v>1689</v>
      </c>
      <c r="I419" s="2" t="n">
        <v>3</v>
      </c>
    </row>
    <row r="420" customFormat="false" ht="15" hidden="false" customHeight="false" outlineLevel="0" collapsed="false">
      <c r="A420" s="2" t="s">
        <v>789</v>
      </c>
      <c r="B420" s="2" t="s">
        <v>514</v>
      </c>
      <c r="C420" s="2" t="n">
        <v>180</v>
      </c>
      <c r="D420" s="2" t="s">
        <v>54</v>
      </c>
      <c r="E420" s="2" t="s">
        <v>2048</v>
      </c>
      <c r="F420" s="2" t="n">
        <v>90</v>
      </c>
      <c r="G420" s="2" t="n">
        <v>270</v>
      </c>
      <c r="H420" s="2" t="s">
        <v>1689</v>
      </c>
      <c r="I420" s="2" t="n">
        <v>4</v>
      </c>
    </row>
    <row r="421" customFormat="false" ht="15" hidden="false" customHeight="false" outlineLevel="0" collapsed="false">
      <c r="A421" s="2" t="s">
        <v>789</v>
      </c>
      <c r="B421" s="2" t="s">
        <v>102</v>
      </c>
      <c r="C421" s="2" t="n">
        <v>240</v>
      </c>
      <c r="D421" s="2" t="s">
        <v>54</v>
      </c>
      <c r="E421" s="2" t="s">
        <v>2049</v>
      </c>
      <c r="F421" s="2" t="n">
        <v>120</v>
      </c>
      <c r="G421" s="2" t="n">
        <v>360</v>
      </c>
      <c r="H421" s="2" t="s">
        <v>1689</v>
      </c>
      <c r="I421" s="2" t="n">
        <v>5</v>
      </c>
    </row>
    <row r="422" customFormat="false" ht="15" hidden="false" customHeight="false" outlineLevel="0" collapsed="false">
      <c r="A422" s="2" t="s">
        <v>789</v>
      </c>
      <c r="B422" s="2" t="s">
        <v>310</v>
      </c>
      <c r="C422" s="2" t="n">
        <v>400</v>
      </c>
      <c r="D422" s="2" t="s">
        <v>76</v>
      </c>
      <c r="E422" s="2" t="s">
        <v>2050</v>
      </c>
      <c r="F422" s="2" t="n">
        <v>200</v>
      </c>
      <c r="G422" s="2" t="n">
        <v>600</v>
      </c>
      <c r="H422" s="2" t="s">
        <v>1700</v>
      </c>
      <c r="I422" s="2" t="n">
        <v>6</v>
      </c>
    </row>
    <row r="423" customFormat="false" ht="15" hidden="false" customHeight="false" outlineLevel="0" collapsed="false">
      <c r="A423" s="2" t="s">
        <v>789</v>
      </c>
      <c r="B423" s="2" t="s">
        <v>508</v>
      </c>
      <c r="C423" s="2" t="n">
        <v>1</v>
      </c>
      <c r="D423" s="2" t="s">
        <v>1687</v>
      </c>
      <c r="E423" s="2" t="s">
        <v>2051</v>
      </c>
      <c r="F423" s="2"/>
      <c r="G423" s="2" t="n">
        <v>2</v>
      </c>
      <c r="H423" s="2" t="s">
        <v>1689</v>
      </c>
      <c r="I423" s="2" t="n">
        <v>7</v>
      </c>
    </row>
    <row r="424" customFormat="false" ht="15" hidden="false" customHeight="false" outlineLevel="0" collapsed="false">
      <c r="A424" s="2" t="s">
        <v>789</v>
      </c>
      <c r="B424" s="2" t="s">
        <v>325</v>
      </c>
      <c r="C424" s="2" t="n">
        <v>14</v>
      </c>
      <c r="D424" s="2" t="s">
        <v>54</v>
      </c>
      <c r="E424" s="2" t="s">
        <v>1812</v>
      </c>
      <c r="F424" s="2" t="n">
        <v>7</v>
      </c>
      <c r="G424" s="2" t="n">
        <v>21</v>
      </c>
      <c r="H424" s="2" t="s">
        <v>1700</v>
      </c>
      <c r="I424" s="2" t="n">
        <v>8</v>
      </c>
    </row>
    <row r="425" customFormat="false" ht="15" hidden="false" customHeight="false" outlineLevel="0" collapsed="false">
      <c r="A425" s="2" t="s">
        <v>789</v>
      </c>
      <c r="B425" s="2" t="s">
        <v>262</v>
      </c>
      <c r="C425" s="2" t="n">
        <v>6</v>
      </c>
      <c r="D425" s="2" t="s">
        <v>54</v>
      </c>
      <c r="E425" s="2" t="s">
        <v>2052</v>
      </c>
      <c r="F425" s="2" t="n">
        <v>3</v>
      </c>
      <c r="G425" s="2" t="n">
        <v>9</v>
      </c>
      <c r="H425" s="2" t="s">
        <v>1689</v>
      </c>
      <c r="I425" s="2" t="n">
        <v>9</v>
      </c>
    </row>
    <row r="426" customFormat="false" ht="15" hidden="false" customHeight="false" outlineLevel="0" collapsed="false">
      <c r="A426" s="2" t="s">
        <v>789</v>
      </c>
      <c r="B426" s="2" t="s">
        <v>299</v>
      </c>
      <c r="C426" s="2" t="n">
        <v>3</v>
      </c>
      <c r="D426" s="2" t="s">
        <v>54</v>
      </c>
      <c r="E426" s="2" t="s">
        <v>2053</v>
      </c>
      <c r="F426" s="2" t="n">
        <v>2</v>
      </c>
      <c r="G426" s="2" t="n">
        <v>4</v>
      </c>
      <c r="H426" s="2" t="s">
        <v>1689</v>
      </c>
      <c r="I426" s="2" t="n">
        <v>10</v>
      </c>
    </row>
    <row r="427" customFormat="false" ht="15" hidden="false" customHeight="false" outlineLevel="0" collapsed="false">
      <c r="A427" s="2" t="s">
        <v>789</v>
      </c>
      <c r="B427" s="2" t="s">
        <v>323</v>
      </c>
      <c r="C427" s="2" t="n">
        <v>250</v>
      </c>
      <c r="D427" s="2" t="s">
        <v>54</v>
      </c>
      <c r="E427" s="2" t="s">
        <v>2054</v>
      </c>
      <c r="F427" s="2" t="n">
        <v>125</v>
      </c>
      <c r="G427" s="2" t="n">
        <v>375</v>
      </c>
      <c r="H427" s="2" t="s">
        <v>1689</v>
      </c>
      <c r="I427" s="2" t="n">
        <v>11</v>
      </c>
    </row>
    <row r="428" customFormat="false" ht="15" hidden="false" customHeight="false" outlineLevel="0" collapsed="false">
      <c r="A428" s="2" t="s">
        <v>789</v>
      </c>
      <c r="B428" s="2" t="s">
        <v>271</v>
      </c>
      <c r="C428" s="2" t="n">
        <v>8</v>
      </c>
      <c r="D428" s="2" t="s">
        <v>54</v>
      </c>
      <c r="E428" s="2" t="s">
        <v>2055</v>
      </c>
      <c r="F428" s="2" t="n">
        <v>4</v>
      </c>
      <c r="G428" s="2" t="n">
        <v>12</v>
      </c>
      <c r="H428" s="2" t="s">
        <v>1689</v>
      </c>
      <c r="I428" s="2" t="n">
        <v>12</v>
      </c>
    </row>
    <row r="429" customFormat="false" ht="15" hidden="false" customHeight="false" outlineLevel="0" collapsed="false">
      <c r="A429" s="2" t="s">
        <v>789</v>
      </c>
      <c r="B429" s="2" t="s">
        <v>177</v>
      </c>
      <c r="C429" s="2" t="n">
        <v>300</v>
      </c>
      <c r="D429" s="2" t="s">
        <v>54</v>
      </c>
      <c r="E429" s="2" t="s">
        <v>2056</v>
      </c>
      <c r="F429" s="2" t="n">
        <v>150</v>
      </c>
      <c r="G429" s="2" t="n">
        <v>450</v>
      </c>
      <c r="H429" s="2" t="s">
        <v>1689</v>
      </c>
      <c r="I429" s="2" t="n">
        <v>13</v>
      </c>
    </row>
    <row r="430" customFormat="false" ht="15" hidden="false" customHeight="false" outlineLevel="0" collapsed="false">
      <c r="A430" s="2" t="s">
        <v>792</v>
      </c>
      <c r="B430" s="2" t="s">
        <v>221</v>
      </c>
      <c r="C430" s="2" t="n">
        <v>150</v>
      </c>
      <c r="D430" s="2" t="s">
        <v>54</v>
      </c>
      <c r="E430" s="2" t="s">
        <v>2057</v>
      </c>
      <c r="F430" s="2" t="n">
        <v>75</v>
      </c>
      <c r="G430" s="2" t="n">
        <v>225</v>
      </c>
      <c r="H430" s="2" t="s">
        <v>1693</v>
      </c>
      <c r="I430" s="2" t="n">
        <v>1</v>
      </c>
    </row>
    <row r="431" customFormat="false" ht="15" hidden="false" customHeight="false" outlineLevel="0" collapsed="false">
      <c r="A431" s="2" t="s">
        <v>792</v>
      </c>
      <c r="B431" s="2" t="s">
        <v>424</v>
      </c>
      <c r="C431" s="2" t="n">
        <v>85</v>
      </c>
      <c r="D431" s="2" t="s">
        <v>54</v>
      </c>
      <c r="E431" s="2" t="s">
        <v>2058</v>
      </c>
      <c r="F431" s="2" t="n">
        <v>42.5</v>
      </c>
      <c r="G431" s="2" t="n">
        <v>127.5</v>
      </c>
      <c r="H431" s="2" t="s">
        <v>1689</v>
      </c>
      <c r="I431" s="2" t="n">
        <v>2</v>
      </c>
    </row>
    <row r="432" customFormat="false" ht="15" hidden="false" customHeight="false" outlineLevel="0" collapsed="false">
      <c r="A432" s="2" t="s">
        <v>792</v>
      </c>
      <c r="B432" s="2" t="s">
        <v>409</v>
      </c>
      <c r="C432" s="2" t="n">
        <v>150</v>
      </c>
      <c r="D432" s="2" t="s">
        <v>54</v>
      </c>
      <c r="E432" s="2" t="s">
        <v>2059</v>
      </c>
      <c r="F432" s="2" t="n">
        <v>75</v>
      </c>
      <c r="G432" s="2" t="n">
        <v>225</v>
      </c>
      <c r="H432" s="2" t="s">
        <v>1689</v>
      </c>
      <c r="I432" s="2" t="n">
        <v>3</v>
      </c>
    </row>
    <row r="433" customFormat="false" ht="15" hidden="false" customHeight="false" outlineLevel="0" collapsed="false">
      <c r="A433" s="2" t="s">
        <v>792</v>
      </c>
      <c r="B433" s="2" t="s">
        <v>524</v>
      </c>
      <c r="C433" s="2" t="n">
        <v>240</v>
      </c>
      <c r="D433" s="2" t="s">
        <v>54</v>
      </c>
      <c r="E433" s="2" t="s">
        <v>2060</v>
      </c>
      <c r="F433" s="2" t="n">
        <v>120</v>
      </c>
      <c r="G433" s="2" t="n">
        <v>360</v>
      </c>
      <c r="H433" s="2" t="s">
        <v>1689</v>
      </c>
      <c r="I433" s="2" t="n">
        <v>4</v>
      </c>
    </row>
    <row r="434" customFormat="false" ht="15" hidden="false" customHeight="false" outlineLevel="0" collapsed="false">
      <c r="A434" s="2" t="s">
        <v>792</v>
      </c>
      <c r="B434" s="2" t="s">
        <v>312</v>
      </c>
      <c r="C434" s="2" t="n">
        <v>2</v>
      </c>
      <c r="D434" s="2" t="s">
        <v>1687</v>
      </c>
      <c r="E434" s="2" t="s">
        <v>1982</v>
      </c>
      <c r="F434" s="2" t="n">
        <v>1</v>
      </c>
      <c r="G434" s="2" t="n">
        <v>3</v>
      </c>
      <c r="H434" s="2" t="s">
        <v>1689</v>
      </c>
      <c r="I434" s="2" t="n">
        <v>5</v>
      </c>
    </row>
    <row r="435" customFormat="false" ht="15" hidden="false" customHeight="false" outlineLevel="0" collapsed="false">
      <c r="A435" s="2" t="s">
        <v>792</v>
      </c>
      <c r="B435" s="2" t="s">
        <v>526</v>
      </c>
      <c r="C435" s="2" t="n">
        <v>16</v>
      </c>
      <c r="D435" s="2" t="s">
        <v>54</v>
      </c>
      <c r="E435" s="2" t="s">
        <v>2061</v>
      </c>
      <c r="F435" s="2" t="n">
        <v>8</v>
      </c>
      <c r="G435" s="2" t="n">
        <v>24</v>
      </c>
      <c r="H435" s="2" t="s">
        <v>1689</v>
      </c>
      <c r="I435" s="2" t="n">
        <v>6</v>
      </c>
    </row>
    <row r="436" customFormat="false" ht="15" hidden="false" customHeight="false" outlineLevel="0" collapsed="false">
      <c r="A436" s="2" t="s">
        <v>792</v>
      </c>
      <c r="B436" s="2" t="s">
        <v>129</v>
      </c>
      <c r="C436" s="2" t="n">
        <v>16</v>
      </c>
      <c r="D436" s="2" t="s">
        <v>54</v>
      </c>
      <c r="E436" s="2" t="s">
        <v>2062</v>
      </c>
      <c r="F436" s="2" t="n">
        <v>8</v>
      </c>
      <c r="G436" s="2" t="n">
        <v>24</v>
      </c>
      <c r="H436" s="2" t="s">
        <v>1700</v>
      </c>
      <c r="I436" s="2" t="n">
        <v>7</v>
      </c>
    </row>
    <row r="437" customFormat="false" ht="15" hidden="false" customHeight="false" outlineLevel="0" collapsed="false">
      <c r="A437" s="2" t="s">
        <v>792</v>
      </c>
      <c r="B437" s="2" t="s">
        <v>466</v>
      </c>
      <c r="C437" s="2" t="n">
        <v>5</v>
      </c>
      <c r="D437" s="2" t="s">
        <v>76</v>
      </c>
      <c r="E437" s="2" t="s">
        <v>2063</v>
      </c>
      <c r="F437" s="2" t="n">
        <v>2.5</v>
      </c>
      <c r="G437" s="2" t="n">
        <v>7.5</v>
      </c>
      <c r="H437" s="2" t="s">
        <v>1689</v>
      </c>
      <c r="I437" s="2" t="n">
        <v>8</v>
      </c>
    </row>
    <row r="438" customFormat="false" ht="15" hidden="false" customHeight="false" outlineLevel="0" collapsed="false">
      <c r="A438" s="2" t="s">
        <v>792</v>
      </c>
      <c r="B438" s="2" t="s">
        <v>271</v>
      </c>
      <c r="C438" s="2" t="n">
        <v>1</v>
      </c>
      <c r="D438" s="2" t="s">
        <v>54</v>
      </c>
      <c r="E438" s="2" t="s">
        <v>2064</v>
      </c>
      <c r="F438" s="2" t="n">
        <v>0.5</v>
      </c>
      <c r="G438" s="2" t="n">
        <v>1.5</v>
      </c>
      <c r="H438" s="2" t="s">
        <v>1689</v>
      </c>
      <c r="I438" s="2" t="n">
        <v>9</v>
      </c>
    </row>
    <row r="439" customFormat="false" ht="15" hidden="false" customHeight="false" outlineLevel="0" collapsed="false">
      <c r="A439" s="2" t="s">
        <v>792</v>
      </c>
      <c r="B439" s="2" t="s">
        <v>480</v>
      </c>
      <c r="C439" s="2" t="n">
        <v>1</v>
      </c>
      <c r="D439" s="2" t="s">
        <v>54</v>
      </c>
      <c r="E439" s="2" t="s">
        <v>2065</v>
      </c>
      <c r="F439" s="2" t="n">
        <v>0.5</v>
      </c>
      <c r="G439" s="2" t="n">
        <v>1.5</v>
      </c>
      <c r="H439" s="2" t="s">
        <v>1689</v>
      </c>
      <c r="I439" s="2" t="n">
        <v>10</v>
      </c>
    </row>
    <row r="440" customFormat="false" ht="15" hidden="false" customHeight="false" outlineLevel="0" collapsed="false">
      <c r="A440" s="2" t="s">
        <v>795</v>
      </c>
      <c r="B440" s="2" t="s">
        <v>221</v>
      </c>
      <c r="C440" s="2" t="n">
        <v>150</v>
      </c>
      <c r="D440" s="2" t="s">
        <v>54</v>
      </c>
      <c r="E440" s="2" t="s">
        <v>1770</v>
      </c>
      <c r="F440" s="2" t="n">
        <v>75</v>
      </c>
      <c r="G440" s="2" t="n">
        <v>225</v>
      </c>
      <c r="H440" s="2" t="s">
        <v>1693</v>
      </c>
      <c r="I440" s="2" t="n">
        <v>1</v>
      </c>
    </row>
    <row r="441" customFormat="false" ht="15" hidden="false" customHeight="false" outlineLevel="0" collapsed="false">
      <c r="A441" s="2" t="s">
        <v>795</v>
      </c>
      <c r="B441" s="2" t="s">
        <v>177</v>
      </c>
      <c r="C441" s="2" t="n">
        <v>85</v>
      </c>
      <c r="D441" s="2" t="s">
        <v>54</v>
      </c>
      <c r="E441" s="2" t="s">
        <v>2066</v>
      </c>
      <c r="F441" s="2" t="n">
        <v>42.5</v>
      </c>
      <c r="G441" s="2" t="n">
        <v>127.5</v>
      </c>
      <c r="H441" s="2" t="s">
        <v>1689</v>
      </c>
      <c r="I441" s="2" t="n">
        <v>2</v>
      </c>
    </row>
    <row r="442" customFormat="false" ht="15" hidden="false" customHeight="false" outlineLevel="0" collapsed="false">
      <c r="A442" s="2" t="s">
        <v>795</v>
      </c>
      <c r="B442" s="2" t="s">
        <v>195</v>
      </c>
      <c r="C442" s="2" t="n">
        <v>150</v>
      </c>
      <c r="D442" s="2" t="s">
        <v>54</v>
      </c>
      <c r="E442" s="2" t="s">
        <v>2067</v>
      </c>
      <c r="F442" s="2" t="n">
        <v>75</v>
      </c>
      <c r="G442" s="2" t="n">
        <v>225</v>
      </c>
      <c r="H442" s="2" t="s">
        <v>1693</v>
      </c>
      <c r="I442" s="2" t="n">
        <v>3</v>
      </c>
    </row>
    <row r="443" customFormat="false" ht="15" hidden="false" customHeight="false" outlineLevel="0" collapsed="false">
      <c r="A443" s="2" t="s">
        <v>795</v>
      </c>
      <c r="B443" s="2" t="s">
        <v>189</v>
      </c>
      <c r="C443" s="2" t="n">
        <v>120</v>
      </c>
      <c r="D443" s="2" t="s">
        <v>54</v>
      </c>
      <c r="E443" s="2" t="s">
        <v>2068</v>
      </c>
      <c r="F443" s="2" t="n">
        <v>60</v>
      </c>
      <c r="G443" s="2" t="n">
        <v>180</v>
      </c>
      <c r="H443" s="2" t="s">
        <v>1689</v>
      </c>
      <c r="I443" s="2" t="n">
        <v>4</v>
      </c>
    </row>
    <row r="444" customFormat="false" ht="15" hidden="false" customHeight="false" outlineLevel="0" collapsed="false">
      <c r="A444" s="2" t="s">
        <v>795</v>
      </c>
      <c r="B444" s="2" t="s">
        <v>245</v>
      </c>
      <c r="C444" s="2" t="n">
        <v>1</v>
      </c>
      <c r="D444" s="2" t="s">
        <v>1687</v>
      </c>
      <c r="E444" s="2" t="s">
        <v>2069</v>
      </c>
      <c r="F444" s="2"/>
      <c r="G444" s="2" t="n">
        <v>2</v>
      </c>
      <c r="H444" s="2" t="s">
        <v>1689</v>
      </c>
      <c r="I444" s="2" t="n">
        <v>5</v>
      </c>
    </row>
    <row r="445" customFormat="false" ht="15" hidden="false" customHeight="false" outlineLevel="0" collapsed="false">
      <c r="A445" s="2" t="s">
        <v>795</v>
      </c>
      <c r="B445" s="2" t="s">
        <v>375</v>
      </c>
      <c r="C445" s="2" t="n">
        <v>1</v>
      </c>
      <c r="D445" s="2" t="s">
        <v>1687</v>
      </c>
      <c r="E445" s="2" t="s">
        <v>2017</v>
      </c>
      <c r="F445" s="2"/>
      <c r="G445" s="2" t="n">
        <v>2</v>
      </c>
      <c r="H445" s="2" t="s">
        <v>1689</v>
      </c>
      <c r="I445" s="2" t="n">
        <v>6</v>
      </c>
    </row>
    <row r="446" customFormat="false" ht="15" hidden="false" customHeight="false" outlineLevel="0" collapsed="false">
      <c r="A446" s="2" t="s">
        <v>795</v>
      </c>
      <c r="B446" s="2" t="s">
        <v>502</v>
      </c>
      <c r="C446" s="2" t="n">
        <v>1</v>
      </c>
      <c r="D446" s="2" t="s">
        <v>54</v>
      </c>
      <c r="E446" s="2" t="s">
        <v>2070</v>
      </c>
      <c r="F446" s="2" t="n">
        <v>0.5</v>
      </c>
      <c r="G446" s="2" t="n">
        <v>1.5</v>
      </c>
      <c r="H446" s="2" t="s">
        <v>1689</v>
      </c>
      <c r="I446" s="2" t="n">
        <v>7</v>
      </c>
    </row>
    <row r="447" customFormat="false" ht="15" hidden="false" customHeight="false" outlineLevel="0" collapsed="false">
      <c r="A447" s="2" t="s">
        <v>798</v>
      </c>
      <c r="B447" s="2" t="s">
        <v>221</v>
      </c>
      <c r="C447" s="2" t="n">
        <v>200</v>
      </c>
      <c r="D447" s="2" t="s">
        <v>54</v>
      </c>
      <c r="E447" s="2" t="s">
        <v>2071</v>
      </c>
      <c r="F447" s="2" t="n">
        <v>100</v>
      </c>
      <c r="G447" s="2" t="n">
        <v>300</v>
      </c>
      <c r="H447" s="2" t="s">
        <v>1693</v>
      </c>
      <c r="I447" s="2" t="n">
        <v>1</v>
      </c>
    </row>
    <row r="448" customFormat="false" ht="15" hidden="false" customHeight="false" outlineLevel="0" collapsed="false">
      <c r="A448" s="2" t="s">
        <v>798</v>
      </c>
      <c r="B448" s="2" t="s">
        <v>382</v>
      </c>
      <c r="C448" s="2" t="n">
        <v>40</v>
      </c>
      <c r="D448" s="2" t="s">
        <v>54</v>
      </c>
      <c r="E448" s="2" t="s">
        <v>2072</v>
      </c>
      <c r="F448" s="2" t="n">
        <v>20</v>
      </c>
      <c r="G448" s="2" t="n">
        <v>60</v>
      </c>
      <c r="H448" s="2" t="s">
        <v>1689</v>
      </c>
      <c r="I448" s="2" t="n">
        <v>2</v>
      </c>
    </row>
    <row r="449" customFormat="false" ht="15" hidden="false" customHeight="false" outlineLevel="0" collapsed="false">
      <c r="A449" s="2" t="s">
        <v>798</v>
      </c>
      <c r="B449" s="2" t="s">
        <v>409</v>
      </c>
      <c r="C449" s="2" t="n">
        <v>150</v>
      </c>
      <c r="D449" s="2" t="s">
        <v>54</v>
      </c>
      <c r="E449" s="2" t="s">
        <v>2073</v>
      </c>
      <c r="F449" s="2" t="n">
        <v>75</v>
      </c>
      <c r="G449" s="2" t="n">
        <v>225</v>
      </c>
      <c r="H449" s="2" t="s">
        <v>1689</v>
      </c>
      <c r="I449" s="2" t="n">
        <v>3</v>
      </c>
    </row>
    <row r="450" customFormat="false" ht="15" hidden="false" customHeight="false" outlineLevel="0" collapsed="false">
      <c r="A450" s="2" t="s">
        <v>798</v>
      </c>
      <c r="B450" s="2" t="s">
        <v>399</v>
      </c>
      <c r="C450" s="2" t="n">
        <v>40</v>
      </c>
      <c r="D450" s="2" t="s">
        <v>54</v>
      </c>
      <c r="E450" s="2" t="s">
        <v>2074</v>
      </c>
      <c r="F450" s="2" t="n">
        <v>20</v>
      </c>
      <c r="G450" s="2" t="n">
        <v>60</v>
      </c>
      <c r="H450" s="2" t="s">
        <v>1693</v>
      </c>
      <c r="I450" s="2" t="n">
        <v>4</v>
      </c>
    </row>
    <row r="451" customFormat="false" ht="15" hidden="false" customHeight="false" outlineLevel="0" collapsed="false">
      <c r="A451" s="2" t="s">
        <v>798</v>
      </c>
      <c r="B451" s="2" t="s">
        <v>526</v>
      </c>
      <c r="C451" s="2" t="n">
        <v>32</v>
      </c>
      <c r="D451" s="2" t="s">
        <v>54</v>
      </c>
      <c r="E451" s="2" t="s">
        <v>2075</v>
      </c>
      <c r="F451" s="2" t="n">
        <v>16</v>
      </c>
      <c r="G451" s="2" t="n">
        <v>48</v>
      </c>
      <c r="H451" s="2" t="s">
        <v>1689</v>
      </c>
      <c r="I451" s="2" t="n">
        <v>5</v>
      </c>
    </row>
    <row r="452" customFormat="false" ht="15" hidden="false" customHeight="false" outlineLevel="0" collapsed="false">
      <c r="A452" s="2" t="s">
        <v>798</v>
      </c>
      <c r="B452" s="2" t="s">
        <v>524</v>
      </c>
      <c r="C452" s="2" t="n">
        <v>480</v>
      </c>
      <c r="D452" s="2" t="s">
        <v>54</v>
      </c>
      <c r="E452" s="2" t="s">
        <v>2076</v>
      </c>
      <c r="F452" s="2" t="n">
        <v>240</v>
      </c>
      <c r="G452" s="2" t="n">
        <v>720</v>
      </c>
      <c r="H452" s="2" t="s">
        <v>1689</v>
      </c>
      <c r="I452" s="2" t="n">
        <v>6</v>
      </c>
    </row>
    <row r="453" customFormat="false" ht="15" hidden="false" customHeight="false" outlineLevel="0" collapsed="false">
      <c r="A453" s="2" t="s">
        <v>798</v>
      </c>
      <c r="B453" s="2" t="s">
        <v>271</v>
      </c>
      <c r="C453" s="2" t="n">
        <v>2</v>
      </c>
      <c r="D453" s="2" t="s">
        <v>54</v>
      </c>
      <c r="E453" s="2" t="s">
        <v>2077</v>
      </c>
      <c r="F453" s="2" t="n">
        <v>1</v>
      </c>
      <c r="G453" s="2" t="n">
        <v>3</v>
      </c>
      <c r="H453" s="2" t="s">
        <v>1689</v>
      </c>
      <c r="I453" s="2" t="n">
        <v>7</v>
      </c>
    </row>
    <row r="454" customFormat="false" ht="15" hidden="false" customHeight="false" outlineLevel="0" collapsed="false">
      <c r="A454" s="2" t="s">
        <v>798</v>
      </c>
      <c r="B454" s="2" t="s">
        <v>312</v>
      </c>
      <c r="C454" s="2" t="n">
        <v>1</v>
      </c>
      <c r="D454" s="2" t="s">
        <v>1687</v>
      </c>
      <c r="E454" s="2" t="s">
        <v>2078</v>
      </c>
      <c r="F454" s="2"/>
      <c r="G454" s="2" t="n">
        <v>2</v>
      </c>
      <c r="H454" s="2" t="s">
        <v>1689</v>
      </c>
      <c r="I454" s="2" t="n">
        <v>8</v>
      </c>
    </row>
    <row r="455" customFormat="false" ht="15" hidden="false" customHeight="false" outlineLevel="0" collapsed="false">
      <c r="A455" s="2" t="s">
        <v>798</v>
      </c>
      <c r="B455" s="2" t="s">
        <v>454</v>
      </c>
      <c r="C455" s="2" t="n">
        <v>150</v>
      </c>
      <c r="D455" s="2" t="s">
        <v>54</v>
      </c>
      <c r="E455" s="2" t="s">
        <v>2079</v>
      </c>
      <c r="F455" s="2" t="n">
        <v>75</v>
      </c>
      <c r="G455" s="2" t="n">
        <v>225</v>
      </c>
      <c r="H455" s="2" t="s">
        <v>1689</v>
      </c>
      <c r="I455" s="2" t="n">
        <v>9</v>
      </c>
    </row>
    <row r="456" customFormat="false" ht="15" hidden="false" customHeight="false" outlineLevel="0" collapsed="false">
      <c r="A456" s="2" t="s">
        <v>798</v>
      </c>
      <c r="B456" s="2" t="s">
        <v>301</v>
      </c>
      <c r="C456" s="2" t="n">
        <v>10</v>
      </c>
      <c r="D456" s="2" t="s">
        <v>54</v>
      </c>
      <c r="E456" s="2" t="s">
        <v>2080</v>
      </c>
      <c r="F456" s="2" t="n">
        <v>5</v>
      </c>
      <c r="G456" s="2" t="n">
        <v>15</v>
      </c>
      <c r="H456" s="2" t="s">
        <v>1689</v>
      </c>
      <c r="I456" s="2" t="n">
        <v>10</v>
      </c>
    </row>
    <row r="457" customFormat="false" ht="15" hidden="false" customHeight="false" outlineLevel="0" collapsed="false">
      <c r="A457" s="2" t="s">
        <v>798</v>
      </c>
      <c r="B457" s="2" t="s">
        <v>271</v>
      </c>
      <c r="C457" s="2" t="n">
        <v>1</v>
      </c>
      <c r="D457" s="2" t="s">
        <v>54</v>
      </c>
      <c r="E457" s="2" t="s">
        <v>2081</v>
      </c>
      <c r="F457" s="2" t="n">
        <v>0.5</v>
      </c>
      <c r="G457" s="2" t="n">
        <v>1.5</v>
      </c>
      <c r="H457" s="2" t="s">
        <v>1689</v>
      </c>
      <c r="I457" s="2" t="n">
        <v>11</v>
      </c>
    </row>
    <row r="458" customFormat="false" ht="15" hidden="false" customHeight="false" outlineLevel="0" collapsed="false">
      <c r="A458" s="2" t="s">
        <v>798</v>
      </c>
      <c r="B458" s="2" t="s">
        <v>424</v>
      </c>
      <c r="C458" s="2" t="n">
        <v>150</v>
      </c>
      <c r="D458" s="2" t="s">
        <v>54</v>
      </c>
      <c r="E458" s="2" t="s">
        <v>2082</v>
      </c>
      <c r="F458" s="2" t="n">
        <v>75</v>
      </c>
      <c r="G458" s="2" t="n">
        <v>225</v>
      </c>
      <c r="H458" s="2" t="s">
        <v>1689</v>
      </c>
      <c r="I458" s="2" t="n">
        <v>12</v>
      </c>
    </row>
    <row r="459" customFormat="false" ht="15" hidden="false" customHeight="false" outlineLevel="0" collapsed="false">
      <c r="A459" s="2" t="s">
        <v>798</v>
      </c>
      <c r="B459" s="2" t="s">
        <v>129</v>
      </c>
      <c r="C459" s="2" t="n">
        <v>4</v>
      </c>
      <c r="D459" s="2" t="s">
        <v>54</v>
      </c>
      <c r="E459" s="2" t="s">
        <v>1837</v>
      </c>
      <c r="F459" s="2" t="n">
        <v>2</v>
      </c>
      <c r="G459" s="2" t="n">
        <v>6</v>
      </c>
      <c r="H459" s="2" t="s">
        <v>1700</v>
      </c>
      <c r="I459" s="2" t="n">
        <v>13</v>
      </c>
    </row>
    <row r="460" customFormat="false" ht="15" hidden="false" customHeight="false" outlineLevel="0" collapsed="false">
      <c r="A460" s="2" t="s">
        <v>798</v>
      </c>
      <c r="B460" s="2" t="s">
        <v>480</v>
      </c>
      <c r="C460" s="2" t="n">
        <v>1</v>
      </c>
      <c r="D460" s="2" t="s">
        <v>54</v>
      </c>
      <c r="E460" s="2" t="s">
        <v>1858</v>
      </c>
      <c r="F460" s="2" t="n">
        <v>0.5</v>
      </c>
      <c r="G460" s="2" t="n">
        <v>1.5</v>
      </c>
      <c r="H460" s="2" t="s">
        <v>1689</v>
      </c>
      <c r="I460" s="2" t="n">
        <v>14</v>
      </c>
    </row>
    <row r="461" customFormat="false" ht="15" hidden="false" customHeight="false" outlineLevel="0" collapsed="false">
      <c r="A461" s="2" t="s">
        <v>801</v>
      </c>
      <c r="B461" s="2" t="s">
        <v>476</v>
      </c>
      <c r="C461" s="2" t="n">
        <v>250</v>
      </c>
      <c r="D461" s="2" t="s">
        <v>54</v>
      </c>
      <c r="E461" s="2" t="s">
        <v>2083</v>
      </c>
      <c r="F461" s="2" t="n">
        <v>125</v>
      </c>
      <c r="G461" s="2" t="n">
        <v>375</v>
      </c>
      <c r="H461" s="2" t="s">
        <v>1693</v>
      </c>
      <c r="I461" s="2" t="n">
        <v>1</v>
      </c>
    </row>
    <row r="462" customFormat="false" ht="15" hidden="false" customHeight="false" outlineLevel="0" collapsed="false">
      <c r="A462" s="2" t="s">
        <v>801</v>
      </c>
      <c r="B462" s="2" t="s">
        <v>177</v>
      </c>
      <c r="C462" s="2" t="n">
        <v>130</v>
      </c>
      <c r="D462" s="2" t="s">
        <v>54</v>
      </c>
      <c r="E462" s="2" t="s">
        <v>2084</v>
      </c>
      <c r="F462" s="2" t="n">
        <v>65</v>
      </c>
      <c r="G462" s="2" t="n">
        <v>195</v>
      </c>
      <c r="H462" s="2" t="s">
        <v>1689</v>
      </c>
      <c r="I462" s="2" t="n">
        <v>2</v>
      </c>
    </row>
    <row r="463" customFormat="false" ht="15" hidden="false" customHeight="false" outlineLevel="0" collapsed="false">
      <c r="A463" s="2" t="s">
        <v>801</v>
      </c>
      <c r="B463" s="2" t="s">
        <v>129</v>
      </c>
      <c r="C463" s="2" t="n">
        <v>14</v>
      </c>
      <c r="D463" s="2" t="s">
        <v>54</v>
      </c>
      <c r="E463" s="2" t="s">
        <v>2085</v>
      </c>
      <c r="F463" s="2" t="n">
        <v>7</v>
      </c>
      <c r="G463" s="2" t="n">
        <v>21</v>
      </c>
      <c r="H463" s="2" t="s">
        <v>1700</v>
      </c>
      <c r="I463" s="2" t="n">
        <v>3</v>
      </c>
    </row>
    <row r="464" customFormat="false" ht="15" hidden="false" customHeight="false" outlineLevel="0" collapsed="false">
      <c r="A464" s="2" t="s">
        <v>801</v>
      </c>
      <c r="B464" s="2" t="s">
        <v>312</v>
      </c>
      <c r="C464" s="2" t="n">
        <v>2</v>
      </c>
      <c r="D464" s="2" t="s">
        <v>1687</v>
      </c>
      <c r="E464" s="2" t="s">
        <v>2086</v>
      </c>
      <c r="F464" s="2" t="n">
        <v>1</v>
      </c>
      <c r="G464" s="2" t="n">
        <v>3</v>
      </c>
      <c r="H464" s="2" t="s">
        <v>1689</v>
      </c>
      <c r="I464" s="2" t="n">
        <v>4</v>
      </c>
    </row>
    <row r="465" customFormat="false" ht="15" hidden="false" customHeight="false" outlineLevel="0" collapsed="false">
      <c r="A465" s="2" t="s">
        <v>801</v>
      </c>
      <c r="B465" s="2" t="s">
        <v>456</v>
      </c>
      <c r="C465" s="2" t="n">
        <v>1</v>
      </c>
      <c r="D465" s="2" t="s">
        <v>1687</v>
      </c>
      <c r="E465" s="2" t="s">
        <v>2087</v>
      </c>
      <c r="F465" s="2"/>
      <c r="G465" s="2" t="n">
        <v>2</v>
      </c>
      <c r="H465" s="2" t="s">
        <v>1689</v>
      </c>
      <c r="I465" s="2" t="n">
        <v>5</v>
      </c>
    </row>
    <row r="466" customFormat="false" ht="15" hidden="false" customHeight="false" outlineLevel="0" collapsed="false">
      <c r="A466" s="2" t="s">
        <v>801</v>
      </c>
      <c r="B466" s="2" t="s">
        <v>409</v>
      </c>
      <c r="C466" s="2" t="n">
        <v>75</v>
      </c>
      <c r="D466" s="2" t="s">
        <v>54</v>
      </c>
      <c r="E466" s="2" t="s">
        <v>2088</v>
      </c>
      <c r="F466" s="2" t="n">
        <v>37.5</v>
      </c>
      <c r="G466" s="2" t="n">
        <v>112.5</v>
      </c>
      <c r="H466" s="2" t="s">
        <v>1689</v>
      </c>
      <c r="I466" s="2" t="n">
        <v>6</v>
      </c>
    </row>
    <row r="467" customFormat="false" ht="15" hidden="false" customHeight="false" outlineLevel="0" collapsed="false">
      <c r="A467" s="2" t="s">
        <v>801</v>
      </c>
      <c r="B467" s="2" t="s">
        <v>179</v>
      </c>
      <c r="C467" s="2" t="n">
        <v>5</v>
      </c>
      <c r="D467" s="2" t="s">
        <v>1687</v>
      </c>
      <c r="E467" s="2" t="s">
        <v>2089</v>
      </c>
      <c r="F467" s="2" t="n">
        <v>2.5</v>
      </c>
      <c r="G467" s="2" t="n">
        <v>7.5</v>
      </c>
      <c r="H467" s="2" t="s">
        <v>1689</v>
      </c>
      <c r="I467" s="2" t="n">
        <v>7</v>
      </c>
    </row>
    <row r="468" customFormat="false" ht="15" hidden="false" customHeight="false" outlineLevel="0" collapsed="false">
      <c r="A468" s="2" t="s">
        <v>801</v>
      </c>
      <c r="B468" s="2" t="s">
        <v>299</v>
      </c>
      <c r="C468" s="2" t="n">
        <v>1</v>
      </c>
      <c r="D468" s="2" t="s">
        <v>54</v>
      </c>
      <c r="E468" s="2" t="s">
        <v>2090</v>
      </c>
      <c r="F468" s="2"/>
      <c r="G468" s="2" t="n">
        <v>2</v>
      </c>
      <c r="H468" s="2" t="s">
        <v>1689</v>
      </c>
      <c r="I468" s="2" t="n">
        <v>8</v>
      </c>
    </row>
    <row r="469" customFormat="false" ht="15" hidden="false" customHeight="false" outlineLevel="0" collapsed="false">
      <c r="A469" s="2" t="s">
        <v>801</v>
      </c>
      <c r="B469" s="2" t="s">
        <v>369</v>
      </c>
      <c r="C469" s="2" t="n">
        <v>1</v>
      </c>
      <c r="D469" s="2" t="s">
        <v>1687</v>
      </c>
      <c r="E469" s="2" t="s">
        <v>2091</v>
      </c>
      <c r="F469" s="2"/>
      <c r="G469" s="2" t="n">
        <v>2</v>
      </c>
      <c r="H469" s="2" t="s">
        <v>1689</v>
      </c>
      <c r="I469" s="2" t="n">
        <v>9</v>
      </c>
    </row>
    <row r="470" customFormat="false" ht="15" hidden="false" customHeight="false" outlineLevel="0" collapsed="false">
      <c r="A470" s="2" t="s">
        <v>801</v>
      </c>
      <c r="B470" s="2" t="s">
        <v>375</v>
      </c>
      <c r="C470" s="2" t="n">
        <v>1</v>
      </c>
      <c r="D470" s="2" t="s">
        <v>1687</v>
      </c>
      <c r="E470" s="2" t="s">
        <v>2092</v>
      </c>
      <c r="F470" s="2"/>
      <c r="G470" s="2" t="n">
        <v>2</v>
      </c>
      <c r="H470" s="2" t="s">
        <v>1689</v>
      </c>
      <c r="I470" s="2" t="n">
        <v>10</v>
      </c>
    </row>
    <row r="471" customFormat="false" ht="15" hidden="false" customHeight="false" outlineLevel="0" collapsed="false">
      <c r="A471" s="2" t="s">
        <v>801</v>
      </c>
      <c r="B471" s="2" t="s">
        <v>454</v>
      </c>
      <c r="C471" s="2" t="n">
        <v>300</v>
      </c>
      <c r="D471" s="2" t="s">
        <v>54</v>
      </c>
      <c r="E471" s="2" t="s">
        <v>2093</v>
      </c>
      <c r="F471" s="2" t="n">
        <v>150</v>
      </c>
      <c r="G471" s="2" t="n">
        <v>450</v>
      </c>
      <c r="H471" s="2" t="s">
        <v>1689</v>
      </c>
      <c r="I471" s="2" t="n">
        <v>11</v>
      </c>
    </row>
    <row r="472" customFormat="false" ht="15" hidden="false" customHeight="false" outlineLevel="0" collapsed="false">
      <c r="A472" s="2" t="s">
        <v>801</v>
      </c>
      <c r="B472" s="2" t="s">
        <v>262</v>
      </c>
      <c r="C472" s="2" t="n">
        <v>6</v>
      </c>
      <c r="D472" s="2" t="s">
        <v>54</v>
      </c>
      <c r="E472" s="2" t="s">
        <v>2094</v>
      </c>
      <c r="F472" s="2" t="n">
        <v>3</v>
      </c>
      <c r="G472" s="2" t="n">
        <v>9</v>
      </c>
      <c r="H472" s="2" t="s">
        <v>1689</v>
      </c>
      <c r="I472" s="2" t="n">
        <v>12</v>
      </c>
    </row>
    <row r="473" customFormat="false" ht="15" hidden="false" customHeight="false" outlineLevel="0" collapsed="false">
      <c r="A473" s="2" t="s">
        <v>801</v>
      </c>
      <c r="B473" s="2" t="s">
        <v>371</v>
      </c>
      <c r="C473" s="2" t="n">
        <v>400</v>
      </c>
      <c r="D473" s="2" t="s">
        <v>76</v>
      </c>
      <c r="E473" s="2" t="s">
        <v>2095</v>
      </c>
      <c r="F473" s="2" t="n">
        <v>200</v>
      </c>
      <c r="G473" s="2" t="n">
        <v>600</v>
      </c>
      <c r="H473" s="2" t="s">
        <v>1700</v>
      </c>
      <c r="I473" s="2" t="n">
        <v>13</v>
      </c>
    </row>
    <row r="474" customFormat="false" ht="15" hidden="false" customHeight="false" outlineLevel="0" collapsed="false">
      <c r="A474" s="2" t="s">
        <v>801</v>
      </c>
      <c r="B474" s="2" t="s">
        <v>219</v>
      </c>
      <c r="C474" s="2" t="n">
        <v>100</v>
      </c>
      <c r="D474" s="2" t="s">
        <v>54</v>
      </c>
      <c r="E474" s="2" t="s">
        <v>2096</v>
      </c>
      <c r="F474" s="2" t="n">
        <v>50</v>
      </c>
      <c r="G474" s="2" t="n">
        <v>150</v>
      </c>
      <c r="H474" s="2" t="s">
        <v>1689</v>
      </c>
      <c r="I474" s="2" t="n">
        <v>14</v>
      </c>
    </row>
    <row r="475" customFormat="false" ht="15" hidden="false" customHeight="false" outlineLevel="0" collapsed="false">
      <c r="A475" s="2" t="s">
        <v>804</v>
      </c>
      <c r="B475" s="2" t="s">
        <v>221</v>
      </c>
      <c r="C475" s="2" t="n">
        <v>220</v>
      </c>
      <c r="D475" s="2" t="s">
        <v>54</v>
      </c>
      <c r="E475" s="2" t="s">
        <v>2097</v>
      </c>
      <c r="F475" s="2" t="n">
        <v>110</v>
      </c>
      <c r="G475" s="2" t="n">
        <v>330</v>
      </c>
      <c r="H475" s="2" t="s">
        <v>1693</v>
      </c>
      <c r="I475" s="2" t="n">
        <v>1</v>
      </c>
    </row>
    <row r="476" customFormat="false" ht="15" hidden="false" customHeight="false" outlineLevel="0" collapsed="false">
      <c r="A476" s="2" t="s">
        <v>804</v>
      </c>
      <c r="B476" s="2" t="s">
        <v>424</v>
      </c>
      <c r="C476" s="2" t="n">
        <v>170</v>
      </c>
      <c r="D476" s="2" t="s">
        <v>54</v>
      </c>
      <c r="E476" s="2" t="s">
        <v>2098</v>
      </c>
      <c r="F476" s="2" t="n">
        <v>85</v>
      </c>
      <c r="G476" s="2" t="n">
        <v>255</v>
      </c>
      <c r="H476" s="2" t="s">
        <v>1689</v>
      </c>
      <c r="I476" s="2" t="n">
        <v>2</v>
      </c>
    </row>
    <row r="477" customFormat="false" ht="15" hidden="false" customHeight="false" outlineLevel="0" collapsed="false">
      <c r="A477" s="2" t="s">
        <v>804</v>
      </c>
      <c r="B477" s="2" t="s">
        <v>129</v>
      </c>
      <c r="C477" s="2" t="n">
        <v>9</v>
      </c>
      <c r="D477" s="2" t="s">
        <v>54</v>
      </c>
      <c r="E477" s="2" t="s">
        <v>2099</v>
      </c>
      <c r="F477" s="2" t="n">
        <v>4.5</v>
      </c>
      <c r="G477" s="2" t="n">
        <v>13.5</v>
      </c>
      <c r="H477" s="2" t="s">
        <v>1700</v>
      </c>
      <c r="I477" s="2" t="n">
        <v>3</v>
      </c>
    </row>
    <row r="478" customFormat="false" ht="15" hidden="false" customHeight="false" outlineLevel="0" collapsed="false">
      <c r="A478" s="2" t="s">
        <v>804</v>
      </c>
      <c r="B478" s="2" t="s">
        <v>312</v>
      </c>
      <c r="C478" s="2" t="n">
        <v>2</v>
      </c>
      <c r="D478" s="2" t="s">
        <v>1687</v>
      </c>
      <c r="E478" s="2" t="s">
        <v>2100</v>
      </c>
      <c r="F478" s="2" t="n">
        <v>1</v>
      </c>
      <c r="G478" s="2" t="n">
        <v>3</v>
      </c>
      <c r="H478" s="2" t="s">
        <v>1689</v>
      </c>
      <c r="I478" s="2" t="n">
        <v>4</v>
      </c>
    </row>
    <row r="479" customFormat="false" ht="15" hidden="false" customHeight="false" outlineLevel="0" collapsed="false">
      <c r="A479" s="2" t="s">
        <v>804</v>
      </c>
      <c r="B479" s="2" t="s">
        <v>456</v>
      </c>
      <c r="C479" s="2" t="n">
        <v>0.25</v>
      </c>
      <c r="D479" s="2" t="s">
        <v>1687</v>
      </c>
      <c r="E479" s="2" t="s">
        <v>2101</v>
      </c>
      <c r="F479" s="2"/>
      <c r="G479" s="2" t="n">
        <v>1.25</v>
      </c>
      <c r="H479" s="2" t="s">
        <v>1689</v>
      </c>
      <c r="I479" s="2" t="n">
        <v>5</v>
      </c>
    </row>
    <row r="480" customFormat="false" ht="15" hidden="false" customHeight="false" outlineLevel="0" collapsed="false">
      <c r="A480" s="2" t="s">
        <v>804</v>
      </c>
      <c r="B480" s="2" t="s">
        <v>365</v>
      </c>
      <c r="C480" s="2" t="n">
        <v>1</v>
      </c>
      <c r="D480" s="2" t="s">
        <v>1687</v>
      </c>
      <c r="E480" s="2" t="s">
        <v>2102</v>
      </c>
      <c r="F480" s="2"/>
      <c r="G480" s="2" t="n">
        <v>2</v>
      </c>
      <c r="H480" s="2" t="s">
        <v>1689</v>
      </c>
      <c r="I480" s="2" t="n">
        <v>6</v>
      </c>
    </row>
    <row r="481" customFormat="false" ht="15" hidden="false" customHeight="false" outlineLevel="0" collapsed="false">
      <c r="A481" s="2" t="s">
        <v>804</v>
      </c>
      <c r="B481" s="2" t="s">
        <v>271</v>
      </c>
      <c r="C481" s="2" t="n">
        <v>2</v>
      </c>
      <c r="D481" s="2" t="s">
        <v>54</v>
      </c>
      <c r="E481" s="2" t="s">
        <v>2103</v>
      </c>
      <c r="F481" s="2" t="n">
        <v>1</v>
      </c>
      <c r="G481" s="2" t="n">
        <v>3</v>
      </c>
      <c r="H481" s="2" t="s">
        <v>1689</v>
      </c>
      <c r="I481" s="2" t="n">
        <v>7</v>
      </c>
    </row>
    <row r="482" customFormat="false" ht="15" hidden="false" customHeight="false" outlineLevel="0" collapsed="false">
      <c r="A482" s="2" t="s">
        <v>804</v>
      </c>
      <c r="B482" s="2" t="s">
        <v>271</v>
      </c>
      <c r="C482" s="2" t="n">
        <v>2</v>
      </c>
      <c r="D482" s="2" t="s">
        <v>54</v>
      </c>
      <c r="E482" s="2" t="s">
        <v>2104</v>
      </c>
      <c r="F482" s="2" t="n">
        <v>1</v>
      </c>
      <c r="G482" s="2" t="n">
        <v>3</v>
      </c>
      <c r="H482" s="2" t="s">
        <v>1689</v>
      </c>
      <c r="I482" s="2" t="n">
        <v>8</v>
      </c>
    </row>
    <row r="483" customFormat="false" ht="15" hidden="false" customHeight="false" outlineLevel="0" collapsed="false">
      <c r="A483" s="2" t="s">
        <v>804</v>
      </c>
      <c r="B483" s="2" t="s">
        <v>271</v>
      </c>
      <c r="C483" s="2" t="n">
        <v>2</v>
      </c>
      <c r="D483" s="2" t="s">
        <v>54</v>
      </c>
      <c r="E483" s="2" t="s">
        <v>2105</v>
      </c>
      <c r="F483" s="2" t="n">
        <v>1</v>
      </c>
      <c r="G483" s="2" t="n">
        <v>3</v>
      </c>
      <c r="H483" s="2" t="s">
        <v>1689</v>
      </c>
      <c r="I483" s="2" t="n">
        <v>9</v>
      </c>
    </row>
    <row r="484" customFormat="false" ht="15" hidden="false" customHeight="false" outlineLevel="0" collapsed="false">
      <c r="A484" s="2" t="s">
        <v>804</v>
      </c>
      <c r="B484" s="2" t="s">
        <v>271</v>
      </c>
      <c r="C484" s="2" t="n">
        <v>1</v>
      </c>
      <c r="D484" s="2" t="s">
        <v>54</v>
      </c>
      <c r="E484" s="2" t="s">
        <v>2106</v>
      </c>
      <c r="F484" s="2" t="n">
        <v>0.5</v>
      </c>
      <c r="G484" s="2" t="n">
        <v>1.5</v>
      </c>
      <c r="H484" s="2" t="s">
        <v>1689</v>
      </c>
      <c r="I484" s="2" t="n">
        <v>10</v>
      </c>
    </row>
    <row r="485" customFormat="false" ht="15" hidden="false" customHeight="false" outlineLevel="0" collapsed="false">
      <c r="A485" s="2" t="s">
        <v>804</v>
      </c>
      <c r="B485" s="2" t="s">
        <v>500</v>
      </c>
      <c r="C485" s="2" t="n">
        <v>2</v>
      </c>
      <c r="D485" s="2" t="s">
        <v>1687</v>
      </c>
      <c r="E485" s="2" t="s">
        <v>2107</v>
      </c>
      <c r="F485" s="2" t="n">
        <v>1</v>
      </c>
      <c r="G485" s="2" t="n">
        <v>3</v>
      </c>
      <c r="H485" s="2" t="s">
        <v>1689</v>
      </c>
      <c r="I485" s="2" t="n">
        <v>11</v>
      </c>
    </row>
    <row r="486" customFormat="false" ht="15" hidden="false" customHeight="false" outlineLevel="0" collapsed="false">
      <c r="A486" s="2" t="s">
        <v>804</v>
      </c>
      <c r="B486" s="2" t="s">
        <v>260</v>
      </c>
      <c r="C486" s="2" t="n">
        <v>75</v>
      </c>
      <c r="D486" s="2" t="s">
        <v>54</v>
      </c>
      <c r="E486" s="2" t="s">
        <v>2108</v>
      </c>
      <c r="F486" s="2" t="n">
        <v>37.5</v>
      </c>
      <c r="G486" s="2" t="n">
        <v>112.5</v>
      </c>
      <c r="H486" s="2" t="s">
        <v>1689</v>
      </c>
      <c r="I486" s="2" t="n">
        <v>12</v>
      </c>
    </row>
    <row r="487" customFormat="false" ht="15" hidden="false" customHeight="false" outlineLevel="0" collapsed="false">
      <c r="A487" s="2" t="s">
        <v>804</v>
      </c>
      <c r="B487" s="2" t="s">
        <v>409</v>
      </c>
      <c r="C487" s="2" t="n">
        <v>75</v>
      </c>
      <c r="D487" s="2" t="s">
        <v>54</v>
      </c>
      <c r="E487" s="2" t="s">
        <v>2109</v>
      </c>
      <c r="F487" s="2" t="n">
        <v>37.5</v>
      </c>
      <c r="G487" s="2" t="n">
        <v>112.5</v>
      </c>
      <c r="H487" s="2" t="s">
        <v>1689</v>
      </c>
      <c r="I487" s="2" t="n">
        <v>13</v>
      </c>
    </row>
    <row r="488" customFormat="false" ht="15" hidden="false" customHeight="false" outlineLevel="0" collapsed="false">
      <c r="A488" s="2" t="s">
        <v>804</v>
      </c>
      <c r="B488" s="2" t="s">
        <v>219</v>
      </c>
      <c r="C488" s="2" t="n">
        <v>75</v>
      </c>
      <c r="D488" s="2" t="s">
        <v>54</v>
      </c>
      <c r="E488" s="2" t="s">
        <v>2110</v>
      </c>
      <c r="F488" s="2" t="n">
        <v>37.5</v>
      </c>
      <c r="G488" s="2" t="n">
        <v>112.5</v>
      </c>
      <c r="H488" s="2" t="s">
        <v>1689</v>
      </c>
      <c r="I488" s="2" t="n">
        <v>14</v>
      </c>
    </row>
    <row r="489" customFormat="false" ht="15" hidden="false" customHeight="false" outlineLevel="0" collapsed="false">
      <c r="A489" s="2" t="s">
        <v>804</v>
      </c>
      <c r="B489" s="2" t="s">
        <v>301</v>
      </c>
      <c r="C489" s="2" t="n">
        <v>10</v>
      </c>
      <c r="D489" s="2" t="s">
        <v>54</v>
      </c>
      <c r="E489" s="2" t="s">
        <v>2111</v>
      </c>
      <c r="F489" s="2" t="n">
        <v>5</v>
      </c>
      <c r="G489" s="2" t="n">
        <v>15</v>
      </c>
      <c r="H489" s="2" t="s">
        <v>1689</v>
      </c>
      <c r="I489" s="2" t="n">
        <v>15</v>
      </c>
    </row>
    <row r="490" customFormat="false" ht="15" hidden="false" customHeight="false" outlineLevel="0" collapsed="false">
      <c r="A490" s="2" t="s">
        <v>804</v>
      </c>
      <c r="B490" s="2" t="s">
        <v>480</v>
      </c>
      <c r="C490" s="2" t="n">
        <v>1</v>
      </c>
      <c r="D490" s="2" t="s">
        <v>54</v>
      </c>
      <c r="E490" s="2" t="s">
        <v>2112</v>
      </c>
      <c r="F490" s="2" t="n">
        <v>0.5</v>
      </c>
      <c r="G490" s="2" t="n">
        <v>1.5</v>
      </c>
      <c r="H490" s="2" t="s">
        <v>1689</v>
      </c>
      <c r="I490" s="2" t="n">
        <v>16</v>
      </c>
    </row>
    <row r="491" customFormat="false" ht="15" hidden="false" customHeight="false" outlineLevel="0" collapsed="false">
      <c r="A491" s="2" t="s">
        <v>807</v>
      </c>
      <c r="B491" s="2" t="s">
        <v>363</v>
      </c>
      <c r="C491" s="2" t="n">
        <v>500</v>
      </c>
      <c r="D491" s="2" t="s">
        <v>54</v>
      </c>
      <c r="E491" s="2" t="s">
        <v>2113</v>
      </c>
      <c r="F491" s="2" t="n">
        <v>250</v>
      </c>
      <c r="G491" s="2" t="n">
        <v>750</v>
      </c>
      <c r="H491" s="2" t="s">
        <v>1693</v>
      </c>
      <c r="I491" s="2" t="n">
        <v>1</v>
      </c>
    </row>
    <row r="492" customFormat="false" ht="15" hidden="false" customHeight="false" outlineLevel="0" collapsed="false">
      <c r="A492" s="2" t="s">
        <v>807</v>
      </c>
      <c r="B492" s="2" t="s">
        <v>129</v>
      </c>
      <c r="C492" s="2" t="n">
        <v>14</v>
      </c>
      <c r="D492" s="2" t="s">
        <v>54</v>
      </c>
      <c r="E492" s="2" t="s">
        <v>2085</v>
      </c>
      <c r="F492" s="2" t="n">
        <v>7</v>
      </c>
      <c r="G492" s="2" t="n">
        <v>21</v>
      </c>
      <c r="H492" s="2" t="s">
        <v>1700</v>
      </c>
      <c r="I492" s="2" t="n">
        <v>2</v>
      </c>
    </row>
    <row r="493" customFormat="false" ht="15" hidden="false" customHeight="false" outlineLevel="0" collapsed="false">
      <c r="A493" s="2" t="s">
        <v>807</v>
      </c>
      <c r="B493" s="2" t="s">
        <v>409</v>
      </c>
      <c r="C493" s="2" t="n">
        <v>150</v>
      </c>
      <c r="D493" s="2" t="s">
        <v>54</v>
      </c>
      <c r="E493" s="2" t="s">
        <v>2114</v>
      </c>
      <c r="F493" s="2" t="n">
        <v>75</v>
      </c>
      <c r="G493" s="2" t="n">
        <v>225</v>
      </c>
      <c r="H493" s="2" t="s">
        <v>1689</v>
      </c>
      <c r="I493" s="2" t="n">
        <v>3</v>
      </c>
    </row>
    <row r="494" customFormat="false" ht="15" hidden="false" customHeight="false" outlineLevel="0" collapsed="false">
      <c r="A494" s="2" t="s">
        <v>807</v>
      </c>
      <c r="B494" s="2" t="s">
        <v>216</v>
      </c>
      <c r="C494" s="2" t="n">
        <v>80</v>
      </c>
      <c r="D494" s="2" t="s">
        <v>54</v>
      </c>
      <c r="E494" s="2" t="s">
        <v>2115</v>
      </c>
      <c r="F494" s="2" t="n">
        <v>40</v>
      </c>
      <c r="G494" s="2" t="n">
        <v>120</v>
      </c>
      <c r="H494" s="2" t="s">
        <v>1689</v>
      </c>
      <c r="I494" s="2" t="n">
        <v>4</v>
      </c>
    </row>
    <row r="495" customFormat="false" ht="15" hidden="false" customHeight="false" outlineLevel="0" collapsed="false">
      <c r="A495" s="2" t="s">
        <v>807</v>
      </c>
      <c r="B495" s="2" t="s">
        <v>312</v>
      </c>
      <c r="C495" s="2" t="n">
        <v>2</v>
      </c>
      <c r="D495" s="2" t="s">
        <v>1687</v>
      </c>
      <c r="E495" s="2" t="s">
        <v>2116</v>
      </c>
      <c r="F495" s="2" t="n">
        <v>1</v>
      </c>
      <c r="G495" s="2" t="n">
        <v>3</v>
      </c>
      <c r="H495" s="2" t="s">
        <v>1689</v>
      </c>
      <c r="I495" s="2" t="n">
        <v>5</v>
      </c>
    </row>
    <row r="496" customFormat="false" ht="15" hidden="false" customHeight="false" outlineLevel="0" collapsed="false">
      <c r="A496" s="2" t="s">
        <v>807</v>
      </c>
      <c r="B496" s="2" t="s">
        <v>210</v>
      </c>
      <c r="C496" s="2" t="n">
        <v>120</v>
      </c>
      <c r="D496" s="2" t="s">
        <v>54</v>
      </c>
      <c r="E496" s="2" t="s">
        <v>2117</v>
      </c>
      <c r="F496" s="2" t="n">
        <v>60</v>
      </c>
      <c r="G496" s="2" t="n">
        <v>180</v>
      </c>
      <c r="H496" s="2" t="s">
        <v>1689</v>
      </c>
      <c r="I496" s="2" t="n">
        <v>6</v>
      </c>
    </row>
    <row r="497" customFormat="false" ht="15" hidden="false" customHeight="false" outlineLevel="0" collapsed="false">
      <c r="A497" s="2" t="s">
        <v>807</v>
      </c>
      <c r="B497" s="2" t="s">
        <v>422</v>
      </c>
      <c r="C497" s="2" t="n">
        <v>400</v>
      </c>
      <c r="D497" s="2" t="s">
        <v>54</v>
      </c>
      <c r="E497" s="2" t="s">
        <v>2118</v>
      </c>
      <c r="F497" s="2" t="n">
        <v>200</v>
      </c>
      <c r="G497" s="2" t="n">
        <v>600</v>
      </c>
      <c r="H497" s="2" t="s">
        <v>1689</v>
      </c>
      <c r="I497" s="2" t="n">
        <v>7</v>
      </c>
    </row>
    <row r="498" customFormat="false" ht="15" hidden="false" customHeight="false" outlineLevel="0" collapsed="false">
      <c r="A498" s="2" t="s">
        <v>807</v>
      </c>
      <c r="B498" s="2" t="s">
        <v>526</v>
      </c>
      <c r="C498" s="2" t="n">
        <v>32</v>
      </c>
      <c r="D498" s="2" t="s">
        <v>54</v>
      </c>
      <c r="E498" s="2" t="s">
        <v>2119</v>
      </c>
      <c r="F498" s="2" t="n">
        <v>16</v>
      </c>
      <c r="G498" s="2" t="n">
        <v>48</v>
      </c>
      <c r="H498" s="2" t="s">
        <v>1689</v>
      </c>
      <c r="I498" s="2" t="n">
        <v>8</v>
      </c>
    </row>
    <row r="499" customFormat="false" ht="15" hidden="false" customHeight="false" outlineLevel="0" collapsed="false">
      <c r="A499" s="2" t="s">
        <v>807</v>
      </c>
      <c r="B499" s="2" t="s">
        <v>271</v>
      </c>
      <c r="C499" s="2" t="n">
        <v>2</v>
      </c>
      <c r="D499" s="2" t="s">
        <v>54</v>
      </c>
      <c r="E499" s="2" t="s">
        <v>2120</v>
      </c>
      <c r="F499" s="2" t="n">
        <v>1</v>
      </c>
      <c r="G499" s="2" t="n">
        <v>3</v>
      </c>
      <c r="H499" s="2" t="s">
        <v>1689</v>
      </c>
      <c r="I499" s="2" t="n">
        <v>9</v>
      </c>
    </row>
    <row r="500" customFormat="false" ht="15" hidden="false" customHeight="false" outlineLevel="0" collapsed="false">
      <c r="A500" s="2" t="s">
        <v>807</v>
      </c>
      <c r="B500" s="2" t="s">
        <v>562</v>
      </c>
      <c r="C500" s="2" t="n">
        <v>5</v>
      </c>
      <c r="D500" s="2" t="s">
        <v>76</v>
      </c>
      <c r="E500" s="2" t="s">
        <v>2121</v>
      </c>
      <c r="F500" s="2" t="n">
        <v>2.5</v>
      </c>
      <c r="G500" s="2" t="n">
        <v>7.5</v>
      </c>
      <c r="H500" s="2" t="s">
        <v>1689</v>
      </c>
      <c r="I500" s="2" t="n">
        <v>10</v>
      </c>
    </row>
    <row r="501" customFormat="false" ht="15" hidden="false" customHeight="false" outlineLevel="0" collapsed="false">
      <c r="A501" s="2" t="s">
        <v>807</v>
      </c>
      <c r="B501" s="2" t="s">
        <v>424</v>
      </c>
      <c r="C501" s="2" t="n">
        <v>500</v>
      </c>
      <c r="D501" s="2" t="s">
        <v>54</v>
      </c>
      <c r="E501" s="2" t="s">
        <v>2122</v>
      </c>
      <c r="F501" s="2" t="n">
        <v>250</v>
      </c>
      <c r="G501" s="2" t="n">
        <v>750</v>
      </c>
      <c r="H501" s="2" t="s">
        <v>1689</v>
      </c>
      <c r="I501" s="2" t="n">
        <v>11</v>
      </c>
    </row>
    <row r="502" customFormat="false" ht="15" hidden="false" customHeight="false" outlineLevel="0" collapsed="false">
      <c r="A502" s="2" t="s">
        <v>807</v>
      </c>
      <c r="B502" s="2" t="s">
        <v>420</v>
      </c>
      <c r="C502" s="2" t="n">
        <v>10</v>
      </c>
      <c r="D502" s="2" t="s">
        <v>54</v>
      </c>
      <c r="E502" s="2" t="s">
        <v>2123</v>
      </c>
      <c r="F502" s="2" t="n">
        <v>5</v>
      </c>
      <c r="G502" s="2" t="n">
        <v>15</v>
      </c>
      <c r="H502" s="2" t="s">
        <v>1693</v>
      </c>
      <c r="I502" s="2" t="n">
        <v>12</v>
      </c>
    </row>
    <row r="503" customFormat="false" ht="15" hidden="false" customHeight="false" outlineLevel="0" collapsed="false">
      <c r="A503" s="2" t="s">
        <v>807</v>
      </c>
      <c r="B503" s="2" t="s">
        <v>480</v>
      </c>
      <c r="C503" s="2" t="n">
        <v>1</v>
      </c>
      <c r="D503" s="2" t="s">
        <v>54</v>
      </c>
      <c r="E503" s="2" t="s">
        <v>2112</v>
      </c>
      <c r="F503" s="2" t="n">
        <v>0.5</v>
      </c>
      <c r="G503" s="2" t="n">
        <v>1.5</v>
      </c>
      <c r="H503" s="2" t="s">
        <v>1689</v>
      </c>
      <c r="I503" s="2" t="n">
        <v>13</v>
      </c>
    </row>
    <row r="504" customFormat="false" ht="15" hidden="false" customHeight="false" outlineLevel="0" collapsed="false">
      <c r="A504" s="2" t="s">
        <v>810</v>
      </c>
      <c r="B504" s="2" t="s">
        <v>291</v>
      </c>
      <c r="C504" s="2" t="n">
        <v>500</v>
      </c>
      <c r="D504" s="2" t="s">
        <v>54</v>
      </c>
      <c r="E504" s="2" t="s">
        <v>2124</v>
      </c>
      <c r="F504" s="2" t="n">
        <v>250</v>
      </c>
      <c r="G504" s="2" t="n">
        <v>750</v>
      </c>
      <c r="H504" s="2" t="s">
        <v>1693</v>
      </c>
      <c r="I504" s="2" t="n">
        <v>1</v>
      </c>
    </row>
    <row r="505" customFormat="false" ht="15" hidden="false" customHeight="false" outlineLevel="0" collapsed="false">
      <c r="A505" s="2" t="s">
        <v>810</v>
      </c>
      <c r="B505" s="2" t="s">
        <v>102</v>
      </c>
      <c r="C505" s="2" t="n">
        <v>240</v>
      </c>
      <c r="D505" s="2" t="s">
        <v>54</v>
      </c>
      <c r="E505" s="2" t="s">
        <v>2125</v>
      </c>
      <c r="F505" s="2" t="n">
        <v>120</v>
      </c>
      <c r="G505" s="2" t="n">
        <v>360</v>
      </c>
      <c r="H505" s="2" t="s">
        <v>1689</v>
      </c>
      <c r="I505" s="2" t="n">
        <v>2</v>
      </c>
    </row>
    <row r="506" customFormat="false" ht="15" hidden="false" customHeight="false" outlineLevel="0" collapsed="false">
      <c r="A506" s="2" t="s">
        <v>810</v>
      </c>
      <c r="B506" s="2" t="s">
        <v>371</v>
      </c>
      <c r="C506" s="2" t="n">
        <v>400</v>
      </c>
      <c r="D506" s="2" t="s">
        <v>76</v>
      </c>
      <c r="E506" s="2" t="s">
        <v>2126</v>
      </c>
      <c r="F506" s="2" t="n">
        <v>200</v>
      </c>
      <c r="G506" s="2" t="n">
        <v>600</v>
      </c>
      <c r="H506" s="2" t="s">
        <v>1700</v>
      </c>
      <c r="I506" s="2" t="n">
        <v>3</v>
      </c>
    </row>
    <row r="507" customFormat="false" ht="15" hidden="false" customHeight="false" outlineLevel="0" collapsed="false">
      <c r="A507" s="2" t="s">
        <v>810</v>
      </c>
      <c r="B507" s="2" t="s">
        <v>312</v>
      </c>
      <c r="C507" s="2" t="n">
        <v>2</v>
      </c>
      <c r="D507" s="2" t="s">
        <v>1687</v>
      </c>
      <c r="E507" s="2" t="s">
        <v>2100</v>
      </c>
      <c r="F507" s="2" t="n">
        <v>1</v>
      </c>
      <c r="G507" s="2" t="n">
        <v>3</v>
      </c>
      <c r="H507" s="2" t="s">
        <v>1689</v>
      </c>
      <c r="I507" s="2" t="n">
        <v>4</v>
      </c>
    </row>
    <row r="508" customFormat="false" ht="15" hidden="false" customHeight="false" outlineLevel="0" collapsed="false">
      <c r="A508" s="2" t="s">
        <v>810</v>
      </c>
      <c r="B508" s="2" t="s">
        <v>456</v>
      </c>
      <c r="C508" s="2" t="n">
        <v>3</v>
      </c>
      <c r="D508" s="2" t="s">
        <v>1687</v>
      </c>
      <c r="E508" s="2" t="s">
        <v>2127</v>
      </c>
      <c r="F508" s="2" t="n">
        <v>2</v>
      </c>
      <c r="G508" s="2" t="n">
        <v>4</v>
      </c>
      <c r="H508" s="2" t="s">
        <v>1689</v>
      </c>
      <c r="I508" s="2" t="n">
        <v>5</v>
      </c>
    </row>
    <row r="509" customFormat="false" ht="15" hidden="false" customHeight="false" outlineLevel="0" collapsed="false">
      <c r="A509" s="2" t="s">
        <v>810</v>
      </c>
      <c r="B509" s="2" t="s">
        <v>299</v>
      </c>
      <c r="C509" s="2" t="n">
        <v>1</v>
      </c>
      <c r="D509" s="2" t="s">
        <v>54</v>
      </c>
      <c r="E509" s="2" t="s">
        <v>2128</v>
      </c>
      <c r="F509" s="2"/>
      <c r="G509" s="2" t="n">
        <v>2</v>
      </c>
      <c r="H509" s="2" t="s">
        <v>1689</v>
      </c>
      <c r="I509" s="2" t="n">
        <v>6</v>
      </c>
    </row>
    <row r="510" customFormat="false" ht="15" hidden="false" customHeight="false" outlineLevel="0" collapsed="false">
      <c r="A510" s="2" t="s">
        <v>810</v>
      </c>
      <c r="B510" s="2" t="s">
        <v>454</v>
      </c>
      <c r="C510" s="2" t="n">
        <v>150</v>
      </c>
      <c r="D510" s="2" t="s">
        <v>54</v>
      </c>
      <c r="E510" s="2" t="s">
        <v>2129</v>
      </c>
      <c r="F510" s="2" t="n">
        <v>75</v>
      </c>
      <c r="G510" s="2" t="n">
        <v>225</v>
      </c>
      <c r="H510" s="2" t="s">
        <v>1689</v>
      </c>
      <c r="I510" s="2" t="n">
        <v>7</v>
      </c>
    </row>
    <row r="511" customFormat="false" ht="15" hidden="false" customHeight="false" outlineLevel="0" collapsed="false">
      <c r="A511" s="2" t="s">
        <v>810</v>
      </c>
      <c r="B511" s="2" t="s">
        <v>251</v>
      </c>
      <c r="C511" s="2" t="n">
        <v>200</v>
      </c>
      <c r="D511" s="2" t="s">
        <v>54</v>
      </c>
      <c r="E511" s="2" t="s">
        <v>2130</v>
      </c>
      <c r="F511" s="2" t="n">
        <v>100</v>
      </c>
      <c r="G511" s="2" t="n">
        <v>300</v>
      </c>
      <c r="H511" s="2" t="s">
        <v>1689</v>
      </c>
      <c r="I511" s="2" t="n">
        <v>8</v>
      </c>
    </row>
    <row r="512" customFormat="false" ht="15" hidden="false" customHeight="false" outlineLevel="0" collapsed="false">
      <c r="A512" s="2" t="s">
        <v>810</v>
      </c>
      <c r="B512" s="2" t="s">
        <v>520</v>
      </c>
      <c r="C512" s="2" t="n">
        <v>24</v>
      </c>
      <c r="D512" s="2" t="s">
        <v>54</v>
      </c>
      <c r="E512" s="2" t="s">
        <v>2131</v>
      </c>
      <c r="F512" s="2" t="n">
        <v>12</v>
      </c>
      <c r="G512" s="2" t="n">
        <v>36</v>
      </c>
      <c r="H512" s="2" t="s">
        <v>1689</v>
      </c>
      <c r="I512" s="2" t="n">
        <v>9</v>
      </c>
    </row>
    <row r="513" customFormat="false" ht="15" hidden="false" customHeight="false" outlineLevel="0" collapsed="false">
      <c r="A513" s="2" t="s">
        <v>810</v>
      </c>
      <c r="B513" s="2" t="s">
        <v>496</v>
      </c>
      <c r="C513" s="2" t="n">
        <v>16</v>
      </c>
      <c r="D513" s="2" t="s">
        <v>76</v>
      </c>
      <c r="E513" s="2" t="s">
        <v>2132</v>
      </c>
      <c r="F513" s="2" t="n">
        <v>8</v>
      </c>
      <c r="G513" s="2" t="n">
        <v>24</v>
      </c>
      <c r="H513" s="2" t="s">
        <v>1693</v>
      </c>
      <c r="I513" s="2" t="n">
        <v>10</v>
      </c>
    </row>
    <row r="514" customFormat="false" ht="15" hidden="false" customHeight="false" outlineLevel="0" collapsed="false">
      <c r="A514" s="2" t="s">
        <v>810</v>
      </c>
      <c r="B514" s="2" t="s">
        <v>367</v>
      </c>
      <c r="C514" s="2" t="n">
        <v>15</v>
      </c>
      <c r="D514" s="2" t="s">
        <v>76</v>
      </c>
      <c r="E514" s="2" t="s">
        <v>2133</v>
      </c>
      <c r="F514" s="2" t="n">
        <v>14</v>
      </c>
      <c r="G514" s="2" t="n">
        <v>16</v>
      </c>
      <c r="H514" s="2" t="s">
        <v>1689</v>
      </c>
      <c r="I514" s="2" t="n">
        <v>11</v>
      </c>
    </row>
    <row r="515" customFormat="false" ht="15" hidden="false" customHeight="false" outlineLevel="0" collapsed="false">
      <c r="A515" s="2" t="s">
        <v>810</v>
      </c>
      <c r="B515" s="2" t="s">
        <v>129</v>
      </c>
      <c r="C515" s="2" t="n">
        <v>28</v>
      </c>
      <c r="D515" s="2" t="s">
        <v>54</v>
      </c>
      <c r="E515" s="2" t="s">
        <v>2134</v>
      </c>
      <c r="F515" s="2" t="n">
        <v>14</v>
      </c>
      <c r="G515" s="2" t="n">
        <v>42</v>
      </c>
      <c r="H515" s="2" t="s">
        <v>1700</v>
      </c>
      <c r="I515" s="2" t="n">
        <v>12</v>
      </c>
    </row>
    <row r="516" customFormat="false" ht="15" hidden="false" customHeight="false" outlineLevel="0" collapsed="false">
      <c r="A516" s="2" t="s">
        <v>810</v>
      </c>
      <c r="B516" s="2" t="s">
        <v>85</v>
      </c>
      <c r="C516" s="2" t="n">
        <v>32</v>
      </c>
      <c r="D516" s="2" t="s">
        <v>54</v>
      </c>
      <c r="E516" s="2" t="s">
        <v>2135</v>
      </c>
      <c r="F516" s="2" t="n">
        <v>16</v>
      </c>
      <c r="G516" s="2" t="n">
        <v>48</v>
      </c>
      <c r="H516" s="2" t="s">
        <v>1700</v>
      </c>
      <c r="I516" s="2" t="n">
        <v>13</v>
      </c>
    </row>
    <row r="517" customFormat="false" ht="15" hidden="false" customHeight="false" outlineLevel="0" collapsed="false">
      <c r="A517" s="2" t="s">
        <v>810</v>
      </c>
      <c r="B517" s="2" t="s">
        <v>271</v>
      </c>
      <c r="C517" s="2" t="n">
        <v>2</v>
      </c>
      <c r="D517" s="2" t="s">
        <v>54</v>
      </c>
      <c r="E517" s="2" t="s">
        <v>2136</v>
      </c>
      <c r="F517" s="2" t="n">
        <v>1</v>
      </c>
      <c r="G517" s="2" t="n">
        <v>3</v>
      </c>
      <c r="H517" s="2" t="s">
        <v>1689</v>
      </c>
      <c r="I517" s="2" t="n">
        <v>14</v>
      </c>
    </row>
    <row r="518" customFormat="false" ht="15" hidden="false" customHeight="false" outlineLevel="0" collapsed="false">
      <c r="A518" s="2" t="s">
        <v>810</v>
      </c>
      <c r="B518" s="2" t="s">
        <v>177</v>
      </c>
      <c r="C518" s="2" t="n">
        <v>200</v>
      </c>
      <c r="D518" s="2" t="s">
        <v>54</v>
      </c>
      <c r="E518" s="2" t="s">
        <v>2137</v>
      </c>
      <c r="F518" s="2" t="n">
        <v>100</v>
      </c>
      <c r="G518" s="2" t="n">
        <v>300</v>
      </c>
      <c r="H518" s="2" t="s">
        <v>1689</v>
      </c>
      <c r="I518" s="2" t="n">
        <v>15</v>
      </c>
    </row>
    <row r="519" customFormat="false" ht="15" hidden="false" customHeight="false" outlineLevel="0" collapsed="false">
      <c r="A519" s="2" t="s">
        <v>813</v>
      </c>
      <c r="B519" s="2" t="s">
        <v>341</v>
      </c>
      <c r="C519" s="2" t="n">
        <v>300</v>
      </c>
      <c r="D519" s="2" t="s">
        <v>54</v>
      </c>
      <c r="E519" s="2" t="s">
        <v>2138</v>
      </c>
      <c r="F519" s="2" t="n">
        <v>150</v>
      </c>
      <c r="G519" s="2" t="n">
        <v>450</v>
      </c>
      <c r="H519" s="2" t="s">
        <v>1693</v>
      </c>
      <c r="I519" s="2" t="n">
        <v>1</v>
      </c>
    </row>
    <row r="520" customFormat="false" ht="15" hidden="false" customHeight="false" outlineLevel="0" collapsed="false">
      <c r="A520" s="2" t="s">
        <v>813</v>
      </c>
      <c r="B520" s="2" t="s">
        <v>177</v>
      </c>
      <c r="C520" s="2" t="n">
        <v>250</v>
      </c>
      <c r="D520" s="2" t="s">
        <v>54</v>
      </c>
      <c r="E520" s="2" t="s">
        <v>2139</v>
      </c>
      <c r="F520" s="2" t="n">
        <v>125</v>
      </c>
      <c r="G520" s="2" t="n">
        <v>375</v>
      </c>
      <c r="H520" s="2" t="s">
        <v>1689</v>
      </c>
      <c r="I520" s="2" t="n">
        <v>2</v>
      </c>
    </row>
    <row r="521" customFormat="false" ht="15" hidden="false" customHeight="false" outlineLevel="0" collapsed="false">
      <c r="A521" s="2" t="s">
        <v>813</v>
      </c>
      <c r="B521" s="2" t="s">
        <v>434</v>
      </c>
      <c r="C521" s="2" t="n">
        <v>150</v>
      </c>
      <c r="D521" s="2" t="s">
        <v>54</v>
      </c>
      <c r="E521" s="2" t="s">
        <v>2140</v>
      </c>
      <c r="F521" s="2" t="n">
        <v>75</v>
      </c>
      <c r="G521" s="2" t="n">
        <v>225</v>
      </c>
      <c r="H521" s="2" t="s">
        <v>1689</v>
      </c>
      <c r="I521" s="2" t="n">
        <v>3</v>
      </c>
    </row>
    <row r="522" customFormat="false" ht="15" hidden="false" customHeight="false" outlineLevel="0" collapsed="false">
      <c r="A522" s="2" t="s">
        <v>813</v>
      </c>
      <c r="B522" s="2" t="s">
        <v>458</v>
      </c>
      <c r="C522" s="2" t="n">
        <v>150</v>
      </c>
      <c r="D522" s="2" t="s">
        <v>54</v>
      </c>
      <c r="E522" s="2" t="s">
        <v>2141</v>
      </c>
      <c r="F522" s="2" t="n">
        <v>75</v>
      </c>
      <c r="G522" s="2" t="n">
        <v>225</v>
      </c>
      <c r="H522" s="2" t="s">
        <v>1689</v>
      </c>
      <c r="I522" s="2" t="n">
        <v>4</v>
      </c>
    </row>
    <row r="523" customFormat="false" ht="15" hidden="false" customHeight="false" outlineLevel="0" collapsed="false">
      <c r="A523" s="2" t="s">
        <v>813</v>
      </c>
      <c r="B523" s="2" t="s">
        <v>454</v>
      </c>
      <c r="C523" s="2" t="n">
        <v>150</v>
      </c>
      <c r="D523" s="2" t="s">
        <v>54</v>
      </c>
      <c r="E523" s="2" t="s">
        <v>2129</v>
      </c>
      <c r="F523" s="2" t="n">
        <v>75</v>
      </c>
      <c r="G523" s="2" t="n">
        <v>225</v>
      </c>
      <c r="H523" s="2" t="s">
        <v>1689</v>
      </c>
      <c r="I523" s="2" t="n">
        <v>5</v>
      </c>
    </row>
    <row r="524" customFormat="false" ht="15" hidden="false" customHeight="false" outlineLevel="0" collapsed="false">
      <c r="A524" s="2" t="s">
        <v>813</v>
      </c>
      <c r="B524" s="2" t="s">
        <v>312</v>
      </c>
      <c r="C524" s="2" t="n">
        <v>1</v>
      </c>
      <c r="D524" s="2" t="s">
        <v>1687</v>
      </c>
      <c r="E524" s="2" t="s">
        <v>2142</v>
      </c>
      <c r="F524" s="2"/>
      <c r="G524" s="2" t="n">
        <v>2</v>
      </c>
      <c r="H524" s="2" t="s">
        <v>1689</v>
      </c>
      <c r="I524" s="2" t="n">
        <v>6</v>
      </c>
    </row>
    <row r="525" customFormat="false" ht="15" hidden="false" customHeight="false" outlineLevel="0" collapsed="false">
      <c r="A525" s="2" t="s">
        <v>813</v>
      </c>
      <c r="B525" s="2" t="s">
        <v>299</v>
      </c>
      <c r="C525" s="2" t="n">
        <v>1</v>
      </c>
      <c r="D525" s="2" t="s">
        <v>54</v>
      </c>
      <c r="E525" s="2" t="s">
        <v>2090</v>
      </c>
      <c r="F525" s="2"/>
      <c r="G525" s="2" t="n">
        <v>2</v>
      </c>
      <c r="H525" s="2" t="s">
        <v>1689</v>
      </c>
      <c r="I525" s="2" t="n">
        <v>7</v>
      </c>
    </row>
    <row r="526" customFormat="false" ht="15" hidden="false" customHeight="false" outlineLevel="0" collapsed="false">
      <c r="A526" s="2" t="s">
        <v>813</v>
      </c>
      <c r="B526" s="2" t="s">
        <v>496</v>
      </c>
      <c r="C526" s="2" t="n">
        <v>32</v>
      </c>
      <c r="D526" s="2" t="s">
        <v>76</v>
      </c>
      <c r="E526" s="2" t="s">
        <v>2143</v>
      </c>
      <c r="F526" s="2" t="n">
        <v>16</v>
      </c>
      <c r="G526" s="2" t="n">
        <v>48</v>
      </c>
      <c r="H526" s="2" t="s">
        <v>1693</v>
      </c>
      <c r="I526" s="2" t="n">
        <v>8</v>
      </c>
    </row>
    <row r="527" customFormat="false" ht="15" hidden="false" customHeight="false" outlineLevel="0" collapsed="false">
      <c r="A527" s="2" t="s">
        <v>813</v>
      </c>
      <c r="B527" s="2" t="s">
        <v>301</v>
      </c>
      <c r="C527" s="2" t="n">
        <v>10</v>
      </c>
      <c r="D527" s="2" t="s">
        <v>54</v>
      </c>
      <c r="E527" s="2" t="s">
        <v>2144</v>
      </c>
      <c r="F527" s="2" t="n">
        <v>5</v>
      </c>
      <c r="G527" s="2" t="n">
        <v>15</v>
      </c>
      <c r="H527" s="2" t="s">
        <v>1689</v>
      </c>
      <c r="I527" s="2" t="n">
        <v>9</v>
      </c>
    </row>
    <row r="528" customFormat="false" ht="15" hidden="false" customHeight="false" outlineLevel="0" collapsed="false">
      <c r="A528" s="2" t="s">
        <v>813</v>
      </c>
      <c r="B528" s="2" t="s">
        <v>234</v>
      </c>
      <c r="C528" s="2" t="n">
        <v>28</v>
      </c>
      <c r="D528" s="2" t="s">
        <v>54</v>
      </c>
      <c r="E528" s="2" t="s">
        <v>2145</v>
      </c>
      <c r="F528" s="2" t="n">
        <v>14</v>
      </c>
      <c r="G528" s="2" t="n">
        <v>42</v>
      </c>
      <c r="H528" s="2" t="s">
        <v>1700</v>
      </c>
      <c r="I528" s="2" t="n">
        <v>10</v>
      </c>
    </row>
    <row r="529" customFormat="false" ht="15" hidden="false" customHeight="false" outlineLevel="0" collapsed="false">
      <c r="A529" s="2" t="s">
        <v>816</v>
      </c>
      <c r="B529" s="2" t="s">
        <v>359</v>
      </c>
      <c r="C529" s="2" t="n">
        <v>375</v>
      </c>
      <c r="D529" s="2" t="s">
        <v>54</v>
      </c>
      <c r="E529" s="2" t="s">
        <v>2146</v>
      </c>
      <c r="F529" s="2" t="n">
        <v>187.5</v>
      </c>
      <c r="G529" s="2" t="n">
        <v>562.5</v>
      </c>
      <c r="H529" s="2" t="s">
        <v>1693</v>
      </c>
      <c r="I529" s="2" t="n">
        <v>1</v>
      </c>
    </row>
    <row r="530" customFormat="false" ht="15" hidden="false" customHeight="false" outlineLevel="0" collapsed="false">
      <c r="A530" s="2" t="s">
        <v>816</v>
      </c>
      <c r="B530" s="2" t="s">
        <v>177</v>
      </c>
      <c r="C530" s="2" t="n">
        <v>455</v>
      </c>
      <c r="D530" s="2" t="s">
        <v>54</v>
      </c>
      <c r="E530" s="2" t="s">
        <v>2147</v>
      </c>
      <c r="F530" s="2" t="n">
        <v>227.5</v>
      </c>
      <c r="G530" s="2" t="n">
        <v>682.5</v>
      </c>
      <c r="H530" s="2" t="s">
        <v>1689</v>
      </c>
      <c r="I530" s="2" t="n">
        <v>2</v>
      </c>
    </row>
    <row r="531" customFormat="false" ht="15" hidden="false" customHeight="false" outlineLevel="0" collapsed="false">
      <c r="A531" s="2" t="s">
        <v>816</v>
      </c>
      <c r="B531" s="2" t="s">
        <v>129</v>
      </c>
      <c r="C531" s="2" t="n">
        <v>70</v>
      </c>
      <c r="D531" s="2" t="s">
        <v>54</v>
      </c>
      <c r="E531" s="2" t="s">
        <v>2148</v>
      </c>
      <c r="F531" s="2" t="n">
        <v>35</v>
      </c>
      <c r="G531" s="2" t="n">
        <v>105</v>
      </c>
      <c r="H531" s="2" t="s">
        <v>1700</v>
      </c>
      <c r="I531" s="2" t="n">
        <v>3</v>
      </c>
    </row>
    <row r="532" customFormat="false" ht="15" hidden="false" customHeight="false" outlineLevel="0" collapsed="false">
      <c r="A532" s="2" t="s">
        <v>816</v>
      </c>
      <c r="B532" s="2" t="s">
        <v>367</v>
      </c>
      <c r="C532" s="2" t="n">
        <v>22</v>
      </c>
      <c r="D532" s="2" t="s">
        <v>76</v>
      </c>
      <c r="E532" s="2" t="s">
        <v>2149</v>
      </c>
      <c r="F532" s="2" t="n">
        <v>21</v>
      </c>
      <c r="G532" s="2" t="n">
        <v>23</v>
      </c>
      <c r="H532" s="2" t="s">
        <v>1689</v>
      </c>
      <c r="I532" s="2" t="n">
        <v>4</v>
      </c>
    </row>
    <row r="533" customFormat="false" ht="15" hidden="false" customHeight="false" outlineLevel="0" collapsed="false">
      <c r="A533" s="2" t="s">
        <v>816</v>
      </c>
      <c r="B533" s="2" t="s">
        <v>232</v>
      </c>
      <c r="C533" s="2" t="n">
        <v>24</v>
      </c>
      <c r="D533" s="2" t="s">
        <v>76</v>
      </c>
      <c r="E533" s="2" t="s">
        <v>2150</v>
      </c>
      <c r="F533" s="2" t="n">
        <v>12</v>
      </c>
      <c r="G533" s="2" t="n">
        <v>36</v>
      </c>
      <c r="H533" s="2" t="s">
        <v>1689</v>
      </c>
      <c r="I533" s="2" t="n">
        <v>5</v>
      </c>
    </row>
    <row r="534" customFormat="false" ht="15" hidden="false" customHeight="false" outlineLevel="0" collapsed="false">
      <c r="A534" s="2" t="s">
        <v>816</v>
      </c>
      <c r="B534" s="2" t="s">
        <v>271</v>
      </c>
      <c r="C534" s="2" t="n">
        <v>4</v>
      </c>
      <c r="D534" s="2" t="s">
        <v>54</v>
      </c>
      <c r="E534" s="2" t="s">
        <v>2151</v>
      </c>
      <c r="F534" s="2" t="n">
        <v>2</v>
      </c>
      <c r="G534" s="2" t="n">
        <v>6</v>
      </c>
      <c r="H534" s="2" t="s">
        <v>1689</v>
      </c>
      <c r="I534" s="2" t="n">
        <v>6</v>
      </c>
    </row>
    <row r="535" customFormat="false" ht="15" hidden="false" customHeight="false" outlineLevel="0" collapsed="false">
      <c r="A535" s="2" t="s">
        <v>816</v>
      </c>
      <c r="B535" s="2" t="s">
        <v>312</v>
      </c>
      <c r="C535" s="2" t="n">
        <v>2</v>
      </c>
      <c r="D535" s="2" t="s">
        <v>1687</v>
      </c>
      <c r="E535" s="2" t="s">
        <v>2152</v>
      </c>
      <c r="F535" s="2" t="n">
        <v>1</v>
      </c>
      <c r="G535" s="2" t="n">
        <v>3</v>
      </c>
      <c r="H535" s="2" t="s">
        <v>1689</v>
      </c>
      <c r="I535" s="2" t="n">
        <v>7</v>
      </c>
    </row>
    <row r="536" customFormat="false" ht="15" hidden="false" customHeight="false" outlineLevel="0" collapsed="false">
      <c r="A536" s="2" t="s">
        <v>816</v>
      </c>
      <c r="B536" s="2" t="s">
        <v>131</v>
      </c>
      <c r="C536" s="2" t="n">
        <v>3</v>
      </c>
      <c r="D536" s="2" t="s">
        <v>54</v>
      </c>
      <c r="E536" s="2" t="s">
        <v>2153</v>
      </c>
      <c r="F536" s="2" t="n">
        <v>1.5</v>
      </c>
      <c r="G536" s="2" t="n">
        <v>4.5</v>
      </c>
      <c r="H536" s="2" t="s">
        <v>1689</v>
      </c>
      <c r="I536" s="2" t="n">
        <v>8</v>
      </c>
    </row>
    <row r="537" customFormat="false" ht="15" hidden="false" customHeight="false" outlineLevel="0" collapsed="false">
      <c r="A537" s="2" t="s">
        <v>816</v>
      </c>
      <c r="B537" s="2" t="s">
        <v>131</v>
      </c>
      <c r="C537" s="2" t="n">
        <v>1</v>
      </c>
      <c r="D537" s="2" t="s">
        <v>54</v>
      </c>
      <c r="E537" s="2" t="s">
        <v>2154</v>
      </c>
      <c r="F537" s="2" t="n">
        <v>0.5</v>
      </c>
      <c r="G537" s="2" t="n">
        <v>1.5</v>
      </c>
      <c r="H537" s="2" t="s">
        <v>1689</v>
      </c>
      <c r="I537" s="2" t="n">
        <v>9</v>
      </c>
    </row>
    <row r="538" customFormat="false" ht="15" hidden="false" customHeight="false" outlineLevel="0" collapsed="false">
      <c r="A538" s="2" t="s">
        <v>816</v>
      </c>
      <c r="B538" s="2" t="s">
        <v>260</v>
      </c>
      <c r="C538" s="2" t="n">
        <v>150</v>
      </c>
      <c r="D538" s="2" t="s">
        <v>54</v>
      </c>
      <c r="E538" s="2" t="s">
        <v>2155</v>
      </c>
      <c r="F538" s="2" t="n">
        <v>75</v>
      </c>
      <c r="G538" s="2" t="n">
        <v>225</v>
      </c>
      <c r="H538" s="2" t="s">
        <v>1689</v>
      </c>
      <c r="I538" s="2" t="n">
        <v>10</v>
      </c>
    </row>
    <row r="539" customFormat="false" ht="15" hidden="false" customHeight="false" outlineLevel="0" collapsed="false">
      <c r="A539" s="2" t="s">
        <v>816</v>
      </c>
      <c r="B539" s="2" t="s">
        <v>219</v>
      </c>
      <c r="C539" s="2" t="n">
        <v>180</v>
      </c>
      <c r="D539" s="2" t="s">
        <v>54</v>
      </c>
      <c r="E539" s="2" t="s">
        <v>2156</v>
      </c>
      <c r="F539" s="2" t="n">
        <v>90</v>
      </c>
      <c r="G539" s="2" t="n">
        <v>270</v>
      </c>
      <c r="H539" s="2" t="s">
        <v>1689</v>
      </c>
      <c r="I539" s="2" t="n">
        <v>11</v>
      </c>
    </row>
    <row r="540" customFormat="false" ht="15" hidden="false" customHeight="false" outlineLevel="0" collapsed="false">
      <c r="A540" s="2" t="s">
        <v>816</v>
      </c>
      <c r="B540" s="2" t="s">
        <v>394</v>
      </c>
      <c r="C540" s="2" t="n">
        <v>100</v>
      </c>
      <c r="D540" s="2" t="s">
        <v>54</v>
      </c>
      <c r="E540" s="2" t="s">
        <v>2157</v>
      </c>
      <c r="F540" s="2" t="n">
        <v>50</v>
      </c>
      <c r="G540" s="2" t="n">
        <v>150</v>
      </c>
      <c r="H540" s="2" t="s">
        <v>1689</v>
      </c>
      <c r="I540" s="2" t="n">
        <v>12</v>
      </c>
    </row>
    <row r="541" customFormat="false" ht="15" hidden="false" customHeight="false" outlineLevel="0" collapsed="false">
      <c r="A541" s="2" t="s">
        <v>819</v>
      </c>
      <c r="B541" s="2" t="s">
        <v>355</v>
      </c>
      <c r="C541" s="2" t="n">
        <v>250</v>
      </c>
      <c r="D541" s="2" t="s">
        <v>54</v>
      </c>
      <c r="E541" s="2" t="s">
        <v>2158</v>
      </c>
      <c r="F541" s="2" t="n">
        <v>125</v>
      </c>
      <c r="G541" s="2" t="n">
        <v>375</v>
      </c>
      <c r="H541" s="2" t="s">
        <v>1693</v>
      </c>
      <c r="I541" s="2" t="n">
        <v>1</v>
      </c>
    </row>
    <row r="542" customFormat="false" ht="15" hidden="false" customHeight="false" outlineLevel="0" collapsed="false">
      <c r="A542" s="2" t="s">
        <v>819</v>
      </c>
      <c r="B542" s="2" t="s">
        <v>514</v>
      </c>
      <c r="C542" s="2" t="n">
        <v>310</v>
      </c>
      <c r="D542" s="2" t="s">
        <v>54</v>
      </c>
      <c r="E542" s="2" t="s">
        <v>2159</v>
      </c>
      <c r="F542" s="2" t="n">
        <v>155</v>
      </c>
      <c r="G542" s="2" t="n">
        <v>465</v>
      </c>
      <c r="H542" s="2" t="s">
        <v>1689</v>
      </c>
      <c r="I542" s="2" t="n">
        <v>2</v>
      </c>
    </row>
    <row r="543" customFormat="false" ht="15" hidden="false" customHeight="false" outlineLevel="0" collapsed="false">
      <c r="A543" s="2" t="s">
        <v>819</v>
      </c>
      <c r="B543" s="2" t="s">
        <v>399</v>
      </c>
      <c r="C543" s="2" t="n">
        <v>60</v>
      </c>
      <c r="D543" s="2" t="s">
        <v>54</v>
      </c>
      <c r="E543" s="2" t="s">
        <v>2160</v>
      </c>
      <c r="F543" s="2" t="n">
        <v>30</v>
      </c>
      <c r="G543" s="2" t="n">
        <v>90</v>
      </c>
      <c r="H543" s="2" t="s">
        <v>1693</v>
      </c>
      <c r="I543" s="2" t="n">
        <v>3</v>
      </c>
    </row>
    <row r="544" customFormat="false" ht="15" hidden="false" customHeight="false" outlineLevel="0" collapsed="false">
      <c r="A544" s="2" t="s">
        <v>819</v>
      </c>
      <c r="B544" s="2" t="s">
        <v>540</v>
      </c>
      <c r="C544" s="2" t="n">
        <v>7</v>
      </c>
      <c r="D544" s="2" t="s">
        <v>54</v>
      </c>
      <c r="E544" s="2" t="s">
        <v>2161</v>
      </c>
      <c r="F544" s="2" t="n">
        <v>3.5</v>
      </c>
      <c r="G544" s="2" t="n">
        <v>10.5</v>
      </c>
      <c r="H544" s="2" t="s">
        <v>1700</v>
      </c>
      <c r="I544" s="2" t="n">
        <v>4</v>
      </c>
    </row>
    <row r="545" customFormat="false" ht="15" hidden="false" customHeight="false" outlineLevel="0" collapsed="false">
      <c r="A545" s="2" t="s">
        <v>819</v>
      </c>
      <c r="B545" s="2" t="s">
        <v>204</v>
      </c>
      <c r="C545" s="2" t="n">
        <v>7</v>
      </c>
      <c r="D545" s="2" t="s">
        <v>54</v>
      </c>
      <c r="E545" s="2" t="s">
        <v>2162</v>
      </c>
      <c r="F545" s="2" t="n">
        <v>3.5</v>
      </c>
      <c r="G545" s="2" t="n">
        <v>10.5</v>
      </c>
      <c r="H545" s="2" t="s">
        <v>1700</v>
      </c>
      <c r="I545" s="2" t="n">
        <v>5</v>
      </c>
    </row>
    <row r="546" customFormat="false" ht="15" hidden="false" customHeight="false" outlineLevel="0" collapsed="false">
      <c r="A546" s="2" t="s">
        <v>819</v>
      </c>
      <c r="B546" s="2" t="s">
        <v>496</v>
      </c>
      <c r="C546" s="2" t="n">
        <v>8</v>
      </c>
      <c r="D546" s="2" t="s">
        <v>76</v>
      </c>
      <c r="E546" s="2" t="s">
        <v>2163</v>
      </c>
      <c r="F546" s="2" t="n">
        <v>4</v>
      </c>
      <c r="G546" s="2" t="n">
        <v>12</v>
      </c>
      <c r="H546" s="2" t="s">
        <v>1693</v>
      </c>
      <c r="I546" s="2" t="n">
        <v>6</v>
      </c>
    </row>
    <row r="547" customFormat="false" ht="15" hidden="false" customHeight="false" outlineLevel="0" collapsed="false">
      <c r="A547" s="2" t="s">
        <v>819</v>
      </c>
      <c r="B547" s="2" t="s">
        <v>456</v>
      </c>
      <c r="C547" s="2" t="n">
        <v>0.25</v>
      </c>
      <c r="D547" s="2" t="s">
        <v>1687</v>
      </c>
      <c r="E547" s="2" t="s">
        <v>2164</v>
      </c>
      <c r="F547" s="2"/>
      <c r="G547" s="2" t="n">
        <v>1.25</v>
      </c>
      <c r="H547" s="2" t="s">
        <v>1689</v>
      </c>
      <c r="I547" s="2" t="n">
        <v>7</v>
      </c>
    </row>
    <row r="548" customFormat="false" ht="15" hidden="false" customHeight="false" outlineLevel="0" collapsed="false">
      <c r="A548" s="2" t="s">
        <v>819</v>
      </c>
      <c r="B548" s="2" t="s">
        <v>301</v>
      </c>
      <c r="C548" s="2" t="n">
        <v>4</v>
      </c>
      <c r="D548" s="2" t="s">
        <v>54</v>
      </c>
      <c r="E548" s="2" t="s">
        <v>2165</v>
      </c>
      <c r="F548" s="2" t="n">
        <v>2</v>
      </c>
      <c r="G548" s="2" t="n">
        <v>6</v>
      </c>
      <c r="H548" s="2" t="s">
        <v>1689</v>
      </c>
      <c r="I548" s="2" t="n">
        <v>8</v>
      </c>
    </row>
    <row r="549" customFormat="false" ht="15" hidden="false" customHeight="false" outlineLevel="0" collapsed="false">
      <c r="A549" s="2" t="s">
        <v>819</v>
      </c>
      <c r="B549" s="2" t="s">
        <v>301</v>
      </c>
      <c r="C549" s="2" t="n">
        <v>4</v>
      </c>
      <c r="D549" s="2" t="s">
        <v>54</v>
      </c>
      <c r="E549" s="2" t="s">
        <v>2166</v>
      </c>
      <c r="F549" s="2" t="n">
        <v>2</v>
      </c>
      <c r="G549" s="2" t="n">
        <v>6</v>
      </c>
      <c r="H549" s="2" t="s">
        <v>1689</v>
      </c>
      <c r="I549" s="2" t="n">
        <v>9</v>
      </c>
    </row>
    <row r="550" customFormat="false" ht="15" hidden="false" customHeight="false" outlineLevel="0" collapsed="false">
      <c r="A550" s="2" t="s">
        <v>819</v>
      </c>
      <c r="B550" s="2" t="s">
        <v>312</v>
      </c>
      <c r="C550" s="2" t="n">
        <v>0.25</v>
      </c>
      <c r="D550" s="2" t="s">
        <v>1687</v>
      </c>
      <c r="E550" s="2" t="s">
        <v>2167</v>
      </c>
      <c r="F550" s="2"/>
      <c r="G550" s="2" t="n">
        <v>1.25</v>
      </c>
      <c r="H550" s="2" t="s">
        <v>1689</v>
      </c>
      <c r="I550" s="2" t="n">
        <v>10</v>
      </c>
    </row>
    <row r="551" customFormat="false" ht="15" hidden="false" customHeight="false" outlineLevel="0" collapsed="false">
      <c r="A551" s="2" t="s">
        <v>819</v>
      </c>
      <c r="B551" s="2" t="s">
        <v>129</v>
      </c>
      <c r="C551" s="2" t="n">
        <v>7</v>
      </c>
      <c r="D551" s="2" t="s">
        <v>54</v>
      </c>
      <c r="E551" s="2" t="s">
        <v>2168</v>
      </c>
      <c r="F551" s="2" t="n">
        <v>3.5</v>
      </c>
      <c r="G551" s="2" t="n">
        <v>10.5</v>
      </c>
      <c r="H551" s="2" t="s">
        <v>1700</v>
      </c>
      <c r="I551" s="2" t="n">
        <v>11</v>
      </c>
    </row>
    <row r="552" customFormat="false" ht="15" hidden="false" customHeight="false" outlineLevel="0" collapsed="false">
      <c r="A552" s="2" t="s">
        <v>819</v>
      </c>
      <c r="B552" s="2" t="s">
        <v>232</v>
      </c>
      <c r="C552" s="2" t="n">
        <v>4</v>
      </c>
      <c r="D552" s="2" t="s">
        <v>76</v>
      </c>
      <c r="E552" s="2" t="s">
        <v>2169</v>
      </c>
      <c r="F552" s="2" t="n">
        <v>2</v>
      </c>
      <c r="G552" s="2" t="n">
        <v>6</v>
      </c>
      <c r="H552" s="2" t="s">
        <v>1689</v>
      </c>
      <c r="I552" s="2" t="n">
        <v>12</v>
      </c>
    </row>
    <row r="553" customFormat="false" ht="15" hidden="false" customHeight="false" outlineLevel="0" collapsed="false">
      <c r="A553" s="2" t="s">
        <v>819</v>
      </c>
      <c r="B553" s="2" t="s">
        <v>271</v>
      </c>
      <c r="C553" s="2" t="n">
        <v>1</v>
      </c>
      <c r="D553" s="2" t="s">
        <v>54</v>
      </c>
      <c r="E553" s="2" t="s">
        <v>2170</v>
      </c>
      <c r="F553" s="2" t="n">
        <v>0.5</v>
      </c>
      <c r="G553" s="2" t="n">
        <v>1.5</v>
      </c>
      <c r="H553" s="2" t="s">
        <v>1689</v>
      </c>
      <c r="I553" s="2" t="n">
        <v>13</v>
      </c>
    </row>
    <row r="554" customFormat="false" ht="15" hidden="false" customHeight="false" outlineLevel="0" collapsed="false">
      <c r="A554" s="2" t="s">
        <v>819</v>
      </c>
      <c r="B554" s="2" t="s">
        <v>143</v>
      </c>
      <c r="C554" s="2" t="n">
        <v>1</v>
      </c>
      <c r="D554" s="2" t="s">
        <v>76</v>
      </c>
      <c r="E554" s="2" t="s">
        <v>2171</v>
      </c>
      <c r="F554" s="2" t="n">
        <v>0.5</v>
      </c>
      <c r="G554" s="2" t="n">
        <v>1.5</v>
      </c>
      <c r="H554" s="2" t="s">
        <v>1689</v>
      </c>
      <c r="I554" s="2" t="n">
        <v>14</v>
      </c>
    </row>
    <row r="555" customFormat="false" ht="15" hidden="false" customHeight="false" outlineLevel="0" collapsed="false">
      <c r="A555" s="2" t="s">
        <v>819</v>
      </c>
      <c r="B555" s="2" t="s">
        <v>480</v>
      </c>
      <c r="C555" s="2" t="n">
        <v>1</v>
      </c>
      <c r="D555" s="2" t="s">
        <v>54</v>
      </c>
      <c r="E555" s="2" t="s">
        <v>2172</v>
      </c>
      <c r="F555" s="2" t="n">
        <v>0.5</v>
      </c>
      <c r="G555" s="2" t="n">
        <v>1.5</v>
      </c>
      <c r="H555" s="2" t="s">
        <v>1689</v>
      </c>
      <c r="I555" s="2" t="n">
        <v>15</v>
      </c>
    </row>
    <row r="556" customFormat="false" ht="15" hidden="false" customHeight="false" outlineLevel="0" collapsed="false">
      <c r="A556" s="2" t="s">
        <v>822</v>
      </c>
      <c r="B556" s="2" t="s">
        <v>484</v>
      </c>
      <c r="C556" s="2" t="n">
        <v>130</v>
      </c>
      <c r="D556" s="2" t="s">
        <v>54</v>
      </c>
      <c r="E556" s="2" t="s">
        <v>2173</v>
      </c>
      <c r="F556" s="2" t="n">
        <v>65</v>
      </c>
      <c r="G556" s="2" t="n">
        <v>195</v>
      </c>
      <c r="H556" s="2" t="s">
        <v>1693</v>
      </c>
      <c r="I556" s="2" t="n">
        <v>1</v>
      </c>
    </row>
    <row r="557" customFormat="false" ht="15" hidden="false" customHeight="false" outlineLevel="0" collapsed="false">
      <c r="A557" s="2" t="s">
        <v>822</v>
      </c>
      <c r="B557" s="2" t="s">
        <v>177</v>
      </c>
      <c r="C557" s="2" t="n">
        <v>60</v>
      </c>
      <c r="D557" s="2" t="s">
        <v>54</v>
      </c>
      <c r="E557" s="2" t="s">
        <v>2174</v>
      </c>
      <c r="F557" s="2" t="n">
        <v>30</v>
      </c>
      <c r="G557" s="2" t="n">
        <v>90</v>
      </c>
      <c r="H557" s="2" t="s">
        <v>1689</v>
      </c>
      <c r="I557" s="2" t="n">
        <v>2</v>
      </c>
    </row>
    <row r="558" customFormat="false" ht="15" hidden="false" customHeight="false" outlineLevel="0" collapsed="false">
      <c r="A558" s="2" t="s">
        <v>822</v>
      </c>
      <c r="B558" s="2" t="s">
        <v>249</v>
      </c>
      <c r="C558" s="2" t="n">
        <v>8</v>
      </c>
      <c r="D558" s="2" t="s">
        <v>54</v>
      </c>
      <c r="E558" s="2" t="s">
        <v>2175</v>
      </c>
      <c r="F558" s="2" t="n">
        <v>4</v>
      </c>
      <c r="G558" s="2" t="n">
        <v>12</v>
      </c>
      <c r="H558" s="2" t="s">
        <v>1689</v>
      </c>
      <c r="I558" s="2" t="n">
        <v>3</v>
      </c>
    </row>
    <row r="559" customFormat="false" ht="15" hidden="false" customHeight="false" outlineLevel="0" collapsed="false">
      <c r="A559" s="2" t="s">
        <v>822</v>
      </c>
      <c r="B559" s="2" t="s">
        <v>271</v>
      </c>
      <c r="C559" s="2" t="n">
        <v>1</v>
      </c>
      <c r="D559" s="2" t="s">
        <v>54</v>
      </c>
      <c r="E559" s="2" t="s">
        <v>2176</v>
      </c>
      <c r="F559" s="2" t="n">
        <v>0.5</v>
      </c>
      <c r="G559" s="2" t="n">
        <v>1.5</v>
      </c>
      <c r="H559" s="2" t="s">
        <v>1689</v>
      </c>
      <c r="I559" s="2" t="n">
        <v>4</v>
      </c>
    </row>
    <row r="560" customFormat="false" ht="15" hidden="false" customHeight="false" outlineLevel="0" collapsed="false">
      <c r="A560" s="2" t="s">
        <v>822</v>
      </c>
      <c r="B560" s="2" t="s">
        <v>486</v>
      </c>
      <c r="C560" s="2" t="n">
        <v>4</v>
      </c>
      <c r="D560" s="2" t="s">
        <v>54</v>
      </c>
      <c r="E560" s="2" t="s">
        <v>2177</v>
      </c>
      <c r="F560" s="2" t="n">
        <v>2</v>
      </c>
      <c r="G560" s="2" t="n">
        <v>6</v>
      </c>
      <c r="H560" s="2" t="s">
        <v>1700</v>
      </c>
      <c r="I560" s="2" t="n">
        <v>5</v>
      </c>
    </row>
    <row r="561" customFormat="false" ht="15" hidden="false" customHeight="false" outlineLevel="0" collapsed="false">
      <c r="A561" s="2" t="s">
        <v>822</v>
      </c>
      <c r="B561" s="2" t="s">
        <v>418</v>
      </c>
      <c r="C561" s="2" t="n">
        <v>1</v>
      </c>
      <c r="D561" s="2" t="s">
        <v>54</v>
      </c>
      <c r="E561" s="2" t="s">
        <v>2178</v>
      </c>
      <c r="F561" s="2" t="n">
        <v>0.5</v>
      </c>
      <c r="G561" s="2" t="n">
        <v>1.5</v>
      </c>
      <c r="H561" s="2" t="s">
        <v>1693</v>
      </c>
      <c r="I561" s="2" t="n">
        <v>6</v>
      </c>
    </row>
    <row r="562" customFormat="false" ht="15" hidden="false" customHeight="false" outlineLevel="0" collapsed="false">
      <c r="A562" s="2" t="s">
        <v>822</v>
      </c>
      <c r="B562" s="2" t="s">
        <v>195</v>
      </c>
      <c r="C562" s="2" t="n">
        <v>100</v>
      </c>
      <c r="D562" s="2" t="s">
        <v>54</v>
      </c>
      <c r="E562" s="2" t="s">
        <v>2179</v>
      </c>
      <c r="F562" s="2" t="n">
        <v>50</v>
      </c>
      <c r="G562" s="2" t="n">
        <v>150</v>
      </c>
      <c r="H562" s="2" t="s">
        <v>1693</v>
      </c>
      <c r="I562" s="2" t="n">
        <v>7</v>
      </c>
    </row>
    <row r="563" customFormat="false" ht="15" hidden="false" customHeight="false" outlineLevel="0" collapsed="false">
      <c r="A563" s="2" t="s">
        <v>822</v>
      </c>
      <c r="B563" s="2" t="s">
        <v>500</v>
      </c>
      <c r="C563" s="2" t="n">
        <v>2</v>
      </c>
      <c r="D563" s="2" t="s">
        <v>1687</v>
      </c>
      <c r="E563" s="2" t="s">
        <v>2107</v>
      </c>
      <c r="F563" s="2" t="n">
        <v>1</v>
      </c>
      <c r="G563" s="2" t="n">
        <v>3</v>
      </c>
      <c r="H563" s="2" t="s">
        <v>1689</v>
      </c>
      <c r="I563" s="2" t="n">
        <v>8</v>
      </c>
    </row>
    <row r="564" customFormat="false" ht="15" hidden="false" customHeight="false" outlineLevel="0" collapsed="false">
      <c r="A564" s="2" t="s">
        <v>822</v>
      </c>
      <c r="B564" s="2" t="s">
        <v>312</v>
      </c>
      <c r="C564" s="2" t="n">
        <v>2</v>
      </c>
      <c r="D564" s="2" t="s">
        <v>1687</v>
      </c>
      <c r="E564" s="2" t="s">
        <v>2180</v>
      </c>
      <c r="F564" s="2" t="n">
        <v>1</v>
      </c>
      <c r="G564" s="2" t="n">
        <v>3</v>
      </c>
      <c r="H564" s="2" t="s">
        <v>1689</v>
      </c>
      <c r="I564" s="2" t="n">
        <v>9</v>
      </c>
    </row>
    <row r="565" customFormat="false" ht="15" hidden="false" customHeight="false" outlineLevel="0" collapsed="false">
      <c r="A565" s="2" t="s">
        <v>822</v>
      </c>
      <c r="B565" s="2" t="s">
        <v>456</v>
      </c>
      <c r="C565" s="2" t="n">
        <v>1</v>
      </c>
      <c r="D565" s="2" t="s">
        <v>1687</v>
      </c>
      <c r="E565" s="2" t="s">
        <v>2181</v>
      </c>
      <c r="F565" s="2"/>
      <c r="G565" s="2" t="n">
        <v>2</v>
      </c>
      <c r="H565" s="2" t="s">
        <v>1689</v>
      </c>
      <c r="I565" s="2" t="n">
        <v>10</v>
      </c>
    </row>
    <row r="566" customFormat="false" ht="15" hidden="false" customHeight="false" outlineLevel="0" collapsed="false">
      <c r="A566" s="2" t="s">
        <v>822</v>
      </c>
      <c r="B566" s="2" t="s">
        <v>299</v>
      </c>
      <c r="C566" s="2" t="n">
        <v>3</v>
      </c>
      <c r="D566" s="2" t="s">
        <v>54</v>
      </c>
      <c r="E566" s="2" t="s">
        <v>2182</v>
      </c>
      <c r="F566" s="2" t="n">
        <v>2</v>
      </c>
      <c r="G566" s="2" t="n">
        <v>4</v>
      </c>
      <c r="H566" s="2" t="s">
        <v>1689</v>
      </c>
      <c r="I566" s="2" t="n">
        <v>11</v>
      </c>
    </row>
    <row r="567" customFormat="false" ht="15" hidden="false" customHeight="false" outlineLevel="0" collapsed="false">
      <c r="A567" s="2" t="s">
        <v>822</v>
      </c>
      <c r="B567" s="2" t="s">
        <v>91</v>
      </c>
      <c r="C567" s="2" t="n">
        <v>7</v>
      </c>
      <c r="D567" s="2" t="s">
        <v>54</v>
      </c>
      <c r="E567" s="2" t="s">
        <v>2183</v>
      </c>
      <c r="F567" s="2" t="n">
        <v>3.5</v>
      </c>
      <c r="G567" s="2" t="n">
        <v>10.5</v>
      </c>
      <c r="H567" s="2" t="s">
        <v>1689</v>
      </c>
      <c r="I567" s="2" t="n">
        <v>12</v>
      </c>
    </row>
    <row r="568" customFormat="false" ht="15" hidden="false" customHeight="false" outlineLevel="0" collapsed="false">
      <c r="A568" s="2" t="s">
        <v>822</v>
      </c>
      <c r="B568" s="2" t="s">
        <v>496</v>
      </c>
      <c r="C568" s="2" t="n">
        <v>32</v>
      </c>
      <c r="D568" s="2" t="s">
        <v>76</v>
      </c>
      <c r="E568" s="2" t="s">
        <v>2143</v>
      </c>
      <c r="F568" s="2" t="n">
        <v>16</v>
      </c>
      <c r="G568" s="2" t="n">
        <v>48</v>
      </c>
      <c r="H568" s="2" t="s">
        <v>1693</v>
      </c>
      <c r="I568" s="2" t="n">
        <v>13</v>
      </c>
    </row>
    <row r="569" customFormat="false" ht="15" hidden="false" customHeight="false" outlineLevel="0" collapsed="false">
      <c r="A569" s="2" t="s">
        <v>822</v>
      </c>
      <c r="B569" s="2" t="s">
        <v>466</v>
      </c>
      <c r="C569" s="2" t="n">
        <v>16</v>
      </c>
      <c r="D569" s="2" t="s">
        <v>76</v>
      </c>
      <c r="E569" s="2" t="s">
        <v>2184</v>
      </c>
      <c r="F569" s="2" t="n">
        <v>8</v>
      </c>
      <c r="G569" s="2" t="n">
        <v>24</v>
      </c>
      <c r="H569" s="2" t="s">
        <v>1689</v>
      </c>
      <c r="I569" s="2" t="n">
        <v>14</v>
      </c>
    </row>
    <row r="570" customFormat="false" ht="15" hidden="false" customHeight="false" outlineLevel="0" collapsed="false">
      <c r="A570" s="2" t="s">
        <v>822</v>
      </c>
      <c r="B570" s="2" t="s">
        <v>367</v>
      </c>
      <c r="C570" s="2" t="n">
        <v>15</v>
      </c>
      <c r="D570" s="2" t="s">
        <v>76</v>
      </c>
      <c r="E570" s="2" t="s">
        <v>2133</v>
      </c>
      <c r="F570" s="2" t="n">
        <v>14</v>
      </c>
      <c r="G570" s="2" t="n">
        <v>16</v>
      </c>
      <c r="H570" s="2" t="s">
        <v>1689</v>
      </c>
      <c r="I570" s="2" t="n">
        <v>15</v>
      </c>
    </row>
    <row r="571" customFormat="false" ht="15" hidden="false" customHeight="false" outlineLevel="0" collapsed="false">
      <c r="A571" s="2" t="s">
        <v>822</v>
      </c>
      <c r="B571" s="2" t="s">
        <v>480</v>
      </c>
      <c r="C571" s="2" t="n">
        <v>1</v>
      </c>
      <c r="D571" s="2" t="s">
        <v>54</v>
      </c>
      <c r="E571" s="2" t="s">
        <v>2172</v>
      </c>
      <c r="F571" s="2" t="n">
        <v>0.5</v>
      </c>
      <c r="G571" s="2" t="n">
        <v>1.5</v>
      </c>
      <c r="H571" s="2" t="s">
        <v>1689</v>
      </c>
      <c r="I571" s="2" t="n">
        <v>16</v>
      </c>
    </row>
    <row r="572" customFormat="false" ht="15" hidden="false" customHeight="false" outlineLevel="0" collapsed="false">
      <c r="A572" s="2" t="s">
        <v>825</v>
      </c>
      <c r="B572" s="2" t="s">
        <v>353</v>
      </c>
      <c r="C572" s="2" t="n">
        <v>200</v>
      </c>
      <c r="D572" s="2" t="s">
        <v>54</v>
      </c>
      <c r="E572" s="2" t="s">
        <v>2185</v>
      </c>
      <c r="F572" s="2" t="n">
        <v>100</v>
      </c>
      <c r="G572" s="2" t="n">
        <v>300</v>
      </c>
      <c r="H572" s="2" t="s">
        <v>1693</v>
      </c>
      <c r="I572" s="2" t="n">
        <v>1</v>
      </c>
    </row>
    <row r="573" customFormat="false" ht="15" hidden="false" customHeight="false" outlineLevel="0" collapsed="false">
      <c r="A573" s="2" t="s">
        <v>825</v>
      </c>
      <c r="B573" s="2" t="s">
        <v>388</v>
      </c>
      <c r="C573" s="2" t="n">
        <v>200</v>
      </c>
      <c r="D573" s="2" t="s">
        <v>54</v>
      </c>
      <c r="E573" s="2" t="s">
        <v>2186</v>
      </c>
      <c r="F573" s="2" t="n">
        <v>100</v>
      </c>
      <c r="G573" s="2" t="n">
        <v>300</v>
      </c>
      <c r="H573" s="2" t="s">
        <v>1689</v>
      </c>
      <c r="I573" s="2" t="n">
        <v>2</v>
      </c>
    </row>
    <row r="574" customFormat="false" ht="15" hidden="false" customHeight="false" outlineLevel="0" collapsed="false">
      <c r="A574" s="2" t="s">
        <v>825</v>
      </c>
      <c r="B574" s="2" t="s">
        <v>117</v>
      </c>
      <c r="C574" s="2" t="n">
        <v>0.667</v>
      </c>
      <c r="D574" s="2" t="s">
        <v>1687</v>
      </c>
      <c r="E574" s="2" t="s">
        <v>2187</v>
      </c>
      <c r="F574" s="2"/>
      <c r="G574" s="2" t="n">
        <v>1.66666666666667</v>
      </c>
      <c r="H574" s="2" t="s">
        <v>1700</v>
      </c>
      <c r="I574" s="2" t="n">
        <v>3</v>
      </c>
    </row>
    <row r="575" customFormat="false" ht="15" hidden="false" customHeight="false" outlineLevel="0" collapsed="false">
      <c r="A575" s="2" t="s">
        <v>825</v>
      </c>
      <c r="B575" s="2" t="s">
        <v>219</v>
      </c>
      <c r="C575" s="2" t="n">
        <v>150</v>
      </c>
      <c r="D575" s="2" t="s">
        <v>54</v>
      </c>
      <c r="E575" s="2" t="s">
        <v>2188</v>
      </c>
      <c r="F575" s="2" t="n">
        <v>75</v>
      </c>
      <c r="G575" s="2" t="n">
        <v>225</v>
      </c>
      <c r="H575" s="2" t="s">
        <v>1689</v>
      </c>
      <c r="I575" s="2" t="n">
        <v>4</v>
      </c>
    </row>
    <row r="576" customFormat="false" ht="15" hidden="false" customHeight="false" outlineLevel="0" collapsed="false">
      <c r="A576" s="2" t="s">
        <v>825</v>
      </c>
      <c r="B576" s="2" t="s">
        <v>260</v>
      </c>
      <c r="C576" s="2" t="n">
        <v>150</v>
      </c>
      <c r="D576" s="2" t="s">
        <v>54</v>
      </c>
      <c r="E576" s="2" t="s">
        <v>2189</v>
      </c>
      <c r="F576" s="2" t="n">
        <v>75</v>
      </c>
      <c r="G576" s="2" t="n">
        <v>225</v>
      </c>
      <c r="H576" s="2" t="s">
        <v>1689</v>
      </c>
      <c r="I576" s="2" t="n">
        <v>5</v>
      </c>
    </row>
    <row r="577" customFormat="false" ht="15" hidden="false" customHeight="false" outlineLevel="0" collapsed="false">
      <c r="A577" s="2" t="s">
        <v>825</v>
      </c>
      <c r="B577" s="2" t="s">
        <v>454</v>
      </c>
      <c r="C577" s="2" t="n">
        <v>75</v>
      </c>
      <c r="D577" s="2" t="s">
        <v>54</v>
      </c>
      <c r="E577" s="2" t="s">
        <v>2190</v>
      </c>
      <c r="F577" s="2" t="n">
        <v>37.5</v>
      </c>
      <c r="G577" s="2" t="n">
        <v>112.5</v>
      </c>
      <c r="H577" s="2" t="s">
        <v>1689</v>
      </c>
      <c r="I577" s="2" t="n">
        <v>6</v>
      </c>
    </row>
    <row r="578" customFormat="false" ht="15" hidden="false" customHeight="false" outlineLevel="0" collapsed="false">
      <c r="A578" s="2" t="s">
        <v>825</v>
      </c>
      <c r="B578" s="2" t="s">
        <v>458</v>
      </c>
      <c r="C578" s="2" t="n">
        <v>37.5</v>
      </c>
      <c r="D578" s="2" t="s">
        <v>54</v>
      </c>
      <c r="E578" s="2" t="s">
        <v>2191</v>
      </c>
      <c r="F578" s="2" t="n">
        <v>18.75</v>
      </c>
      <c r="G578" s="2" t="n">
        <v>56.25</v>
      </c>
      <c r="H578" s="2" t="s">
        <v>1689</v>
      </c>
      <c r="I578" s="2" t="n">
        <v>7</v>
      </c>
    </row>
    <row r="579" customFormat="false" ht="15" hidden="false" customHeight="false" outlineLevel="0" collapsed="false">
      <c r="A579" s="2" t="s">
        <v>825</v>
      </c>
      <c r="B579" s="2" t="s">
        <v>394</v>
      </c>
      <c r="C579" s="2" t="n">
        <v>100</v>
      </c>
      <c r="D579" s="2" t="s">
        <v>54</v>
      </c>
      <c r="E579" s="2" t="s">
        <v>2192</v>
      </c>
      <c r="F579" s="2" t="n">
        <v>50</v>
      </c>
      <c r="G579" s="2" t="n">
        <v>150</v>
      </c>
      <c r="H579" s="2" t="s">
        <v>1689</v>
      </c>
      <c r="I579" s="2" t="n">
        <v>8</v>
      </c>
    </row>
    <row r="580" customFormat="false" ht="15" hidden="false" customHeight="false" outlineLevel="0" collapsed="false">
      <c r="A580" s="2" t="s">
        <v>825</v>
      </c>
      <c r="B580" s="2" t="s">
        <v>129</v>
      </c>
      <c r="C580" s="2" t="n">
        <v>5</v>
      </c>
      <c r="D580" s="2" t="s">
        <v>54</v>
      </c>
      <c r="E580" s="2" t="s">
        <v>2193</v>
      </c>
      <c r="F580" s="2" t="n">
        <v>10</v>
      </c>
      <c r="G580" s="2" t="n">
        <v>30</v>
      </c>
      <c r="H580" s="2" t="s">
        <v>1700</v>
      </c>
      <c r="I580" s="2" t="n">
        <v>9</v>
      </c>
    </row>
    <row r="581" customFormat="false" ht="15" hidden="false" customHeight="false" outlineLevel="0" collapsed="false">
      <c r="A581" s="2" t="s">
        <v>825</v>
      </c>
      <c r="B581" s="2" t="s">
        <v>367</v>
      </c>
      <c r="C581" s="2" t="n">
        <v>15</v>
      </c>
      <c r="D581" s="2" t="s">
        <v>76</v>
      </c>
      <c r="E581" s="2" t="s">
        <v>2194</v>
      </c>
      <c r="F581" s="2" t="n">
        <v>14</v>
      </c>
      <c r="G581" s="2" t="n">
        <v>16</v>
      </c>
      <c r="H581" s="2" t="s">
        <v>1689</v>
      </c>
      <c r="I581" s="2" t="n">
        <v>10</v>
      </c>
    </row>
    <row r="582" customFormat="false" ht="15" hidden="false" customHeight="false" outlineLevel="0" collapsed="false">
      <c r="A582" s="2" t="s">
        <v>825</v>
      </c>
      <c r="B582" s="2" t="s">
        <v>375</v>
      </c>
      <c r="C582" s="2" t="n">
        <v>0.5</v>
      </c>
      <c r="D582" s="2" t="s">
        <v>1687</v>
      </c>
      <c r="E582" s="2" t="s">
        <v>2195</v>
      </c>
      <c r="F582" s="2"/>
      <c r="G582" s="2" t="n">
        <v>1.5</v>
      </c>
      <c r="H582" s="2" t="s">
        <v>1689</v>
      </c>
      <c r="I582" s="2" t="n">
        <v>11</v>
      </c>
    </row>
    <row r="583" customFormat="false" ht="15" hidden="false" customHeight="false" outlineLevel="0" collapsed="false">
      <c r="A583" s="2" t="s">
        <v>825</v>
      </c>
      <c r="B583" s="2" t="s">
        <v>480</v>
      </c>
      <c r="C583" s="2" t="n">
        <v>1</v>
      </c>
      <c r="D583" s="2" t="s">
        <v>54</v>
      </c>
      <c r="E583" s="2" t="s">
        <v>2172</v>
      </c>
      <c r="F583" s="2" t="n">
        <v>0.5</v>
      </c>
      <c r="G583" s="2" t="n">
        <v>1.5</v>
      </c>
      <c r="H583" s="2" t="s">
        <v>1689</v>
      </c>
      <c r="I583" s="2" t="n">
        <v>12</v>
      </c>
    </row>
    <row r="584" customFormat="false" ht="15" hidden="false" customHeight="false" outlineLevel="0" collapsed="false">
      <c r="A584" s="2" t="s">
        <v>829</v>
      </c>
      <c r="B584" s="2" t="s">
        <v>476</v>
      </c>
      <c r="C584" s="2" t="n">
        <v>170</v>
      </c>
      <c r="D584" s="2" t="s">
        <v>54</v>
      </c>
      <c r="E584" s="2" t="s">
        <v>2196</v>
      </c>
      <c r="F584" s="2" t="n">
        <v>85</v>
      </c>
      <c r="G584" s="2" t="n">
        <v>255</v>
      </c>
      <c r="H584" s="2" t="s">
        <v>1693</v>
      </c>
      <c r="I584" s="2" t="n">
        <v>1</v>
      </c>
    </row>
    <row r="585" customFormat="false" ht="15" hidden="false" customHeight="false" outlineLevel="0" collapsed="false">
      <c r="A585" s="2" t="s">
        <v>829</v>
      </c>
      <c r="B585" s="2" t="s">
        <v>424</v>
      </c>
      <c r="C585" s="2" t="n">
        <v>90</v>
      </c>
      <c r="D585" s="2" t="s">
        <v>54</v>
      </c>
      <c r="E585" s="2" t="s">
        <v>2197</v>
      </c>
      <c r="F585" s="2" t="n">
        <v>45</v>
      </c>
      <c r="G585" s="2" t="n">
        <v>135</v>
      </c>
      <c r="H585" s="2" t="s">
        <v>1689</v>
      </c>
      <c r="I585" s="2" t="n">
        <v>2</v>
      </c>
    </row>
    <row r="586" customFormat="false" ht="15" hidden="false" customHeight="false" outlineLevel="0" collapsed="false">
      <c r="A586" s="2" t="s">
        <v>829</v>
      </c>
      <c r="B586" s="2" t="s">
        <v>323</v>
      </c>
      <c r="C586" s="2" t="n">
        <v>200</v>
      </c>
      <c r="D586" s="2" t="s">
        <v>54</v>
      </c>
      <c r="E586" s="2" t="s">
        <v>2198</v>
      </c>
      <c r="F586" s="2" t="n">
        <v>100</v>
      </c>
      <c r="G586" s="2" t="n">
        <v>300</v>
      </c>
      <c r="H586" s="2" t="s">
        <v>1689</v>
      </c>
      <c r="I586" s="2" t="n">
        <v>3</v>
      </c>
    </row>
    <row r="587" customFormat="false" ht="15" hidden="false" customHeight="false" outlineLevel="0" collapsed="false">
      <c r="A587" s="2" t="s">
        <v>829</v>
      </c>
      <c r="B587" s="2" t="s">
        <v>365</v>
      </c>
      <c r="C587" s="2" t="n">
        <v>1</v>
      </c>
      <c r="D587" s="2" t="s">
        <v>1687</v>
      </c>
      <c r="E587" s="2" t="s">
        <v>2199</v>
      </c>
      <c r="F587" s="2"/>
      <c r="G587" s="2" t="n">
        <v>2</v>
      </c>
      <c r="H587" s="2" t="s">
        <v>1689</v>
      </c>
      <c r="I587" s="2" t="n">
        <v>4</v>
      </c>
    </row>
    <row r="588" customFormat="false" ht="15" hidden="false" customHeight="false" outlineLevel="0" collapsed="false">
      <c r="A588" s="2" t="s">
        <v>829</v>
      </c>
      <c r="B588" s="2" t="s">
        <v>301</v>
      </c>
      <c r="C588" s="2" t="n">
        <v>2</v>
      </c>
      <c r="D588" s="2" t="s">
        <v>54</v>
      </c>
      <c r="E588" s="2" t="s">
        <v>2200</v>
      </c>
      <c r="F588" s="2" t="n">
        <v>1</v>
      </c>
      <c r="G588" s="2" t="n">
        <v>3</v>
      </c>
      <c r="H588" s="2" t="s">
        <v>1689</v>
      </c>
      <c r="I588" s="2" t="n">
        <v>5</v>
      </c>
    </row>
    <row r="589" customFormat="false" ht="15" hidden="false" customHeight="false" outlineLevel="0" collapsed="false">
      <c r="A589" s="2" t="s">
        <v>829</v>
      </c>
      <c r="B589" s="2" t="s">
        <v>312</v>
      </c>
      <c r="C589" s="2" t="n">
        <v>0.667</v>
      </c>
      <c r="D589" s="2" t="s">
        <v>1687</v>
      </c>
      <c r="E589" s="2" t="s">
        <v>2201</v>
      </c>
      <c r="F589" s="2"/>
      <c r="G589" s="2" t="n">
        <v>1.66666666666667</v>
      </c>
      <c r="H589" s="2" t="s">
        <v>1689</v>
      </c>
      <c r="I589" s="2" t="n">
        <v>6</v>
      </c>
    </row>
    <row r="590" customFormat="false" ht="15" hidden="false" customHeight="false" outlineLevel="0" collapsed="false">
      <c r="A590" s="2" t="s">
        <v>829</v>
      </c>
      <c r="B590" s="2" t="s">
        <v>129</v>
      </c>
      <c r="C590" s="2" t="n">
        <v>9</v>
      </c>
      <c r="D590" s="2" t="s">
        <v>54</v>
      </c>
      <c r="E590" s="2" t="s">
        <v>2202</v>
      </c>
      <c r="F590" s="2" t="n">
        <v>4.5</v>
      </c>
      <c r="G590" s="2" t="n">
        <v>13.5</v>
      </c>
      <c r="H590" s="2" t="s">
        <v>1700</v>
      </c>
      <c r="I590" s="2" t="n">
        <v>7</v>
      </c>
    </row>
    <row r="591" customFormat="false" ht="15" hidden="false" customHeight="false" outlineLevel="0" collapsed="false">
      <c r="A591" s="2" t="s">
        <v>829</v>
      </c>
      <c r="B591" s="2" t="s">
        <v>480</v>
      </c>
      <c r="C591" s="2" t="n">
        <v>1</v>
      </c>
      <c r="D591" s="2" t="s">
        <v>54</v>
      </c>
      <c r="E591" s="2" t="s">
        <v>2172</v>
      </c>
      <c r="F591" s="2" t="n">
        <v>0.5</v>
      </c>
      <c r="G591" s="2" t="n">
        <v>1.5</v>
      </c>
      <c r="H591" s="2" t="s">
        <v>1689</v>
      </c>
      <c r="I591" s="2" t="n">
        <v>8</v>
      </c>
    </row>
    <row r="592" customFormat="false" ht="15" hidden="false" customHeight="false" outlineLevel="0" collapsed="false">
      <c r="A592" s="2" t="s">
        <v>829</v>
      </c>
      <c r="B592" s="2" t="s">
        <v>301</v>
      </c>
      <c r="C592" s="2" t="n">
        <v>5</v>
      </c>
      <c r="D592" s="2" t="s">
        <v>54</v>
      </c>
      <c r="E592" s="2" t="s">
        <v>2203</v>
      </c>
      <c r="F592" s="2" t="n">
        <v>2.5</v>
      </c>
      <c r="G592" s="2" t="n">
        <v>7.5</v>
      </c>
      <c r="H592" s="2" t="s">
        <v>1689</v>
      </c>
      <c r="I592" s="2" t="n">
        <v>9</v>
      </c>
    </row>
    <row r="593" customFormat="false" ht="15" hidden="false" customHeight="false" outlineLevel="0" collapsed="false">
      <c r="A593" s="2" t="s">
        <v>829</v>
      </c>
      <c r="B593" s="2" t="s">
        <v>301</v>
      </c>
      <c r="C593" s="2" t="n">
        <v>5</v>
      </c>
      <c r="D593" s="2" t="s">
        <v>54</v>
      </c>
      <c r="E593" s="2" t="s">
        <v>2204</v>
      </c>
      <c r="F593" s="2" t="n">
        <v>2.5</v>
      </c>
      <c r="G593" s="2" t="n">
        <v>7.5</v>
      </c>
      <c r="H593" s="2" t="s">
        <v>1689</v>
      </c>
      <c r="I593" s="2" t="n">
        <v>10</v>
      </c>
    </row>
    <row r="594" customFormat="false" ht="15" hidden="false" customHeight="false" outlineLevel="0" collapsed="false">
      <c r="A594" s="2" t="s">
        <v>832</v>
      </c>
      <c r="B594" s="2" t="s">
        <v>221</v>
      </c>
      <c r="C594" s="2" t="n">
        <v>110</v>
      </c>
      <c r="D594" s="2" t="s">
        <v>54</v>
      </c>
      <c r="E594" s="2" t="s">
        <v>2205</v>
      </c>
      <c r="F594" s="2" t="n">
        <v>55</v>
      </c>
      <c r="G594" s="2" t="n">
        <v>165</v>
      </c>
      <c r="H594" s="2" t="s">
        <v>1693</v>
      </c>
      <c r="I594" s="2" t="n">
        <v>1</v>
      </c>
    </row>
    <row r="595" customFormat="false" ht="15" hidden="false" customHeight="false" outlineLevel="0" collapsed="false">
      <c r="A595" s="2" t="s">
        <v>832</v>
      </c>
      <c r="B595" s="2" t="s">
        <v>304</v>
      </c>
      <c r="C595" s="2" t="n">
        <v>225</v>
      </c>
      <c r="D595" s="2" t="s">
        <v>54</v>
      </c>
      <c r="E595" s="2" t="s">
        <v>2206</v>
      </c>
      <c r="F595" s="2" t="n">
        <v>112.5</v>
      </c>
      <c r="G595" s="2" t="n">
        <v>337.5</v>
      </c>
      <c r="H595" s="2" t="s">
        <v>1689</v>
      </c>
      <c r="I595" s="2" t="n">
        <v>2</v>
      </c>
    </row>
    <row r="596" customFormat="false" ht="15" hidden="false" customHeight="false" outlineLevel="0" collapsed="false">
      <c r="A596" s="2" t="s">
        <v>832</v>
      </c>
      <c r="B596" s="2" t="s">
        <v>129</v>
      </c>
      <c r="C596" s="2" t="n">
        <v>4</v>
      </c>
      <c r="D596" s="2" t="s">
        <v>54</v>
      </c>
      <c r="E596" s="2" t="s">
        <v>2207</v>
      </c>
      <c r="F596" s="2" t="n">
        <v>2</v>
      </c>
      <c r="G596" s="2" t="n">
        <v>6</v>
      </c>
      <c r="H596" s="2" t="s">
        <v>1700</v>
      </c>
      <c r="I596" s="2" t="n">
        <v>3</v>
      </c>
    </row>
    <row r="597" customFormat="false" ht="15" hidden="false" customHeight="false" outlineLevel="0" collapsed="false">
      <c r="A597" s="2" t="s">
        <v>832</v>
      </c>
      <c r="B597" s="2" t="s">
        <v>129</v>
      </c>
      <c r="C597" s="2" t="n">
        <v>15</v>
      </c>
      <c r="D597" s="2" t="s">
        <v>54</v>
      </c>
      <c r="E597" s="2" t="s">
        <v>2208</v>
      </c>
      <c r="F597" s="2" t="n">
        <v>7.5</v>
      </c>
      <c r="G597" s="2" t="n">
        <v>22.5</v>
      </c>
      <c r="H597" s="2" t="s">
        <v>1700</v>
      </c>
      <c r="I597" s="2" t="n">
        <v>4</v>
      </c>
    </row>
    <row r="598" customFormat="false" ht="15" hidden="false" customHeight="false" outlineLevel="0" collapsed="false">
      <c r="A598" s="2" t="s">
        <v>832</v>
      </c>
      <c r="B598" s="2" t="s">
        <v>301</v>
      </c>
      <c r="C598" s="2" t="n">
        <v>15</v>
      </c>
      <c r="D598" s="2" t="s">
        <v>54</v>
      </c>
      <c r="E598" s="2" t="s">
        <v>2209</v>
      </c>
      <c r="F598" s="2" t="n">
        <v>7.5</v>
      </c>
      <c r="G598" s="2" t="n">
        <v>22.5</v>
      </c>
      <c r="H598" s="2" t="s">
        <v>1689</v>
      </c>
      <c r="I598" s="2" t="n">
        <v>5</v>
      </c>
    </row>
    <row r="599" customFormat="false" ht="15" hidden="false" customHeight="false" outlineLevel="0" collapsed="false">
      <c r="A599" s="2" t="s">
        <v>832</v>
      </c>
      <c r="B599" s="2" t="s">
        <v>432</v>
      </c>
      <c r="C599" s="2" t="n">
        <v>20</v>
      </c>
      <c r="D599" s="2" t="s">
        <v>54</v>
      </c>
      <c r="E599" s="2" t="s">
        <v>2210</v>
      </c>
      <c r="F599" s="2" t="n">
        <v>10</v>
      </c>
      <c r="G599" s="2" t="n">
        <v>30</v>
      </c>
      <c r="H599" s="2" t="s">
        <v>1700</v>
      </c>
      <c r="I599" s="2" t="n">
        <v>6</v>
      </c>
    </row>
    <row r="600" customFormat="false" ht="15" hidden="false" customHeight="false" outlineLevel="0" collapsed="false">
      <c r="A600" s="2" t="s">
        <v>832</v>
      </c>
      <c r="B600" s="2" t="s">
        <v>420</v>
      </c>
      <c r="C600" s="2" t="n">
        <v>10</v>
      </c>
      <c r="D600" s="2" t="s">
        <v>54</v>
      </c>
      <c r="E600" s="2" t="s">
        <v>2211</v>
      </c>
      <c r="F600" s="2" t="n">
        <v>5</v>
      </c>
      <c r="G600" s="2" t="n">
        <v>15</v>
      </c>
      <c r="H600" s="2" t="s">
        <v>1693</v>
      </c>
      <c r="I600" s="2" t="n">
        <v>7</v>
      </c>
    </row>
    <row r="601" customFormat="false" ht="15" hidden="false" customHeight="false" outlineLevel="0" collapsed="false">
      <c r="A601" s="2" t="s">
        <v>832</v>
      </c>
      <c r="B601" s="2" t="s">
        <v>312</v>
      </c>
      <c r="C601" s="2" t="n">
        <v>1.667</v>
      </c>
      <c r="D601" s="2" t="s">
        <v>1687</v>
      </c>
      <c r="E601" s="2" t="s">
        <v>2212</v>
      </c>
      <c r="F601" s="2" t="n">
        <v>0.666666666666667</v>
      </c>
      <c r="G601" s="2" t="n">
        <v>2.66666666666667</v>
      </c>
      <c r="H601" s="2" t="s">
        <v>1689</v>
      </c>
      <c r="I601" s="2" t="n">
        <v>8</v>
      </c>
    </row>
    <row r="602" customFormat="false" ht="15" hidden="false" customHeight="false" outlineLevel="0" collapsed="false">
      <c r="A602" s="2" t="s">
        <v>832</v>
      </c>
      <c r="B602" s="2" t="s">
        <v>219</v>
      </c>
      <c r="C602" s="2" t="n">
        <v>100</v>
      </c>
      <c r="D602" s="2" t="s">
        <v>54</v>
      </c>
      <c r="E602" s="2" t="s">
        <v>2096</v>
      </c>
      <c r="F602" s="2" t="n">
        <v>50</v>
      </c>
      <c r="G602" s="2" t="n">
        <v>150</v>
      </c>
      <c r="H602" s="2" t="s">
        <v>1689</v>
      </c>
      <c r="I602" s="2" t="n">
        <v>9</v>
      </c>
    </row>
    <row r="603" customFormat="false" ht="15" hidden="false" customHeight="false" outlineLevel="0" collapsed="false">
      <c r="A603" s="2" t="s">
        <v>832</v>
      </c>
      <c r="B603" s="2" t="s">
        <v>271</v>
      </c>
      <c r="C603" s="2" t="n">
        <v>1</v>
      </c>
      <c r="D603" s="2" t="s">
        <v>54</v>
      </c>
      <c r="E603" s="2" t="s">
        <v>2213</v>
      </c>
      <c r="F603" s="2" t="n">
        <v>0.5</v>
      </c>
      <c r="G603" s="2" t="n">
        <v>1.5</v>
      </c>
      <c r="H603" s="2" t="s">
        <v>1689</v>
      </c>
      <c r="I603" s="2" t="n">
        <v>10</v>
      </c>
    </row>
    <row r="604" customFormat="false" ht="15" hidden="false" customHeight="false" outlineLevel="0" collapsed="false">
      <c r="A604" s="2" t="s">
        <v>832</v>
      </c>
      <c r="B604" s="2" t="s">
        <v>480</v>
      </c>
      <c r="C604" s="2" t="n">
        <v>1</v>
      </c>
      <c r="D604" s="2" t="s">
        <v>54</v>
      </c>
      <c r="E604" s="2" t="s">
        <v>2172</v>
      </c>
      <c r="F604" s="2" t="n">
        <v>0.5</v>
      </c>
      <c r="G604" s="2" t="n">
        <v>1.5</v>
      </c>
      <c r="H604" s="2" t="s">
        <v>1689</v>
      </c>
      <c r="I604" s="2" t="n">
        <v>11</v>
      </c>
    </row>
    <row r="605" customFormat="false" ht="15" hidden="false" customHeight="false" outlineLevel="0" collapsed="false">
      <c r="A605" s="2" t="s">
        <v>832</v>
      </c>
      <c r="B605" s="2" t="s">
        <v>301</v>
      </c>
      <c r="C605" s="2" t="n">
        <v>5</v>
      </c>
      <c r="D605" s="2" t="s">
        <v>54</v>
      </c>
      <c r="E605" s="2" t="s">
        <v>2214</v>
      </c>
      <c r="F605" s="2" t="n">
        <v>2.5</v>
      </c>
      <c r="G605" s="2" t="n">
        <v>7.5</v>
      </c>
      <c r="H605" s="2" t="s">
        <v>1689</v>
      </c>
      <c r="I605" s="2" t="n">
        <v>12</v>
      </c>
    </row>
    <row r="606" customFormat="false" ht="15" hidden="false" customHeight="false" outlineLevel="0" collapsed="false">
      <c r="A606" s="2" t="s">
        <v>835</v>
      </c>
      <c r="B606" s="2" t="s">
        <v>355</v>
      </c>
      <c r="C606" s="2" t="n">
        <v>140</v>
      </c>
      <c r="D606" s="2" t="s">
        <v>54</v>
      </c>
      <c r="E606" s="2" t="s">
        <v>2215</v>
      </c>
      <c r="F606" s="2" t="n">
        <v>70</v>
      </c>
      <c r="G606" s="2" t="n">
        <v>210</v>
      </c>
      <c r="H606" s="2" t="s">
        <v>1693</v>
      </c>
      <c r="I606" s="2" t="n">
        <v>1</v>
      </c>
    </row>
    <row r="607" customFormat="false" ht="15" hidden="false" customHeight="false" outlineLevel="0" collapsed="false">
      <c r="A607" s="2" t="s">
        <v>835</v>
      </c>
      <c r="B607" s="2" t="s">
        <v>249</v>
      </c>
      <c r="C607" s="2" t="n">
        <v>5</v>
      </c>
      <c r="D607" s="2" t="s">
        <v>54</v>
      </c>
      <c r="E607" s="2" t="s">
        <v>2216</v>
      </c>
      <c r="F607" s="2" t="n">
        <v>2.5</v>
      </c>
      <c r="G607" s="2" t="n">
        <v>7.5</v>
      </c>
      <c r="H607" s="2" t="s">
        <v>1689</v>
      </c>
      <c r="I607" s="2" t="n">
        <v>2</v>
      </c>
    </row>
    <row r="608" customFormat="false" ht="15" hidden="false" customHeight="false" outlineLevel="0" collapsed="false">
      <c r="A608" s="2" t="s">
        <v>835</v>
      </c>
      <c r="B608" s="2" t="s">
        <v>388</v>
      </c>
      <c r="C608" s="2" t="n">
        <v>60</v>
      </c>
      <c r="D608" s="2" t="s">
        <v>54</v>
      </c>
      <c r="E608" s="2" t="s">
        <v>2217</v>
      </c>
      <c r="F608" s="2" t="n">
        <v>30</v>
      </c>
      <c r="G608" s="2" t="n">
        <v>90</v>
      </c>
      <c r="H608" s="2" t="s">
        <v>1689</v>
      </c>
      <c r="I608" s="2" t="n">
        <v>3</v>
      </c>
    </row>
    <row r="609" customFormat="false" ht="15" hidden="false" customHeight="false" outlineLevel="0" collapsed="false">
      <c r="A609" s="2" t="s">
        <v>835</v>
      </c>
      <c r="B609" s="2" t="s">
        <v>486</v>
      </c>
      <c r="C609" s="2" t="n">
        <v>20</v>
      </c>
      <c r="D609" s="2" t="s">
        <v>54</v>
      </c>
      <c r="E609" s="2" t="s">
        <v>2218</v>
      </c>
      <c r="F609" s="2" t="n">
        <v>10</v>
      </c>
      <c r="G609" s="2" t="n">
        <v>30</v>
      </c>
      <c r="H609" s="2" t="s">
        <v>1700</v>
      </c>
      <c r="I609" s="2" t="n">
        <v>4</v>
      </c>
    </row>
    <row r="610" customFormat="false" ht="15" hidden="false" customHeight="false" outlineLevel="0" collapsed="false">
      <c r="A610" s="2" t="s">
        <v>835</v>
      </c>
      <c r="B610" s="2" t="s">
        <v>496</v>
      </c>
      <c r="C610" s="2" t="n">
        <v>30</v>
      </c>
      <c r="D610" s="2" t="s">
        <v>76</v>
      </c>
      <c r="E610" s="2" t="s">
        <v>2219</v>
      </c>
      <c r="F610" s="2" t="n">
        <v>15</v>
      </c>
      <c r="G610" s="2" t="n">
        <v>45</v>
      </c>
      <c r="H610" s="2" t="s">
        <v>1693</v>
      </c>
      <c r="I610" s="2" t="n">
        <v>5</v>
      </c>
    </row>
    <row r="611" customFormat="false" ht="15" hidden="false" customHeight="false" outlineLevel="0" collapsed="false">
      <c r="A611" s="2" t="s">
        <v>835</v>
      </c>
      <c r="B611" s="2" t="s">
        <v>466</v>
      </c>
      <c r="C611" s="2" t="n">
        <v>15</v>
      </c>
      <c r="D611" s="2" t="s">
        <v>76</v>
      </c>
      <c r="E611" s="2" t="s">
        <v>2220</v>
      </c>
      <c r="F611" s="2" t="n">
        <v>7.5</v>
      </c>
      <c r="G611" s="2" t="n">
        <v>22.5</v>
      </c>
      <c r="H611" s="2" t="s">
        <v>1689</v>
      </c>
      <c r="I611" s="2" t="n">
        <v>6</v>
      </c>
    </row>
    <row r="612" customFormat="false" ht="15" hidden="false" customHeight="false" outlineLevel="0" collapsed="false">
      <c r="A612" s="2" t="s">
        <v>835</v>
      </c>
      <c r="B612" s="2" t="s">
        <v>197</v>
      </c>
      <c r="C612" s="2" t="n">
        <v>5</v>
      </c>
      <c r="D612" s="2" t="s">
        <v>54</v>
      </c>
      <c r="E612" s="2" t="s">
        <v>2221</v>
      </c>
      <c r="F612" s="2" t="n">
        <v>2.5</v>
      </c>
      <c r="G612" s="2" t="n">
        <v>7.5</v>
      </c>
      <c r="H612" s="2" t="s">
        <v>1689</v>
      </c>
      <c r="I612" s="2" t="n">
        <v>7</v>
      </c>
    </row>
    <row r="613" customFormat="false" ht="15" hidden="false" customHeight="false" outlineLevel="0" collapsed="false">
      <c r="A613" s="2" t="s">
        <v>835</v>
      </c>
      <c r="B613" s="2" t="s">
        <v>299</v>
      </c>
      <c r="C613" s="2" t="n">
        <v>5</v>
      </c>
      <c r="D613" s="2" t="s">
        <v>54</v>
      </c>
      <c r="E613" s="2" t="s">
        <v>2222</v>
      </c>
      <c r="F613" s="2" t="n">
        <v>4</v>
      </c>
      <c r="G613" s="2" t="n">
        <v>6</v>
      </c>
      <c r="H613" s="2" t="s">
        <v>1689</v>
      </c>
      <c r="I613" s="2" t="n">
        <v>8</v>
      </c>
    </row>
    <row r="614" customFormat="false" ht="15" hidden="false" customHeight="false" outlineLevel="0" collapsed="false">
      <c r="A614" s="2" t="s">
        <v>835</v>
      </c>
      <c r="B614" s="2" t="s">
        <v>312</v>
      </c>
      <c r="C614" s="2" t="n">
        <v>3.333</v>
      </c>
      <c r="D614" s="2" t="s">
        <v>1687</v>
      </c>
      <c r="E614" s="2" t="s">
        <v>2223</v>
      </c>
      <c r="F614" s="2" t="n">
        <v>2.33333333333333</v>
      </c>
      <c r="G614" s="2" t="n">
        <v>4.33333333333333</v>
      </c>
      <c r="H614" s="2" t="s">
        <v>1689</v>
      </c>
      <c r="I614" s="2" t="n">
        <v>9</v>
      </c>
    </row>
    <row r="615" customFormat="false" ht="15" hidden="false" customHeight="false" outlineLevel="0" collapsed="false">
      <c r="A615" s="2" t="s">
        <v>835</v>
      </c>
      <c r="B615" s="2" t="s">
        <v>195</v>
      </c>
      <c r="C615" s="2" t="n">
        <v>100</v>
      </c>
      <c r="D615" s="2" t="s">
        <v>54</v>
      </c>
      <c r="E615" s="2" t="s">
        <v>2224</v>
      </c>
      <c r="F615" s="2" t="n">
        <v>50</v>
      </c>
      <c r="G615" s="2" t="n">
        <v>150</v>
      </c>
      <c r="H615" s="2" t="s">
        <v>1693</v>
      </c>
      <c r="I615" s="2" t="n">
        <v>10</v>
      </c>
    </row>
    <row r="616" customFormat="false" ht="15" hidden="false" customHeight="false" outlineLevel="0" collapsed="false">
      <c r="A616" s="2" t="s">
        <v>835</v>
      </c>
      <c r="B616" s="2" t="s">
        <v>210</v>
      </c>
      <c r="C616" s="2" t="n">
        <v>80</v>
      </c>
      <c r="D616" s="2" t="s">
        <v>54</v>
      </c>
      <c r="E616" s="2" t="s">
        <v>2225</v>
      </c>
      <c r="F616" s="2" t="n">
        <v>40</v>
      </c>
      <c r="G616" s="2" t="n">
        <v>120</v>
      </c>
      <c r="H616" s="2" t="s">
        <v>1689</v>
      </c>
      <c r="I616" s="2" t="n">
        <v>11</v>
      </c>
    </row>
    <row r="617" customFormat="false" ht="15" hidden="false" customHeight="false" outlineLevel="0" collapsed="false">
      <c r="A617" s="2" t="s">
        <v>835</v>
      </c>
      <c r="B617" s="2" t="s">
        <v>183</v>
      </c>
      <c r="C617" s="2" t="n">
        <v>60</v>
      </c>
      <c r="D617" s="2" t="s">
        <v>54</v>
      </c>
      <c r="E617" s="2" t="s">
        <v>2226</v>
      </c>
      <c r="F617" s="2" t="n">
        <v>30</v>
      </c>
      <c r="G617" s="2" t="n">
        <v>90</v>
      </c>
      <c r="H617" s="2" t="s">
        <v>1689</v>
      </c>
      <c r="I617" s="2" t="n">
        <v>12</v>
      </c>
    </row>
    <row r="618" customFormat="false" ht="15" hidden="false" customHeight="false" outlineLevel="0" collapsed="false">
      <c r="A618" s="2" t="s">
        <v>835</v>
      </c>
      <c r="B618" s="2" t="s">
        <v>454</v>
      </c>
      <c r="C618" s="2" t="n">
        <v>60</v>
      </c>
      <c r="D618" s="2" t="s">
        <v>54</v>
      </c>
      <c r="E618" s="2" t="s">
        <v>2227</v>
      </c>
      <c r="F618" s="2" t="n">
        <v>30</v>
      </c>
      <c r="G618" s="2" t="n">
        <v>90</v>
      </c>
      <c r="H618" s="2" t="s">
        <v>1689</v>
      </c>
      <c r="I618" s="2" t="n">
        <v>13</v>
      </c>
    </row>
    <row r="619" customFormat="false" ht="15" hidden="false" customHeight="false" outlineLevel="0" collapsed="false">
      <c r="A619" s="2" t="s">
        <v>835</v>
      </c>
      <c r="B619" s="2" t="s">
        <v>456</v>
      </c>
      <c r="C619" s="2" t="n">
        <v>0.5</v>
      </c>
      <c r="D619" s="2" t="s">
        <v>1687</v>
      </c>
      <c r="E619" s="2" t="s">
        <v>2228</v>
      </c>
      <c r="F619" s="2"/>
      <c r="G619" s="2" t="n">
        <v>1.5</v>
      </c>
      <c r="H619" s="2" t="s">
        <v>1689</v>
      </c>
      <c r="I619" s="2" t="n">
        <v>14</v>
      </c>
    </row>
    <row r="620" customFormat="false" ht="15" hidden="false" customHeight="false" outlineLevel="0" collapsed="false">
      <c r="A620" s="2" t="s">
        <v>835</v>
      </c>
      <c r="B620" s="2" t="s">
        <v>488</v>
      </c>
      <c r="C620" s="2" t="n">
        <v>5</v>
      </c>
      <c r="D620" s="2" t="s">
        <v>54</v>
      </c>
      <c r="E620" s="2" t="s">
        <v>2229</v>
      </c>
      <c r="F620" s="2" t="n">
        <v>2.5</v>
      </c>
      <c r="G620" s="2" t="n">
        <v>7.5</v>
      </c>
      <c r="H620" s="2" t="s">
        <v>1700</v>
      </c>
      <c r="I620" s="2" t="n">
        <v>15</v>
      </c>
    </row>
    <row r="621" customFormat="false" ht="15" hidden="false" customHeight="false" outlineLevel="0" collapsed="false">
      <c r="A621" s="2" t="s">
        <v>835</v>
      </c>
      <c r="B621" s="2" t="s">
        <v>480</v>
      </c>
      <c r="C621" s="2" t="n">
        <v>1</v>
      </c>
      <c r="D621" s="2" t="s">
        <v>54</v>
      </c>
      <c r="E621" s="2" t="s">
        <v>2172</v>
      </c>
      <c r="F621" s="2" t="n">
        <v>0.5</v>
      </c>
      <c r="G621" s="2" t="n">
        <v>1.5</v>
      </c>
      <c r="H621" s="2" t="s">
        <v>1689</v>
      </c>
      <c r="I621" s="2" t="n">
        <v>16</v>
      </c>
    </row>
    <row r="622" customFormat="false" ht="15" hidden="false" customHeight="false" outlineLevel="0" collapsed="false">
      <c r="A622" s="2" t="s">
        <v>838</v>
      </c>
      <c r="B622" s="2" t="s">
        <v>552</v>
      </c>
      <c r="C622" s="2" t="n">
        <v>110</v>
      </c>
      <c r="D622" s="2" t="s">
        <v>54</v>
      </c>
      <c r="E622" s="2" t="s">
        <v>2230</v>
      </c>
      <c r="F622" s="2" t="n">
        <v>55</v>
      </c>
      <c r="G622" s="2" t="n">
        <v>165</v>
      </c>
      <c r="H622" s="2" t="s">
        <v>1693</v>
      </c>
      <c r="I622" s="2" t="n">
        <v>1</v>
      </c>
    </row>
    <row r="623" customFormat="false" ht="15" hidden="false" customHeight="false" outlineLevel="0" collapsed="false">
      <c r="A623" s="2" t="s">
        <v>838</v>
      </c>
      <c r="B623" s="2" t="s">
        <v>177</v>
      </c>
      <c r="C623" s="2" t="n">
        <v>55</v>
      </c>
      <c r="D623" s="2" t="s">
        <v>54</v>
      </c>
      <c r="E623" s="2" t="s">
        <v>2231</v>
      </c>
      <c r="F623" s="2" t="n">
        <v>27.5</v>
      </c>
      <c r="G623" s="2" t="n">
        <v>82.5</v>
      </c>
      <c r="H623" s="2" t="s">
        <v>1689</v>
      </c>
      <c r="I623" s="2" t="n">
        <v>2</v>
      </c>
    </row>
    <row r="624" customFormat="false" ht="15" hidden="false" customHeight="false" outlineLevel="0" collapsed="false">
      <c r="A624" s="2" t="s">
        <v>838</v>
      </c>
      <c r="B624" s="2" t="s">
        <v>280</v>
      </c>
      <c r="C624" s="2" t="n">
        <v>50</v>
      </c>
      <c r="D624" s="2" t="s">
        <v>54</v>
      </c>
      <c r="E624" s="2" t="s">
        <v>2232</v>
      </c>
      <c r="F624" s="2" t="n">
        <v>25</v>
      </c>
      <c r="G624" s="2" t="n">
        <v>75</v>
      </c>
      <c r="H624" s="2" t="s">
        <v>1693</v>
      </c>
      <c r="I624" s="2" t="n">
        <v>3</v>
      </c>
    </row>
    <row r="625" customFormat="false" ht="15" hidden="false" customHeight="false" outlineLevel="0" collapsed="false">
      <c r="A625" s="2" t="s">
        <v>838</v>
      </c>
      <c r="B625" s="2" t="s">
        <v>195</v>
      </c>
      <c r="C625" s="2" t="n">
        <v>150</v>
      </c>
      <c r="D625" s="2" t="s">
        <v>54</v>
      </c>
      <c r="E625" s="2" t="s">
        <v>2233</v>
      </c>
      <c r="F625" s="2" t="n">
        <v>75</v>
      </c>
      <c r="G625" s="2" t="n">
        <v>225</v>
      </c>
      <c r="H625" s="2" t="s">
        <v>1693</v>
      </c>
      <c r="I625" s="2" t="n">
        <v>4</v>
      </c>
    </row>
    <row r="626" customFormat="false" ht="15" hidden="false" customHeight="false" outlineLevel="0" collapsed="false">
      <c r="A626" s="2" t="s">
        <v>838</v>
      </c>
      <c r="B626" s="2" t="s">
        <v>554</v>
      </c>
      <c r="C626" s="2" t="n">
        <v>30</v>
      </c>
      <c r="D626" s="2" t="s">
        <v>54</v>
      </c>
      <c r="E626" s="2" t="s">
        <v>2234</v>
      </c>
      <c r="F626" s="2" t="n">
        <v>15</v>
      </c>
      <c r="G626" s="2" t="n">
        <v>45</v>
      </c>
      <c r="H626" s="2" t="s">
        <v>1689</v>
      </c>
      <c r="I626" s="2" t="n">
        <v>5</v>
      </c>
    </row>
    <row r="627" customFormat="false" ht="15" hidden="false" customHeight="false" outlineLevel="0" collapsed="false">
      <c r="A627" s="2" t="s">
        <v>838</v>
      </c>
      <c r="B627" s="2" t="s">
        <v>390</v>
      </c>
      <c r="C627" s="2" t="n">
        <v>15</v>
      </c>
      <c r="D627" s="2" t="s">
        <v>76</v>
      </c>
      <c r="E627" s="2" t="s">
        <v>2235</v>
      </c>
      <c r="F627" s="2" t="n">
        <v>7.5</v>
      </c>
      <c r="G627" s="2" t="n">
        <v>22.5</v>
      </c>
      <c r="H627" s="2" t="s">
        <v>1689</v>
      </c>
      <c r="I627" s="2" t="n">
        <v>6</v>
      </c>
    </row>
    <row r="628" customFormat="false" ht="15" hidden="false" customHeight="false" outlineLevel="0" collapsed="false">
      <c r="A628" s="2" t="s">
        <v>838</v>
      </c>
      <c r="B628" s="2" t="s">
        <v>474</v>
      </c>
      <c r="C628" s="2" t="n">
        <v>15</v>
      </c>
      <c r="D628" s="2" t="s">
        <v>76</v>
      </c>
      <c r="E628" s="2" t="s">
        <v>2236</v>
      </c>
      <c r="F628" s="2" t="n">
        <v>7.5</v>
      </c>
      <c r="G628" s="2" t="n">
        <v>22.5</v>
      </c>
      <c r="H628" s="2" t="s">
        <v>1689</v>
      </c>
      <c r="I628" s="2" t="n">
        <v>7</v>
      </c>
    </row>
    <row r="629" customFormat="false" ht="15" hidden="false" customHeight="false" outlineLevel="0" collapsed="false">
      <c r="A629" s="2" t="s">
        <v>838</v>
      </c>
      <c r="B629" s="2" t="s">
        <v>91</v>
      </c>
      <c r="C629" s="2" t="n">
        <v>12</v>
      </c>
      <c r="D629" s="2" t="s">
        <v>54</v>
      </c>
      <c r="E629" s="2" t="s">
        <v>2237</v>
      </c>
      <c r="F629" s="2" t="n">
        <v>6</v>
      </c>
      <c r="G629" s="2" t="n">
        <v>18</v>
      </c>
      <c r="H629" s="2" t="s">
        <v>1689</v>
      </c>
      <c r="I629" s="2" t="n">
        <v>8</v>
      </c>
    </row>
    <row r="630" customFormat="false" ht="15" hidden="false" customHeight="false" outlineLevel="0" collapsed="false">
      <c r="A630" s="2" t="s">
        <v>838</v>
      </c>
      <c r="B630" s="2" t="s">
        <v>486</v>
      </c>
      <c r="C630" s="2" t="n">
        <v>21</v>
      </c>
      <c r="D630" s="2" t="s">
        <v>54</v>
      </c>
      <c r="E630" s="2" t="s">
        <v>2238</v>
      </c>
      <c r="F630" s="2" t="n">
        <v>10.5</v>
      </c>
      <c r="G630" s="2" t="n">
        <v>31.5</v>
      </c>
      <c r="H630" s="2" t="s">
        <v>1700</v>
      </c>
      <c r="I630" s="2" t="n">
        <v>9</v>
      </c>
    </row>
    <row r="631" customFormat="false" ht="15" hidden="false" customHeight="false" outlineLevel="0" collapsed="false">
      <c r="A631" s="2" t="s">
        <v>838</v>
      </c>
      <c r="B631" s="2" t="s">
        <v>488</v>
      </c>
      <c r="C631" s="2" t="n">
        <v>10</v>
      </c>
      <c r="D631" s="2" t="s">
        <v>54</v>
      </c>
      <c r="E631" s="2" t="s">
        <v>2239</v>
      </c>
      <c r="F631" s="2" t="n">
        <v>5</v>
      </c>
      <c r="G631" s="2" t="n">
        <v>15</v>
      </c>
      <c r="H631" s="2" t="s">
        <v>1700</v>
      </c>
      <c r="I631" s="2" t="n">
        <v>10</v>
      </c>
    </row>
    <row r="632" customFormat="false" ht="15" hidden="false" customHeight="false" outlineLevel="0" collapsed="false">
      <c r="A632" s="2" t="s">
        <v>838</v>
      </c>
      <c r="B632" s="2" t="s">
        <v>271</v>
      </c>
      <c r="C632" s="2" t="n">
        <v>1</v>
      </c>
      <c r="D632" s="2" t="s">
        <v>54</v>
      </c>
      <c r="E632" s="2" t="s">
        <v>2240</v>
      </c>
      <c r="F632" s="2" t="n">
        <v>0.5</v>
      </c>
      <c r="G632" s="2" t="n">
        <v>1.5</v>
      </c>
      <c r="H632" s="2" t="s">
        <v>1689</v>
      </c>
      <c r="I632" s="2" t="n">
        <v>11</v>
      </c>
    </row>
    <row r="633" customFormat="false" ht="15" hidden="false" customHeight="false" outlineLevel="0" collapsed="false">
      <c r="A633" s="2" t="s">
        <v>838</v>
      </c>
      <c r="B633" s="2" t="s">
        <v>480</v>
      </c>
      <c r="C633" s="2" t="n">
        <v>1</v>
      </c>
      <c r="D633" s="2" t="s">
        <v>54</v>
      </c>
      <c r="E633" s="2" t="s">
        <v>2241</v>
      </c>
      <c r="F633" s="2" t="n">
        <v>0.5</v>
      </c>
      <c r="G633" s="2" t="n">
        <v>1.5</v>
      </c>
      <c r="H633" s="2" t="s">
        <v>1689</v>
      </c>
      <c r="I633" s="2" t="n">
        <v>12</v>
      </c>
    </row>
    <row r="634" customFormat="false" ht="15" hidden="false" customHeight="false" outlineLevel="0" collapsed="false">
      <c r="A634" s="2" t="s">
        <v>841</v>
      </c>
      <c r="B634" s="2" t="s">
        <v>341</v>
      </c>
      <c r="C634" s="2" t="n">
        <v>180</v>
      </c>
      <c r="D634" s="2" t="s">
        <v>54</v>
      </c>
      <c r="E634" s="2" t="s">
        <v>2242</v>
      </c>
      <c r="F634" s="2" t="n">
        <v>90</v>
      </c>
      <c r="G634" s="2" t="n">
        <v>270</v>
      </c>
      <c r="H634" s="2" t="s">
        <v>1693</v>
      </c>
      <c r="I634" s="2" t="n">
        <v>1</v>
      </c>
    </row>
    <row r="635" customFormat="false" ht="15" hidden="false" customHeight="false" outlineLevel="0" collapsed="false">
      <c r="A635" s="2" t="s">
        <v>841</v>
      </c>
      <c r="B635" s="2" t="s">
        <v>249</v>
      </c>
      <c r="C635" s="2" t="n">
        <v>10</v>
      </c>
      <c r="D635" s="2" t="s">
        <v>54</v>
      </c>
      <c r="E635" s="2" t="s">
        <v>2243</v>
      </c>
      <c r="F635" s="2" t="n">
        <v>5</v>
      </c>
      <c r="G635" s="2" t="n">
        <v>15</v>
      </c>
      <c r="H635" s="2" t="s">
        <v>1689</v>
      </c>
      <c r="I635" s="2" t="n">
        <v>2</v>
      </c>
    </row>
    <row r="636" customFormat="false" ht="15" hidden="false" customHeight="false" outlineLevel="0" collapsed="false">
      <c r="A636" s="2" t="s">
        <v>841</v>
      </c>
      <c r="B636" s="2" t="s">
        <v>310</v>
      </c>
      <c r="C636" s="2" t="n">
        <v>175</v>
      </c>
      <c r="D636" s="2" t="s">
        <v>76</v>
      </c>
      <c r="E636" s="2" t="s">
        <v>2244</v>
      </c>
      <c r="F636" s="2" t="n">
        <v>87.5</v>
      </c>
      <c r="G636" s="2" t="n">
        <v>262.5</v>
      </c>
      <c r="H636" s="2" t="s">
        <v>1700</v>
      </c>
      <c r="I636" s="2" t="n">
        <v>3</v>
      </c>
    </row>
    <row r="637" customFormat="false" ht="15" hidden="false" customHeight="false" outlineLevel="0" collapsed="false">
      <c r="A637" s="2" t="s">
        <v>841</v>
      </c>
      <c r="B637" s="2" t="s">
        <v>520</v>
      </c>
      <c r="C637" s="2" t="n">
        <v>20</v>
      </c>
      <c r="D637" s="2" t="s">
        <v>54</v>
      </c>
      <c r="E637" s="2" t="s">
        <v>2245</v>
      </c>
      <c r="F637" s="2" t="n">
        <v>10</v>
      </c>
      <c r="G637" s="2" t="n">
        <v>30</v>
      </c>
      <c r="H637" s="2" t="s">
        <v>1689</v>
      </c>
      <c r="I637" s="2" t="n">
        <v>4</v>
      </c>
    </row>
    <row r="638" customFormat="false" ht="15" hidden="false" customHeight="false" outlineLevel="0" collapsed="false">
      <c r="A638" s="2" t="s">
        <v>841</v>
      </c>
      <c r="B638" s="2" t="s">
        <v>299</v>
      </c>
      <c r="C638" s="2" t="n">
        <v>7.5</v>
      </c>
      <c r="D638" s="2" t="s">
        <v>54</v>
      </c>
      <c r="E638" s="2" t="s">
        <v>2246</v>
      </c>
      <c r="F638" s="2" t="n">
        <v>6.5</v>
      </c>
      <c r="G638" s="2" t="n">
        <v>8.5</v>
      </c>
      <c r="H638" s="2" t="s">
        <v>1689</v>
      </c>
      <c r="I638" s="2" t="n">
        <v>5</v>
      </c>
    </row>
    <row r="639" customFormat="false" ht="15" hidden="false" customHeight="false" outlineLevel="0" collapsed="false">
      <c r="A639" s="2" t="s">
        <v>841</v>
      </c>
      <c r="B639" s="2" t="s">
        <v>312</v>
      </c>
      <c r="C639" s="2" t="n">
        <v>1</v>
      </c>
      <c r="D639" s="2" t="s">
        <v>1687</v>
      </c>
      <c r="E639" s="2" t="s">
        <v>2142</v>
      </c>
      <c r="F639" s="2"/>
      <c r="G639" s="2" t="n">
        <v>2</v>
      </c>
      <c r="H639" s="2" t="s">
        <v>1689</v>
      </c>
      <c r="I639" s="2" t="n">
        <v>6</v>
      </c>
    </row>
    <row r="640" customFormat="false" ht="15" hidden="false" customHeight="false" outlineLevel="0" collapsed="false">
      <c r="A640" s="2" t="s">
        <v>841</v>
      </c>
      <c r="B640" s="2" t="s">
        <v>293</v>
      </c>
      <c r="C640" s="2" t="n">
        <v>10</v>
      </c>
      <c r="D640" s="2" t="s">
        <v>76</v>
      </c>
      <c r="E640" s="2" t="s">
        <v>2247</v>
      </c>
      <c r="F640" s="2" t="n">
        <v>5</v>
      </c>
      <c r="G640" s="2" t="n">
        <v>15</v>
      </c>
      <c r="H640" s="2" t="s">
        <v>1693</v>
      </c>
      <c r="I640" s="2" t="n">
        <v>7</v>
      </c>
    </row>
    <row r="641" customFormat="false" ht="15" hidden="false" customHeight="false" outlineLevel="0" collapsed="false">
      <c r="A641" s="2" t="s">
        <v>841</v>
      </c>
      <c r="B641" s="2" t="s">
        <v>197</v>
      </c>
      <c r="C641" s="2" t="n">
        <v>5</v>
      </c>
      <c r="D641" s="2" t="s">
        <v>54</v>
      </c>
      <c r="E641" s="2" t="s">
        <v>2221</v>
      </c>
      <c r="F641" s="2" t="n">
        <v>2.5</v>
      </c>
      <c r="G641" s="2" t="n">
        <v>7.5</v>
      </c>
      <c r="H641" s="2" t="s">
        <v>1689</v>
      </c>
      <c r="I641" s="2" t="n">
        <v>8</v>
      </c>
    </row>
    <row r="642" customFormat="false" ht="15" hidden="false" customHeight="false" outlineLevel="0" collapsed="false">
      <c r="A642" s="2" t="s">
        <v>841</v>
      </c>
      <c r="B642" s="2" t="s">
        <v>367</v>
      </c>
      <c r="C642" s="2" t="n">
        <v>10</v>
      </c>
      <c r="D642" s="2" t="s">
        <v>76</v>
      </c>
      <c r="E642" s="2" t="s">
        <v>2248</v>
      </c>
      <c r="F642" s="2" t="n">
        <v>9</v>
      </c>
      <c r="G642" s="2" t="n">
        <v>11</v>
      </c>
      <c r="H642" s="2" t="s">
        <v>1689</v>
      </c>
      <c r="I642" s="2" t="n">
        <v>9</v>
      </c>
    </row>
    <row r="643" customFormat="false" ht="15" hidden="false" customHeight="false" outlineLevel="0" collapsed="false">
      <c r="A643" s="2" t="s">
        <v>841</v>
      </c>
      <c r="B643" s="2" t="s">
        <v>454</v>
      </c>
      <c r="C643" s="2" t="n">
        <v>100</v>
      </c>
      <c r="D643" s="2" t="s">
        <v>54</v>
      </c>
      <c r="E643" s="2" t="s">
        <v>2249</v>
      </c>
      <c r="F643" s="2" t="n">
        <v>50</v>
      </c>
      <c r="G643" s="2" t="n">
        <v>150</v>
      </c>
      <c r="H643" s="2" t="s">
        <v>1689</v>
      </c>
      <c r="I643" s="2" t="n">
        <v>10</v>
      </c>
    </row>
    <row r="644" customFormat="false" ht="15" hidden="false" customHeight="false" outlineLevel="0" collapsed="false">
      <c r="A644" s="2" t="s">
        <v>841</v>
      </c>
      <c r="B644" s="2" t="s">
        <v>458</v>
      </c>
      <c r="C644" s="2" t="n">
        <v>50</v>
      </c>
      <c r="D644" s="2" t="s">
        <v>54</v>
      </c>
      <c r="E644" s="2" t="s">
        <v>2250</v>
      </c>
      <c r="F644" s="2" t="n">
        <v>25</v>
      </c>
      <c r="G644" s="2" t="n">
        <v>75</v>
      </c>
      <c r="H644" s="2" t="s">
        <v>1689</v>
      </c>
      <c r="I644" s="2" t="n">
        <v>11</v>
      </c>
    </row>
    <row r="645" customFormat="false" ht="15" hidden="false" customHeight="false" outlineLevel="0" collapsed="false">
      <c r="A645" s="2" t="s">
        <v>841</v>
      </c>
      <c r="B645" s="2" t="s">
        <v>500</v>
      </c>
      <c r="C645" s="2" t="n">
        <v>2</v>
      </c>
      <c r="D645" s="2" t="s">
        <v>1687</v>
      </c>
      <c r="E645" s="2" t="s">
        <v>2251</v>
      </c>
      <c r="F645" s="2" t="n">
        <v>1</v>
      </c>
      <c r="G645" s="2" t="n">
        <v>3</v>
      </c>
      <c r="H645" s="2" t="s">
        <v>1689</v>
      </c>
      <c r="I645" s="2" t="n">
        <v>12</v>
      </c>
    </row>
    <row r="646" customFormat="false" ht="15" hidden="false" customHeight="false" outlineLevel="0" collapsed="false">
      <c r="A646" s="2" t="s">
        <v>841</v>
      </c>
      <c r="B646" s="2" t="s">
        <v>301</v>
      </c>
      <c r="C646" s="2" t="n">
        <v>10</v>
      </c>
      <c r="D646" s="2" t="s">
        <v>54</v>
      </c>
      <c r="E646" s="2" t="s">
        <v>2252</v>
      </c>
      <c r="F646" s="2" t="n">
        <v>5</v>
      </c>
      <c r="G646" s="2" t="n">
        <v>15</v>
      </c>
      <c r="H646" s="2" t="s">
        <v>1689</v>
      </c>
      <c r="I646" s="2" t="n">
        <v>13</v>
      </c>
    </row>
    <row r="647" customFormat="false" ht="15" hidden="false" customHeight="false" outlineLevel="0" collapsed="false">
      <c r="A647" s="2" t="s">
        <v>841</v>
      </c>
      <c r="B647" s="2" t="s">
        <v>456</v>
      </c>
      <c r="C647" s="2" t="n">
        <v>0.5</v>
      </c>
      <c r="D647" s="2" t="s">
        <v>1687</v>
      </c>
      <c r="E647" s="2" t="s">
        <v>2253</v>
      </c>
      <c r="F647" s="2"/>
      <c r="G647" s="2" t="n">
        <v>1.5</v>
      </c>
      <c r="H647" s="2" t="s">
        <v>1689</v>
      </c>
      <c r="I647" s="2" t="n">
        <v>14</v>
      </c>
    </row>
    <row r="648" customFormat="false" ht="15" hidden="false" customHeight="false" outlineLevel="0" collapsed="false">
      <c r="A648" s="2" t="s">
        <v>841</v>
      </c>
      <c r="B648" s="2" t="s">
        <v>177</v>
      </c>
      <c r="C648" s="2" t="n">
        <v>55</v>
      </c>
      <c r="D648" s="2" t="s">
        <v>54</v>
      </c>
      <c r="E648" s="2" t="s">
        <v>2231</v>
      </c>
      <c r="F648" s="2" t="n">
        <v>27.5</v>
      </c>
      <c r="G648" s="2" t="n">
        <v>82.5</v>
      </c>
      <c r="H648" s="2" t="s">
        <v>1689</v>
      </c>
      <c r="I648" s="2" t="n">
        <v>15</v>
      </c>
    </row>
    <row r="649" customFormat="false" ht="15" hidden="false" customHeight="false" outlineLevel="0" collapsed="false">
      <c r="A649" s="2" t="s">
        <v>844</v>
      </c>
      <c r="B649" s="2" t="s">
        <v>221</v>
      </c>
      <c r="C649" s="2" t="n">
        <v>125</v>
      </c>
      <c r="D649" s="2" t="s">
        <v>54</v>
      </c>
      <c r="E649" s="2" t="s">
        <v>2254</v>
      </c>
      <c r="F649" s="2" t="n">
        <v>62.5</v>
      </c>
      <c r="G649" s="2" t="n">
        <v>187.5</v>
      </c>
      <c r="H649" s="2" t="s">
        <v>1693</v>
      </c>
      <c r="I649" s="2" t="n">
        <v>1</v>
      </c>
    </row>
    <row r="650" customFormat="false" ht="15" hidden="false" customHeight="false" outlineLevel="0" collapsed="false">
      <c r="A650" s="2" t="s">
        <v>844</v>
      </c>
      <c r="B650" s="2" t="s">
        <v>440</v>
      </c>
      <c r="C650" s="2" t="n">
        <v>10</v>
      </c>
      <c r="D650" s="2" t="s">
        <v>54</v>
      </c>
      <c r="E650" s="2" t="s">
        <v>2255</v>
      </c>
      <c r="F650" s="2" t="n">
        <v>5</v>
      </c>
      <c r="G650" s="2" t="n">
        <v>15</v>
      </c>
      <c r="H650" s="2" t="s">
        <v>1689</v>
      </c>
      <c r="I650" s="2" t="n">
        <v>2</v>
      </c>
    </row>
    <row r="651" customFormat="false" ht="15" hidden="false" customHeight="false" outlineLevel="0" collapsed="false">
      <c r="A651" s="2" t="s">
        <v>844</v>
      </c>
      <c r="B651" s="2" t="s">
        <v>110</v>
      </c>
      <c r="C651" s="2" t="n">
        <v>1</v>
      </c>
      <c r="D651" s="2" t="s">
        <v>1687</v>
      </c>
      <c r="E651" s="2" t="s">
        <v>2256</v>
      </c>
      <c r="F651" s="2"/>
      <c r="G651" s="2" t="n">
        <v>2</v>
      </c>
      <c r="H651" s="2" t="s">
        <v>1693</v>
      </c>
      <c r="I651" s="2" t="n">
        <v>3</v>
      </c>
    </row>
    <row r="652" customFormat="false" ht="15" hidden="false" customHeight="false" outlineLevel="0" collapsed="false">
      <c r="A652" s="2" t="s">
        <v>844</v>
      </c>
      <c r="B652" s="2" t="s">
        <v>193</v>
      </c>
      <c r="C652" s="2" t="n">
        <v>15</v>
      </c>
      <c r="D652" s="2" t="s">
        <v>54</v>
      </c>
      <c r="E652" s="2" t="s">
        <v>2257</v>
      </c>
      <c r="F652" s="2" t="n">
        <v>7.5</v>
      </c>
      <c r="G652" s="2" t="n">
        <v>22.5</v>
      </c>
      <c r="H652" s="2" t="s">
        <v>1689</v>
      </c>
      <c r="I652" s="2" t="n">
        <v>4</v>
      </c>
    </row>
    <row r="653" customFormat="false" ht="15" hidden="false" customHeight="false" outlineLevel="0" collapsed="false">
      <c r="A653" s="2" t="s">
        <v>844</v>
      </c>
      <c r="B653" s="2" t="s">
        <v>129</v>
      </c>
      <c r="C653" s="2" t="n">
        <v>2</v>
      </c>
      <c r="D653" s="2" t="s">
        <v>54</v>
      </c>
      <c r="E653" s="2" t="s">
        <v>2258</v>
      </c>
      <c r="F653" s="2" t="n">
        <v>1</v>
      </c>
      <c r="G653" s="2" t="n">
        <v>3</v>
      </c>
      <c r="H653" s="2" t="s">
        <v>1700</v>
      </c>
      <c r="I653" s="2" t="n">
        <v>5</v>
      </c>
    </row>
    <row r="654" customFormat="false" ht="15" hidden="false" customHeight="false" outlineLevel="0" collapsed="false">
      <c r="A654" s="2" t="s">
        <v>844</v>
      </c>
      <c r="B654" s="2" t="s">
        <v>480</v>
      </c>
      <c r="C654" s="2" t="n">
        <v>1</v>
      </c>
      <c r="D654" s="2" t="s">
        <v>54</v>
      </c>
      <c r="E654" s="2" t="s">
        <v>2172</v>
      </c>
      <c r="F654" s="2" t="n">
        <v>0.5</v>
      </c>
      <c r="G654" s="2" t="n">
        <v>1.5</v>
      </c>
      <c r="H654" s="2" t="s">
        <v>1689</v>
      </c>
      <c r="I654" s="2" t="n">
        <v>6</v>
      </c>
    </row>
    <row r="655" customFormat="false" ht="15" hidden="false" customHeight="false" outlineLevel="0" collapsed="false">
      <c r="A655" s="2" t="s">
        <v>844</v>
      </c>
      <c r="B655" s="2" t="s">
        <v>129</v>
      </c>
      <c r="C655" s="2" t="n">
        <v>4</v>
      </c>
      <c r="D655" s="2" t="s">
        <v>54</v>
      </c>
      <c r="E655" s="2" t="s">
        <v>2259</v>
      </c>
      <c r="F655" s="2" t="n">
        <v>2</v>
      </c>
      <c r="G655" s="2" t="n">
        <v>6</v>
      </c>
      <c r="H655" s="2" t="s">
        <v>1700</v>
      </c>
      <c r="I655" s="2" t="n">
        <v>7</v>
      </c>
    </row>
    <row r="656" customFormat="false" ht="15" hidden="false" customHeight="false" outlineLevel="0" collapsed="false">
      <c r="A656" s="2" t="s">
        <v>844</v>
      </c>
      <c r="B656" s="2" t="s">
        <v>409</v>
      </c>
      <c r="C656" s="2" t="n">
        <v>40</v>
      </c>
      <c r="D656" s="2" t="s">
        <v>54</v>
      </c>
      <c r="E656" s="2" t="s">
        <v>2260</v>
      </c>
      <c r="F656" s="2" t="n">
        <v>20</v>
      </c>
      <c r="G656" s="2" t="n">
        <v>60</v>
      </c>
      <c r="H656" s="2" t="s">
        <v>1689</v>
      </c>
      <c r="I656" s="2" t="n">
        <v>8</v>
      </c>
    </row>
    <row r="657" customFormat="false" ht="15" hidden="false" customHeight="false" outlineLevel="0" collapsed="false">
      <c r="A657" s="2" t="s">
        <v>844</v>
      </c>
      <c r="B657" s="2" t="s">
        <v>210</v>
      </c>
      <c r="C657" s="2" t="n">
        <v>30</v>
      </c>
      <c r="D657" s="2" t="s">
        <v>54</v>
      </c>
      <c r="E657" s="2" t="s">
        <v>2261</v>
      </c>
      <c r="F657" s="2" t="n">
        <v>15</v>
      </c>
      <c r="G657" s="2" t="n">
        <v>45</v>
      </c>
      <c r="H657" s="2" t="s">
        <v>1689</v>
      </c>
      <c r="I657" s="2" t="n">
        <v>9</v>
      </c>
    </row>
    <row r="658" customFormat="false" ht="15" hidden="false" customHeight="false" outlineLevel="0" collapsed="false">
      <c r="A658" s="2" t="s">
        <v>844</v>
      </c>
      <c r="B658" s="2" t="s">
        <v>312</v>
      </c>
      <c r="C658" s="2" t="n">
        <v>3.333</v>
      </c>
      <c r="D658" s="2" t="s">
        <v>1687</v>
      </c>
      <c r="E658" s="2" t="s">
        <v>2223</v>
      </c>
      <c r="F658" s="2" t="n">
        <v>2.33333333333333</v>
      </c>
      <c r="G658" s="2" t="n">
        <v>4.33333333333333</v>
      </c>
      <c r="H658" s="2" t="s">
        <v>1689</v>
      </c>
      <c r="I658" s="2" t="n">
        <v>10</v>
      </c>
    </row>
    <row r="659" customFormat="false" ht="15" hidden="false" customHeight="false" outlineLevel="0" collapsed="false">
      <c r="A659" s="2" t="s">
        <v>844</v>
      </c>
      <c r="B659" s="2" t="s">
        <v>299</v>
      </c>
      <c r="C659" s="2" t="n">
        <v>2.5</v>
      </c>
      <c r="D659" s="2" t="s">
        <v>54</v>
      </c>
      <c r="E659" s="2" t="s">
        <v>2262</v>
      </c>
      <c r="F659" s="2" t="n">
        <v>1.5</v>
      </c>
      <c r="G659" s="2" t="n">
        <v>3.5</v>
      </c>
      <c r="H659" s="2" t="s">
        <v>1689</v>
      </c>
      <c r="I659" s="2" t="n">
        <v>11</v>
      </c>
    </row>
    <row r="660" customFormat="false" ht="15" hidden="false" customHeight="false" outlineLevel="0" collapsed="false">
      <c r="A660" s="2" t="s">
        <v>844</v>
      </c>
      <c r="B660" s="2" t="s">
        <v>262</v>
      </c>
      <c r="C660" s="2" t="n">
        <v>2</v>
      </c>
      <c r="D660" s="2" t="s">
        <v>54</v>
      </c>
      <c r="E660" s="2" t="s">
        <v>2263</v>
      </c>
      <c r="F660" s="2" t="n">
        <v>1</v>
      </c>
      <c r="G660" s="2" t="n">
        <v>3</v>
      </c>
      <c r="H660" s="2" t="s">
        <v>1689</v>
      </c>
      <c r="I660" s="2" t="n">
        <v>12</v>
      </c>
    </row>
    <row r="661" customFormat="false" ht="15" hidden="false" customHeight="false" outlineLevel="0" collapsed="false">
      <c r="A661" s="2" t="s">
        <v>844</v>
      </c>
      <c r="B661" s="2" t="s">
        <v>271</v>
      </c>
      <c r="C661" s="2" t="n">
        <v>1</v>
      </c>
      <c r="D661" s="2" t="s">
        <v>54</v>
      </c>
      <c r="E661" s="2" t="s">
        <v>2264</v>
      </c>
      <c r="F661" s="2" t="n">
        <v>0.5</v>
      </c>
      <c r="G661" s="2" t="n">
        <v>1.5</v>
      </c>
      <c r="H661" s="2" t="s">
        <v>1689</v>
      </c>
      <c r="I661" s="2" t="n">
        <v>13</v>
      </c>
    </row>
    <row r="662" customFormat="false" ht="15" hidden="false" customHeight="false" outlineLevel="0" collapsed="false">
      <c r="A662" s="2" t="s">
        <v>844</v>
      </c>
      <c r="B662" s="2" t="s">
        <v>526</v>
      </c>
      <c r="C662" s="2" t="n">
        <v>5</v>
      </c>
      <c r="D662" s="2" t="s">
        <v>54</v>
      </c>
      <c r="E662" s="2" t="s">
        <v>2265</v>
      </c>
      <c r="F662" s="2" t="n">
        <v>2.5</v>
      </c>
      <c r="G662" s="2" t="n">
        <v>7.5</v>
      </c>
      <c r="H662" s="2" t="s">
        <v>1689</v>
      </c>
      <c r="I662" s="2" t="n">
        <v>14</v>
      </c>
    </row>
    <row r="663" customFormat="false" ht="15" hidden="false" customHeight="false" outlineLevel="0" collapsed="false">
      <c r="A663" s="2" t="s">
        <v>844</v>
      </c>
      <c r="B663" s="2" t="s">
        <v>506</v>
      </c>
      <c r="C663" s="2" t="n">
        <v>150</v>
      </c>
      <c r="D663" s="2" t="s">
        <v>76</v>
      </c>
      <c r="E663" s="2" t="s">
        <v>2266</v>
      </c>
      <c r="F663" s="2" t="n">
        <v>75</v>
      </c>
      <c r="G663" s="2" t="n">
        <v>225</v>
      </c>
      <c r="H663" s="2" t="s">
        <v>1693</v>
      </c>
      <c r="I663" s="2" t="n">
        <v>15</v>
      </c>
    </row>
    <row r="664" customFormat="false" ht="15" hidden="false" customHeight="false" outlineLevel="0" collapsed="false">
      <c r="A664" s="2" t="s">
        <v>844</v>
      </c>
      <c r="B664" s="2" t="s">
        <v>91</v>
      </c>
      <c r="C664" s="2" t="n">
        <v>4</v>
      </c>
      <c r="D664" s="2" t="s">
        <v>54</v>
      </c>
      <c r="E664" s="2" t="s">
        <v>2267</v>
      </c>
      <c r="F664" s="2" t="n">
        <v>2</v>
      </c>
      <c r="G664" s="2" t="n">
        <v>6</v>
      </c>
      <c r="H664" s="2" t="s">
        <v>1689</v>
      </c>
      <c r="I664" s="2" t="n">
        <v>16</v>
      </c>
    </row>
    <row r="665" customFormat="false" ht="15" hidden="false" customHeight="false" outlineLevel="0" collapsed="false">
      <c r="A665" s="2" t="s">
        <v>844</v>
      </c>
      <c r="B665" s="2" t="s">
        <v>496</v>
      </c>
      <c r="C665" s="2" t="n">
        <v>5</v>
      </c>
      <c r="D665" s="2" t="s">
        <v>76</v>
      </c>
      <c r="E665" s="2" t="s">
        <v>2268</v>
      </c>
      <c r="F665" s="2" t="n">
        <v>2.5</v>
      </c>
      <c r="G665" s="2" t="n">
        <v>7.5</v>
      </c>
      <c r="H665" s="2" t="s">
        <v>1693</v>
      </c>
      <c r="I665" s="2" t="n">
        <v>17</v>
      </c>
    </row>
    <row r="666" customFormat="false" ht="15" hidden="false" customHeight="false" outlineLevel="0" collapsed="false">
      <c r="A666" s="2" t="s">
        <v>844</v>
      </c>
      <c r="B666" s="2" t="s">
        <v>249</v>
      </c>
      <c r="C666" s="2" t="n">
        <v>3</v>
      </c>
      <c r="D666" s="2" t="s">
        <v>54</v>
      </c>
      <c r="E666" s="2" t="s">
        <v>2269</v>
      </c>
      <c r="F666" s="2" t="n">
        <v>1.5</v>
      </c>
      <c r="G666" s="2" t="n">
        <v>4.5</v>
      </c>
      <c r="H666" s="2" t="s">
        <v>1689</v>
      </c>
      <c r="I666" s="2" t="n">
        <v>18</v>
      </c>
    </row>
    <row r="667" customFormat="false" ht="15" hidden="false" customHeight="false" outlineLevel="0" collapsed="false">
      <c r="A667" s="2" t="s">
        <v>844</v>
      </c>
      <c r="B667" s="2" t="s">
        <v>177</v>
      </c>
      <c r="C667" s="2" t="n">
        <v>55</v>
      </c>
      <c r="D667" s="2" t="s">
        <v>54</v>
      </c>
      <c r="E667" s="2" t="s">
        <v>2270</v>
      </c>
      <c r="F667" s="2" t="n">
        <v>27.5</v>
      </c>
      <c r="G667" s="2" t="n">
        <v>82.5</v>
      </c>
      <c r="H667" s="2" t="s">
        <v>1689</v>
      </c>
      <c r="I667" s="2" t="n">
        <v>19</v>
      </c>
    </row>
    <row r="668" customFormat="false" ht="15" hidden="false" customHeight="false" outlineLevel="0" collapsed="false">
      <c r="A668" s="2" t="s">
        <v>847</v>
      </c>
      <c r="B668" s="2" t="s">
        <v>355</v>
      </c>
      <c r="C668" s="2" t="n">
        <v>170</v>
      </c>
      <c r="D668" s="2" t="s">
        <v>54</v>
      </c>
      <c r="E668" s="2" t="s">
        <v>2271</v>
      </c>
      <c r="F668" s="2" t="n">
        <v>85</v>
      </c>
      <c r="G668" s="2" t="n">
        <v>255</v>
      </c>
      <c r="H668" s="2" t="s">
        <v>1693</v>
      </c>
      <c r="I668" s="2" t="n">
        <v>1</v>
      </c>
    </row>
    <row r="669" customFormat="false" ht="15" hidden="false" customHeight="false" outlineLevel="0" collapsed="false">
      <c r="A669" s="2" t="s">
        <v>847</v>
      </c>
      <c r="B669" s="2" t="s">
        <v>249</v>
      </c>
      <c r="C669" s="2" t="n">
        <v>3</v>
      </c>
      <c r="D669" s="2" t="s">
        <v>54</v>
      </c>
      <c r="E669" s="2" t="s">
        <v>2272</v>
      </c>
      <c r="F669" s="2" t="n">
        <v>1.5</v>
      </c>
      <c r="G669" s="2" t="n">
        <v>4.5</v>
      </c>
      <c r="H669" s="2" t="s">
        <v>1689</v>
      </c>
      <c r="I669" s="2" t="n">
        <v>2</v>
      </c>
    </row>
    <row r="670" customFormat="false" ht="15" hidden="false" customHeight="false" outlineLevel="0" collapsed="false">
      <c r="A670" s="2" t="s">
        <v>847</v>
      </c>
      <c r="B670" s="2" t="s">
        <v>480</v>
      </c>
      <c r="C670" s="2" t="n">
        <v>1</v>
      </c>
      <c r="D670" s="2" t="s">
        <v>54</v>
      </c>
      <c r="E670" s="2" t="s">
        <v>2172</v>
      </c>
      <c r="F670" s="2" t="n">
        <v>0.5</v>
      </c>
      <c r="G670" s="2" t="n">
        <v>1.5</v>
      </c>
      <c r="H670" s="2" t="s">
        <v>1689</v>
      </c>
      <c r="I670" s="2" t="n">
        <v>3</v>
      </c>
    </row>
    <row r="671" customFormat="false" ht="15" hidden="false" customHeight="false" outlineLevel="0" collapsed="false">
      <c r="A671" s="2" t="s">
        <v>847</v>
      </c>
      <c r="B671" s="2" t="s">
        <v>486</v>
      </c>
      <c r="C671" s="2" t="n">
        <v>4</v>
      </c>
      <c r="D671" s="2" t="s">
        <v>54</v>
      </c>
      <c r="E671" s="2" t="s">
        <v>2177</v>
      </c>
      <c r="F671" s="2" t="n">
        <v>2</v>
      </c>
      <c r="G671" s="2" t="n">
        <v>6</v>
      </c>
      <c r="H671" s="2" t="s">
        <v>1700</v>
      </c>
      <c r="I671" s="2" t="n">
        <v>4</v>
      </c>
    </row>
    <row r="672" customFormat="false" ht="15" hidden="false" customHeight="false" outlineLevel="0" collapsed="false">
      <c r="A672" s="2" t="s">
        <v>847</v>
      </c>
      <c r="B672" s="2" t="s">
        <v>331</v>
      </c>
      <c r="C672" s="2" t="n">
        <v>33</v>
      </c>
      <c r="D672" s="2" t="s">
        <v>54</v>
      </c>
      <c r="E672" s="2" t="s">
        <v>2273</v>
      </c>
      <c r="F672" s="2" t="n">
        <v>16.5</v>
      </c>
      <c r="G672" s="2" t="n">
        <v>49.5</v>
      </c>
      <c r="H672" s="2" t="s">
        <v>1689</v>
      </c>
      <c r="I672" s="2" t="n">
        <v>5</v>
      </c>
    </row>
    <row r="673" customFormat="false" ht="15" hidden="false" customHeight="false" outlineLevel="0" collapsed="false">
      <c r="A673" s="2" t="s">
        <v>847</v>
      </c>
      <c r="B673" s="2" t="s">
        <v>496</v>
      </c>
      <c r="C673" s="2" t="n">
        <v>11</v>
      </c>
      <c r="D673" s="2" t="s">
        <v>76</v>
      </c>
      <c r="E673" s="2" t="s">
        <v>2274</v>
      </c>
      <c r="F673" s="2" t="n">
        <v>5.5</v>
      </c>
      <c r="G673" s="2" t="n">
        <v>16.5</v>
      </c>
      <c r="H673" s="2" t="s">
        <v>1693</v>
      </c>
      <c r="I673" s="2" t="n">
        <v>6</v>
      </c>
    </row>
    <row r="674" customFormat="false" ht="15" hidden="false" customHeight="false" outlineLevel="0" collapsed="false">
      <c r="A674" s="2" t="s">
        <v>847</v>
      </c>
      <c r="B674" s="2" t="s">
        <v>466</v>
      </c>
      <c r="C674" s="2" t="n">
        <v>5</v>
      </c>
      <c r="D674" s="2" t="s">
        <v>76</v>
      </c>
      <c r="E674" s="2" t="s">
        <v>2275</v>
      </c>
      <c r="F674" s="2" t="n">
        <v>2.5</v>
      </c>
      <c r="G674" s="2" t="n">
        <v>7.5</v>
      </c>
      <c r="H674" s="2" t="s">
        <v>1689</v>
      </c>
      <c r="I674" s="2" t="n">
        <v>7</v>
      </c>
    </row>
    <row r="675" customFormat="false" ht="15" hidden="false" customHeight="false" outlineLevel="0" collapsed="false">
      <c r="A675" s="2" t="s">
        <v>847</v>
      </c>
      <c r="B675" s="2" t="s">
        <v>91</v>
      </c>
      <c r="C675" s="2" t="n">
        <v>4</v>
      </c>
      <c r="D675" s="2" t="s">
        <v>54</v>
      </c>
      <c r="E675" s="2" t="s">
        <v>2267</v>
      </c>
      <c r="F675" s="2" t="n">
        <v>2</v>
      </c>
      <c r="G675" s="2" t="n">
        <v>6</v>
      </c>
      <c r="H675" s="2" t="s">
        <v>1689</v>
      </c>
      <c r="I675" s="2" t="n">
        <v>8</v>
      </c>
    </row>
    <row r="676" customFormat="false" ht="15" hidden="false" customHeight="false" outlineLevel="0" collapsed="false">
      <c r="A676" s="2" t="s">
        <v>847</v>
      </c>
      <c r="B676" s="2" t="s">
        <v>299</v>
      </c>
      <c r="C676" s="2" t="n">
        <v>1</v>
      </c>
      <c r="D676" s="2" t="s">
        <v>54</v>
      </c>
      <c r="E676" s="2" t="s">
        <v>2276</v>
      </c>
      <c r="F676" s="2"/>
      <c r="G676" s="2" t="n">
        <v>2</v>
      </c>
      <c r="H676" s="2" t="s">
        <v>1689</v>
      </c>
      <c r="I676" s="2" t="n">
        <v>9</v>
      </c>
    </row>
    <row r="677" customFormat="false" ht="15" hidden="false" customHeight="false" outlineLevel="0" collapsed="false">
      <c r="A677" s="2" t="s">
        <v>847</v>
      </c>
      <c r="B677" s="2" t="s">
        <v>312</v>
      </c>
      <c r="C677" s="2" t="n">
        <v>2</v>
      </c>
      <c r="D677" s="2" t="s">
        <v>1687</v>
      </c>
      <c r="E677" s="2" t="s">
        <v>2277</v>
      </c>
      <c r="F677" s="2" t="n">
        <v>1</v>
      </c>
      <c r="G677" s="2" t="n">
        <v>3</v>
      </c>
      <c r="H677" s="2" t="s">
        <v>1689</v>
      </c>
      <c r="I677" s="2" t="n">
        <v>10</v>
      </c>
    </row>
    <row r="678" customFormat="false" ht="15" hidden="false" customHeight="false" outlineLevel="0" collapsed="false">
      <c r="A678" s="2" t="s">
        <v>847</v>
      </c>
      <c r="B678" s="2" t="s">
        <v>329</v>
      </c>
      <c r="C678" s="2" t="n">
        <v>3</v>
      </c>
      <c r="D678" s="2" t="s">
        <v>54</v>
      </c>
      <c r="E678" s="2" t="s">
        <v>2278</v>
      </c>
      <c r="F678" s="2" t="n">
        <v>1.5</v>
      </c>
      <c r="G678" s="2" t="n">
        <v>4.5</v>
      </c>
      <c r="H678" s="2" t="s">
        <v>1689</v>
      </c>
      <c r="I678" s="2" t="n">
        <v>11</v>
      </c>
    </row>
    <row r="679" customFormat="false" ht="15" hidden="false" customHeight="false" outlineLevel="0" collapsed="false">
      <c r="A679" s="2" t="s">
        <v>847</v>
      </c>
      <c r="B679" s="2" t="s">
        <v>249</v>
      </c>
      <c r="C679" s="2" t="n">
        <v>3</v>
      </c>
      <c r="D679" s="2" t="s">
        <v>54</v>
      </c>
      <c r="E679" s="2" t="s">
        <v>2279</v>
      </c>
      <c r="F679" s="2" t="n">
        <v>1.5</v>
      </c>
      <c r="G679" s="2" t="n">
        <v>4.5</v>
      </c>
      <c r="H679" s="2" t="s">
        <v>1689</v>
      </c>
      <c r="I679" s="2" t="n">
        <v>12</v>
      </c>
    </row>
    <row r="680" customFormat="false" ht="15" hidden="false" customHeight="false" outlineLevel="0" collapsed="false">
      <c r="A680" s="2" t="s">
        <v>847</v>
      </c>
      <c r="B680" s="2" t="s">
        <v>388</v>
      </c>
      <c r="C680" s="2" t="n">
        <v>50</v>
      </c>
      <c r="D680" s="2" t="s">
        <v>54</v>
      </c>
      <c r="E680" s="2" t="s">
        <v>2280</v>
      </c>
      <c r="F680" s="2" t="n">
        <v>25</v>
      </c>
      <c r="G680" s="2" t="n">
        <v>75</v>
      </c>
      <c r="H680" s="2" t="s">
        <v>1689</v>
      </c>
      <c r="I680" s="2" t="n">
        <v>13</v>
      </c>
    </row>
    <row r="681" customFormat="false" ht="15" hidden="false" customHeight="false" outlineLevel="0" collapsed="false">
      <c r="A681" s="2" t="s">
        <v>847</v>
      </c>
      <c r="B681" s="2" t="s">
        <v>195</v>
      </c>
      <c r="C681" s="2" t="n">
        <v>150</v>
      </c>
      <c r="D681" s="2" t="s">
        <v>54</v>
      </c>
      <c r="E681" s="2" t="s">
        <v>2281</v>
      </c>
      <c r="F681" s="2" t="n">
        <v>75</v>
      </c>
      <c r="G681" s="2" t="n">
        <v>225</v>
      </c>
      <c r="H681" s="2" t="s">
        <v>1693</v>
      </c>
      <c r="I681" s="2" t="n">
        <v>14</v>
      </c>
    </row>
    <row r="682" customFormat="false" ht="15" hidden="false" customHeight="false" outlineLevel="0" collapsed="false">
      <c r="A682" s="2" t="s">
        <v>847</v>
      </c>
      <c r="B682" s="2" t="s">
        <v>454</v>
      </c>
      <c r="C682" s="2" t="n">
        <v>50</v>
      </c>
      <c r="D682" s="2" t="s">
        <v>54</v>
      </c>
      <c r="E682" s="2" t="s">
        <v>2282</v>
      </c>
      <c r="F682" s="2" t="n">
        <v>25</v>
      </c>
      <c r="G682" s="2" t="n">
        <v>75</v>
      </c>
      <c r="H682" s="2" t="s">
        <v>1689</v>
      </c>
      <c r="I682" s="2" t="n">
        <v>15</v>
      </c>
    </row>
    <row r="683" customFormat="false" ht="15" hidden="false" customHeight="false" outlineLevel="0" collapsed="false">
      <c r="A683" s="2" t="s">
        <v>847</v>
      </c>
      <c r="B683" s="2" t="s">
        <v>210</v>
      </c>
      <c r="C683" s="2" t="n">
        <v>40</v>
      </c>
      <c r="D683" s="2" t="s">
        <v>54</v>
      </c>
      <c r="E683" s="2" t="s">
        <v>2283</v>
      </c>
      <c r="F683" s="2" t="n">
        <v>20</v>
      </c>
      <c r="G683" s="2" t="n">
        <v>60</v>
      </c>
      <c r="H683" s="2" t="s">
        <v>1689</v>
      </c>
      <c r="I683" s="2" t="n">
        <v>16</v>
      </c>
    </row>
    <row r="684" customFormat="false" ht="15" hidden="false" customHeight="false" outlineLevel="0" collapsed="false">
      <c r="A684" s="2" t="s">
        <v>847</v>
      </c>
      <c r="B684" s="2" t="s">
        <v>500</v>
      </c>
      <c r="C684" s="2" t="n">
        <v>2</v>
      </c>
      <c r="D684" s="2" t="s">
        <v>1687</v>
      </c>
      <c r="E684" s="2" t="s">
        <v>2284</v>
      </c>
      <c r="F684" s="2" t="n">
        <v>1</v>
      </c>
      <c r="G684" s="2" t="n">
        <v>3</v>
      </c>
      <c r="H684" s="2" t="s">
        <v>1689</v>
      </c>
      <c r="I684" s="2" t="n">
        <v>17</v>
      </c>
    </row>
    <row r="685" customFormat="false" ht="15" hidden="false" customHeight="false" outlineLevel="0" collapsed="false">
      <c r="A685" s="2" t="s">
        <v>847</v>
      </c>
      <c r="B685" s="2" t="s">
        <v>488</v>
      </c>
      <c r="C685" s="2" t="n">
        <v>9</v>
      </c>
      <c r="D685" s="2" t="s">
        <v>54</v>
      </c>
      <c r="E685" s="2" t="s">
        <v>2285</v>
      </c>
      <c r="F685" s="2" t="n">
        <v>4.5</v>
      </c>
      <c r="G685" s="2" t="n">
        <v>13.5</v>
      </c>
      <c r="H685" s="2" t="s">
        <v>1700</v>
      </c>
      <c r="I685" s="2" t="n">
        <v>18</v>
      </c>
    </row>
    <row r="686" customFormat="false" ht="15" hidden="false" customHeight="false" outlineLevel="0" collapsed="false">
      <c r="A686" s="2" t="s">
        <v>850</v>
      </c>
      <c r="B686" s="2" t="s">
        <v>476</v>
      </c>
      <c r="C686" s="2" t="n">
        <v>180</v>
      </c>
      <c r="D686" s="2" t="s">
        <v>54</v>
      </c>
      <c r="E686" s="2" t="s">
        <v>2286</v>
      </c>
      <c r="F686" s="2" t="n">
        <v>90</v>
      </c>
      <c r="G686" s="2" t="n">
        <v>270</v>
      </c>
      <c r="H686" s="2" t="s">
        <v>1693</v>
      </c>
      <c r="I686" s="2" t="n">
        <v>1</v>
      </c>
    </row>
    <row r="687" customFormat="false" ht="15" hidden="false" customHeight="false" outlineLevel="0" collapsed="false">
      <c r="A687" s="2" t="s">
        <v>850</v>
      </c>
      <c r="B687" s="2" t="s">
        <v>177</v>
      </c>
      <c r="C687" s="2" t="n">
        <v>75</v>
      </c>
      <c r="D687" s="2" t="s">
        <v>54</v>
      </c>
      <c r="E687" s="2" t="s">
        <v>2287</v>
      </c>
      <c r="F687" s="2" t="n">
        <v>37.5</v>
      </c>
      <c r="G687" s="2" t="n">
        <v>112.5</v>
      </c>
      <c r="H687" s="2" t="s">
        <v>1689</v>
      </c>
      <c r="I687" s="2" t="n">
        <v>2</v>
      </c>
    </row>
    <row r="688" customFormat="false" ht="15" hidden="false" customHeight="false" outlineLevel="0" collapsed="false">
      <c r="A688" s="2" t="s">
        <v>850</v>
      </c>
      <c r="B688" s="2" t="s">
        <v>371</v>
      </c>
      <c r="C688" s="2" t="n">
        <v>50</v>
      </c>
      <c r="D688" s="2" t="s">
        <v>76</v>
      </c>
      <c r="E688" s="2" t="s">
        <v>2288</v>
      </c>
      <c r="F688" s="2" t="n">
        <v>25</v>
      </c>
      <c r="G688" s="2" t="n">
        <v>75</v>
      </c>
      <c r="H688" s="2" t="s">
        <v>1700</v>
      </c>
      <c r="I688" s="2" t="n">
        <v>3</v>
      </c>
    </row>
    <row r="689" customFormat="false" ht="15" hidden="false" customHeight="false" outlineLevel="0" collapsed="false">
      <c r="A689" s="2" t="s">
        <v>850</v>
      </c>
      <c r="B689" s="2" t="s">
        <v>143</v>
      </c>
      <c r="C689" s="2" t="n">
        <v>75</v>
      </c>
      <c r="D689" s="2" t="s">
        <v>76</v>
      </c>
      <c r="E689" s="2" t="s">
        <v>2289</v>
      </c>
      <c r="F689" s="2" t="n">
        <v>37.5</v>
      </c>
      <c r="G689" s="2" t="n">
        <v>112.5</v>
      </c>
      <c r="H689" s="2" t="s">
        <v>1689</v>
      </c>
      <c r="I689" s="2" t="n">
        <v>4</v>
      </c>
    </row>
    <row r="690" customFormat="false" ht="15" hidden="false" customHeight="false" outlineLevel="0" collapsed="false">
      <c r="A690" s="2" t="s">
        <v>850</v>
      </c>
      <c r="B690" s="2" t="s">
        <v>384</v>
      </c>
      <c r="C690" s="2" t="n">
        <v>80</v>
      </c>
      <c r="D690" s="2" t="s">
        <v>54</v>
      </c>
      <c r="E690" s="2" t="s">
        <v>2290</v>
      </c>
      <c r="F690" s="2" t="n">
        <v>40</v>
      </c>
      <c r="G690" s="2" t="n">
        <v>120</v>
      </c>
      <c r="H690" s="2" t="s">
        <v>1689</v>
      </c>
      <c r="I690" s="2" t="n">
        <v>5</v>
      </c>
    </row>
    <row r="691" customFormat="false" ht="15" hidden="false" customHeight="false" outlineLevel="0" collapsed="false">
      <c r="A691" s="2" t="s">
        <v>850</v>
      </c>
      <c r="B691" s="2" t="s">
        <v>117</v>
      </c>
      <c r="C691" s="2" t="n">
        <v>0.133</v>
      </c>
      <c r="D691" s="2" t="s">
        <v>1687</v>
      </c>
      <c r="E691" s="2" t="s">
        <v>2291</v>
      </c>
      <c r="F691" s="2"/>
      <c r="G691" s="2" t="n">
        <v>1.13333333333333</v>
      </c>
      <c r="H691" s="2" t="s">
        <v>1700</v>
      </c>
      <c r="I691" s="2" t="n">
        <v>6</v>
      </c>
    </row>
    <row r="692" customFormat="false" ht="15" hidden="false" customHeight="false" outlineLevel="0" collapsed="false">
      <c r="A692" s="2" t="s">
        <v>850</v>
      </c>
      <c r="B692" s="2" t="s">
        <v>458</v>
      </c>
      <c r="C692" s="2" t="n">
        <v>30</v>
      </c>
      <c r="D692" s="2" t="s">
        <v>54</v>
      </c>
      <c r="E692" s="2" t="s">
        <v>2292</v>
      </c>
      <c r="F692" s="2" t="n">
        <v>15</v>
      </c>
      <c r="G692" s="2" t="n">
        <v>45</v>
      </c>
      <c r="H692" s="2" t="s">
        <v>1689</v>
      </c>
      <c r="I692" s="2" t="n">
        <v>7</v>
      </c>
    </row>
    <row r="693" customFormat="false" ht="15" hidden="false" customHeight="false" outlineLevel="0" collapsed="false">
      <c r="A693" s="2" t="s">
        <v>850</v>
      </c>
      <c r="B693" s="2" t="s">
        <v>454</v>
      </c>
      <c r="C693" s="2" t="n">
        <v>30</v>
      </c>
      <c r="D693" s="2" t="s">
        <v>54</v>
      </c>
      <c r="E693" s="2" t="s">
        <v>2293</v>
      </c>
      <c r="F693" s="2" t="n">
        <v>15</v>
      </c>
      <c r="G693" s="2" t="n">
        <v>45</v>
      </c>
      <c r="H693" s="2" t="s">
        <v>1689</v>
      </c>
      <c r="I693" s="2" t="n">
        <v>8</v>
      </c>
    </row>
    <row r="694" customFormat="false" ht="15" hidden="false" customHeight="false" outlineLevel="0" collapsed="false">
      <c r="A694" s="2" t="s">
        <v>850</v>
      </c>
      <c r="B694" s="2" t="s">
        <v>301</v>
      </c>
      <c r="C694" s="2" t="n">
        <v>10</v>
      </c>
      <c r="D694" s="2" t="s">
        <v>54</v>
      </c>
      <c r="E694" s="2" t="s">
        <v>2252</v>
      </c>
      <c r="F694" s="2" t="n">
        <v>5</v>
      </c>
      <c r="G694" s="2" t="n">
        <v>15</v>
      </c>
      <c r="H694" s="2" t="s">
        <v>1689</v>
      </c>
      <c r="I694" s="2" t="n">
        <v>9</v>
      </c>
    </row>
    <row r="695" customFormat="false" ht="15" hidden="false" customHeight="false" outlineLevel="0" collapsed="false">
      <c r="A695" s="2" t="s">
        <v>850</v>
      </c>
      <c r="B695" s="2" t="s">
        <v>337</v>
      </c>
      <c r="C695" s="2" t="n">
        <v>0.5</v>
      </c>
      <c r="D695" s="2" t="s">
        <v>1687</v>
      </c>
      <c r="E695" s="2" t="s">
        <v>2294</v>
      </c>
      <c r="F695" s="2"/>
      <c r="G695" s="2" t="n">
        <v>1.5</v>
      </c>
      <c r="H695" s="2" t="s">
        <v>1689</v>
      </c>
      <c r="I695" s="2" t="n">
        <v>10</v>
      </c>
    </row>
    <row r="696" customFormat="false" ht="15" hidden="false" customHeight="false" outlineLevel="0" collapsed="false">
      <c r="A696" s="2" t="s">
        <v>850</v>
      </c>
      <c r="B696" s="2" t="s">
        <v>367</v>
      </c>
      <c r="C696" s="2" t="n">
        <v>15</v>
      </c>
      <c r="D696" s="2" t="s">
        <v>76</v>
      </c>
      <c r="E696" s="2" t="s">
        <v>2133</v>
      </c>
      <c r="F696" s="2" t="n">
        <v>14</v>
      </c>
      <c r="G696" s="2" t="n">
        <v>16</v>
      </c>
      <c r="H696" s="2" t="s">
        <v>1689</v>
      </c>
      <c r="I696" s="2" t="n">
        <v>11</v>
      </c>
    </row>
    <row r="697" customFormat="false" ht="15" hidden="false" customHeight="false" outlineLevel="0" collapsed="false">
      <c r="A697" s="2" t="s">
        <v>850</v>
      </c>
      <c r="B697" s="2" t="s">
        <v>375</v>
      </c>
      <c r="C697" s="2" t="n">
        <v>0.045</v>
      </c>
      <c r="D697" s="2" t="s">
        <v>1687</v>
      </c>
      <c r="E697" s="2" t="s">
        <v>2295</v>
      </c>
      <c r="F697" s="2"/>
      <c r="G697" s="2" t="n">
        <v>1.04545454545455</v>
      </c>
      <c r="H697" s="2" t="s">
        <v>1689</v>
      </c>
      <c r="I697" s="2" t="n">
        <v>12</v>
      </c>
    </row>
    <row r="698" customFormat="false" ht="15" hidden="false" customHeight="false" outlineLevel="0" collapsed="false">
      <c r="A698" s="2" t="s">
        <v>850</v>
      </c>
      <c r="B698" s="2" t="s">
        <v>271</v>
      </c>
      <c r="C698" s="2" t="n">
        <v>2</v>
      </c>
      <c r="D698" s="2" t="s">
        <v>54</v>
      </c>
      <c r="E698" s="2" t="s">
        <v>2103</v>
      </c>
      <c r="F698" s="2" t="n">
        <v>1</v>
      </c>
      <c r="G698" s="2" t="n">
        <v>3</v>
      </c>
      <c r="H698" s="2" t="s">
        <v>1689</v>
      </c>
      <c r="I698" s="2" t="n">
        <v>13</v>
      </c>
    </row>
    <row r="699" customFormat="false" ht="15" hidden="false" customHeight="false" outlineLevel="0" collapsed="false">
      <c r="A699" s="2" t="s">
        <v>850</v>
      </c>
      <c r="B699" s="2" t="s">
        <v>271</v>
      </c>
      <c r="C699" s="2" t="n">
        <v>2</v>
      </c>
      <c r="D699" s="2" t="s">
        <v>54</v>
      </c>
      <c r="E699" s="2" t="s">
        <v>2296</v>
      </c>
      <c r="F699" s="2" t="n">
        <v>1</v>
      </c>
      <c r="G699" s="2" t="n">
        <v>3</v>
      </c>
      <c r="H699" s="2" t="s">
        <v>1689</v>
      </c>
      <c r="I699" s="2" t="n">
        <v>14</v>
      </c>
    </row>
    <row r="700" customFormat="false" ht="15" hidden="false" customHeight="false" outlineLevel="0" collapsed="false">
      <c r="A700" s="2" t="s">
        <v>850</v>
      </c>
      <c r="B700" s="2" t="s">
        <v>271</v>
      </c>
      <c r="C700" s="2" t="n">
        <v>2</v>
      </c>
      <c r="D700" s="2" t="s">
        <v>54</v>
      </c>
      <c r="E700" s="2" t="s">
        <v>2104</v>
      </c>
      <c r="F700" s="2" t="n">
        <v>1</v>
      </c>
      <c r="G700" s="2" t="n">
        <v>3</v>
      </c>
      <c r="H700" s="2" t="s">
        <v>1689</v>
      </c>
      <c r="I700" s="2" t="n">
        <v>15</v>
      </c>
    </row>
    <row r="701" customFormat="false" ht="15" hidden="false" customHeight="false" outlineLevel="0" collapsed="false">
      <c r="A701" s="2" t="s">
        <v>850</v>
      </c>
      <c r="B701" s="2" t="s">
        <v>312</v>
      </c>
      <c r="C701" s="2" t="n">
        <v>1</v>
      </c>
      <c r="D701" s="2" t="s">
        <v>1687</v>
      </c>
      <c r="E701" s="2" t="s">
        <v>2142</v>
      </c>
      <c r="F701" s="2"/>
      <c r="G701" s="2" t="n">
        <v>2</v>
      </c>
      <c r="H701" s="2" t="s">
        <v>1689</v>
      </c>
      <c r="I701" s="2" t="n">
        <v>16</v>
      </c>
    </row>
    <row r="702" customFormat="false" ht="15" hidden="false" customHeight="false" outlineLevel="0" collapsed="false">
      <c r="A702" s="2" t="s">
        <v>850</v>
      </c>
      <c r="B702" s="2" t="s">
        <v>480</v>
      </c>
      <c r="C702" s="2" t="n">
        <v>1</v>
      </c>
      <c r="D702" s="2" t="s">
        <v>54</v>
      </c>
      <c r="E702" s="2" t="s">
        <v>2172</v>
      </c>
      <c r="F702" s="2" t="n">
        <v>0.5</v>
      </c>
      <c r="G702" s="2" t="n">
        <v>1.5</v>
      </c>
      <c r="H702" s="2" t="s">
        <v>1689</v>
      </c>
      <c r="I702" s="2" t="n">
        <v>17</v>
      </c>
    </row>
    <row r="703" customFormat="false" ht="15" hidden="false" customHeight="false" outlineLevel="0" collapsed="false">
      <c r="A703" s="2" t="s">
        <v>853</v>
      </c>
      <c r="B703" s="2" t="s">
        <v>355</v>
      </c>
      <c r="C703" s="2" t="n">
        <v>170</v>
      </c>
      <c r="D703" s="2" t="s">
        <v>54</v>
      </c>
      <c r="E703" s="2" t="s">
        <v>2297</v>
      </c>
      <c r="F703" s="2" t="n">
        <v>85</v>
      </c>
      <c r="G703" s="2" t="n">
        <v>255</v>
      </c>
      <c r="H703" s="2" t="s">
        <v>1693</v>
      </c>
      <c r="I703" s="2" t="n">
        <v>1</v>
      </c>
    </row>
    <row r="704" customFormat="false" ht="15" hidden="false" customHeight="false" outlineLevel="0" collapsed="false">
      <c r="A704" s="2" t="s">
        <v>853</v>
      </c>
      <c r="B704" s="2" t="s">
        <v>249</v>
      </c>
      <c r="C704" s="2" t="n">
        <v>3</v>
      </c>
      <c r="D704" s="2" t="s">
        <v>54</v>
      </c>
      <c r="E704" s="2" t="s">
        <v>2272</v>
      </c>
      <c r="F704" s="2" t="n">
        <v>1.5</v>
      </c>
      <c r="G704" s="2" t="n">
        <v>4.5</v>
      </c>
      <c r="H704" s="2" t="s">
        <v>1689</v>
      </c>
      <c r="I704" s="2" t="n">
        <v>2</v>
      </c>
    </row>
    <row r="705" customFormat="false" ht="15" hidden="false" customHeight="false" outlineLevel="0" collapsed="false">
      <c r="A705" s="2" t="s">
        <v>853</v>
      </c>
      <c r="B705" s="2" t="s">
        <v>480</v>
      </c>
      <c r="C705" s="2" t="n">
        <v>1</v>
      </c>
      <c r="D705" s="2" t="s">
        <v>54</v>
      </c>
      <c r="E705" s="2" t="s">
        <v>2172</v>
      </c>
      <c r="F705" s="2" t="n">
        <v>0.5</v>
      </c>
      <c r="G705" s="2" t="n">
        <v>1.5</v>
      </c>
      <c r="H705" s="2" t="s">
        <v>1689</v>
      </c>
      <c r="I705" s="2" t="n">
        <v>3</v>
      </c>
    </row>
    <row r="706" customFormat="false" ht="15" hidden="false" customHeight="false" outlineLevel="0" collapsed="false">
      <c r="A706" s="2" t="s">
        <v>853</v>
      </c>
      <c r="B706" s="2" t="s">
        <v>388</v>
      </c>
      <c r="C706" s="2" t="n">
        <v>120</v>
      </c>
      <c r="D706" s="2" t="s">
        <v>54</v>
      </c>
      <c r="E706" s="2" t="s">
        <v>2298</v>
      </c>
      <c r="F706" s="2" t="n">
        <v>60</v>
      </c>
      <c r="G706" s="2" t="n">
        <v>180</v>
      </c>
      <c r="H706" s="2" t="s">
        <v>1689</v>
      </c>
      <c r="I706" s="2" t="n">
        <v>4</v>
      </c>
    </row>
    <row r="707" customFormat="false" ht="15" hidden="false" customHeight="false" outlineLevel="0" collapsed="false">
      <c r="A707" s="2" t="s">
        <v>853</v>
      </c>
      <c r="B707" s="2" t="s">
        <v>486</v>
      </c>
      <c r="C707" s="2" t="n">
        <v>7</v>
      </c>
      <c r="D707" s="2" t="s">
        <v>54</v>
      </c>
      <c r="E707" s="2" t="s">
        <v>2299</v>
      </c>
      <c r="F707" s="2" t="n">
        <v>3.5</v>
      </c>
      <c r="G707" s="2" t="n">
        <v>10.5</v>
      </c>
      <c r="H707" s="2" t="s">
        <v>1700</v>
      </c>
      <c r="I707" s="2" t="n">
        <v>5</v>
      </c>
    </row>
    <row r="708" customFormat="false" ht="15" hidden="false" customHeight="false" outlineLevel="0" collapsed="false">
      <c r="A708" s="2" t="s">
        <v>853</v>
      </c>
      <c r="B708" s="2" t="s">
        <v>496</v>
      </c>
      <c r="C708" s="2" t="n">
        <v>32</v>
      </c>
      <c r="D708" s="2" t="s">
        <v>76</v>
      </c>
      <c r="E708" s="2" t="s">
        <v>2300</v>
      </c>
      <c r="F708" s="2" t="n">
        <v>16</v>
      </c>
      <c r="G708" s="2" t="n">
        <v>48</v>
      </c>
      <c r="H708" s="2" t="s">
        <v>1693</v>
      </c>
      <c r="I708" s="2" t="n">
        <v>6</v>
      </c>
    </row>
    <row r="709" customFormat="false" ht="15" hidden="false" customHeight="false" outlineLevel="0" collapsed="false">
      <c r="A709" s="2" t="s">
        <v>853</v>
      </c>
      <c r="B709" s="2" t="s">
        <v>415</v>
      </c>
      <c r="C709" s="2" t="n">
        <v>24</v>
      </c>
      <c r="D709" s="2" t="s">
        <v>54</v>
      </c>
      <c r="E709" s="2" t="s">
        <v>2301</v>
      </c>
      <c r="F709" s="2" t="n">
        <v>12</v>
      </c>
      <c r="G709" s="2" t="n">
        <v>36</v>
      </c>
      <c r="H709" s="2" t="s">
        <v>1689</v>
      </c>
      <c r="I709" s="2" t="n">
        <v>7</v>
      </c>
    </row>
    <row r="710" customFormat="false" ht="15" hidden="false" customHeight="false" outlineLevel="0" collapsed="false">
      <c r="A710" s="2" t="s">
        <v>853</v>
      </c>
      <c r="B710" s="2" t="s">
        <v>466</v>
      </c>
      <c r="C710" s="2" t="n">
        <v>15</v>
      </c>
      <c r="D710" s="2" t="s">
        <v>76</v>
      </c>
      <c r="E710" s="2" t="s">
        <v>2302</v>
      </c>
      <c r="F710" s="2" t="n">
        <v>7.5</v>
      </c>
      <c r="G710" s="2" t="n">
        <v>22.5</v>
      </c>
      <c r="H710" s="2" t="s">
        <v>1689</v>
      </c>
      <c r="I710" s="2" t="n">
        <v>8</v>
      </c>
    </row>
    <row r="711" customFormat="false" ht="15" hidden="false" customHeight="false" outlineLevel="0" collapsed="false">
      <c r="A711" s="2" t="s">
        <v>853</v>
      </c>
      <c r="B711" s="2" t="s">
        <v>197</v>
      </c>
      <c r="C711" s="2" t="n">
        <v>10</v>
      </c>
      <c r="D711" s="2" t="s">
        <v>54</v>
      </c>
      <c r="E711" s="2" t="s">
        <v>2303</v>
      </c>
      <c r="F711" s="2" t="n">
        <v>5</v>
      </c>
      <c r="G711" s="2" t="n">
        <v>15</v>
      </c>
      <c r="H711" s="2" t="s">
        <v>1689</v>
      </c>
      <c r="I711" s="2" t="n">
        <v>9</v>
      </c>
    </row>
    <row r="712" customFormat="false" ht="15" hidden="false" customHeight="false" outlineLevel="0" collapsed="false">
      <c r="A712" s="2" t="s">
        <v>853</v>
      </c>
      <c r="B712" s="2" t="s">
        <v>299</v>
      </c>
      <c r="C712" s="2" t="n">
        <v>3</v>
      </c>
      <c r="D712" s="2" t="s">
        <v>54</v>
      </c>
      <c r="E712" s="2" t="s">
        <v>2304</v>
      </c>
      <c r="F712" s="2" t="n">
        <v>2</v>
      </c>
      <c r="G712" s="2" t="n">
        <v>4</v>
      </c>
      <c r="H712" s="2" t="s">
        <v>1689</v>
      </c>
      <c r="I712" s="2" t="n">
        <v>10</v>
      </c>
    </row>
    <row r="713" customFormat="false" ht="15" hidden="false" customHeight="false" outlineLevel="0" collapsed="false">
      <c r="A713" s="2" t="s">
        <v>853</v>
      </c>
      <c r="B713" s="2" t="s">
        <v>312</v>
      </c>
      <c r="C713" s="2" t="n">
        <v>2</v>
      </c>
      <c r="D713" s="2" t="s">
        <v>1687</v>
      </c>
      <c r="E713" s="2" t="s">
        <v>2152</v>
      </c>
      <c r="F713" s="2" t="n">
        <v>1</v>
      </c>
      <c r="G713" s="2" t="n">
        <v>3</v>
      </c>
      <c r="H713" s="2" t="s">
        <v>1689</v>
      </c>
      <c r="I713" s="2" t="n">
        <v>11</v>
      </c>
    </row>
    <row r="714" customFormat="false" ht="15" hidden="false" customHeight="false" outlineLevel="0" collapsed="false">
      <c r="A714" s="2" t="s">
        <v>853</v>
      </c>
      <c r="B714" s="2" t="s">
        <v>195</v>
      </c>
      <c r="C714" s="2" t="n">
        <v>200</v>
      </c>
      <c r="D714" s="2" t="s">
        <v>54</v>
      </c>
      <c r="E714" s="2" t="s">
        <v>2305</v>
      </c>
      <c r="F714" s="2" t="n">
        <v>100</v>
      </c>
      <c r="G714" s="2" t="n">
        <v>300</v>
      </c>
      <c r="H714" s="2" t="s">
        <v>1693</v>
      </c>
      <c r="I714" s="2" t="n">
        <v>12</v>
      </c>
    </row>
    <row r="715" customFormat="false" ht="15" hidden="false" customHeight="false" outlineLevel="0" collapsed="false">
      <c r="A715" s="2" t="s">
        <v>853</v>
      </c>
      <c r="B715" s="2" t="s">
        <v>454</v>
      </c>
      <c r="C715" s="2" t="n">
        <v>50</v>
      </c>
      <c r="D715" s="2" t="s">
        <v>54</v>
      </c>
      <c r="E715" s="2" t="s">
        <v>2282</v>
      </c>
      <c r="F715" s="2" t="n">
        <v>25</v>
      </c>
      <c r="G715" s="2" t="n">
        <v>75</v>
      </c>
      <c r="H715" s="2" t="s">
        <v>1689</v>
      </c>
      <c r="I715" s="2" t="n">
        <v>13</v>
      </c>
    </row>
    <row r="716" customFormat="false" ht="15" hidden="false" customHeight="false" outlineLevel="0" collapsed="false">
      <c r="A716" s="2" t="s">
        <v>853</v>
      </c>
      <c r="B716" s="2" t="s">
        <v>500</v>
      </c>
      <c r="C716" s="2" t="n">
        <v>2</v>
      </c>
      <c r="D716" s="2" t="s">
        <v>1687</v>
      </c>
      <c r="E716" s="2" t="s">
        <v>2306</v>
      </c>
      <c r="F716" s="2" t="n">
        <v>1</v>
      </c>
      <c r="G716" s="2" t="n">
        <v>3</v>
      </c>
      <c r="H716" s="2" t="s">
        <v>1689</v>
      </c>
      <c r="I716" s="2" t="n">
        <v>14</v>
      </c>
    </row>
    <row r="717" customFormat="false" ht="15" hidden="false" customHeight="false" outlineLevel="0" collapsed="false">
      <c r="A717" s="2" t="s">
        <v>853</v>
      </c>
      <c r="B717" s="2" t="s">
        <v>488</v>
      </c>
      <c r="C717" s="2" t="n">
        <v>6</v>
      </c>
      <c r="D717" s="2" t="s">
        <v>54</v>
      </c>
      <c r="E717" s="2" t="s">
        <v>2307</v>
      </c>
      <c r="F717" s="2" t="n">
        <v>3</v>
      </c>
      <c r="G717" s="2" t="n">
        <v>9</v>
      </c>
      <c r="H717" s="2" t="s">
        <v>1700</v>
      </c>
      <c r="I717" s="2" t="n">
        <v>15</v>
      </c>
    </row>
    <row r="718" customFormat="false" ht="15" hidden="false" customHeight="false" outlineLevel="0" collapsed="false">
      <c r="A718" s="2" t="s">
        <v>853</v>
      </c>
      <c r="B718" s="2" t="s">
        <v>301</v>
      </c>
      <c r="C718" s="2" t="n">
        <v>10</v>
      </c>
      <c r="D718" s="2" t="s">
        <v>54</v>
      </c>
      <c r="E718" s="2" t="s">
        <v>2144</v>
      </c>
      <c r="F718" s="2" t="n">
        <v>5</v>
      </c>
      <c r="G718" s="2" t="n">
        <v>15</v>
      </c>
      <c r="H718" s="2" t="s">
        <v>1689</v>
      </c>
      <c r="I718" s="2" t="n">
        <v>16</v>
      </c>
    </row>
    <row r="719" customFormat="false" ht="15" hidden="false" customHeight="false" outlineLevel="0" collapsed="false">
      <c r="A719" s="2" t="s">
        <v>856</v>
      </c>
      <c r="B719" s="2" t="s">
        <v>221</v>
      </c>
      <c r="C719" s="2" t="n">
        <v>140</v>
      </c>
      <c r="D719" s="2" t="s">
        <v>54</v>
      </c>
      <c r="E719" s="2" t="s">
        <v>2308</v>
      </c>
      <c r="F719" s="2" t="n">
        <v>70</v>
      </c>
      <c r="G719" s="2" t="n">
        <v>210</v>
      </c>
      <c r="H719" s="2" t="s">
        <v>1693</v>
      </c>
      <c r="I719" s="2" t="n">
        <v>1</v>
      </c>
    </row>
    <row r="720" customFormat="false" ht="15" hidden="false" customHeight="false" outlineLevel="0" collapsed="false">
      <c r="A720" s="2" t="s">
        <v>856</v>
      </c>
      <c r="B720" s="2" t="s">
        <v>177</v>
      </c>
      <c r="C720" s="2" t="n">
        <v>80</v>
      </c>
      <c r="D720" s="2" t="s">
        <v>54</v>
      </c>
      <c r="E720" s="2" t="s">
        <v>2309</v>
      </c>
      <c r="F720" s="2" t="n">
        <v>40</v>
      </c>
      <c r="G720" s="2" t="n">
        <v>120</v>
      </c>
      <c r="H720" s="2" t="s">
        <v>1689</v>
      </c>
      <c r="I720" s="2" t="n">
        <v>2</v>
      </c>
    </row>
    <row r="721" customFormat="false" ht="15" hidden="false" customHeight="false" outlineLevel="0" collapsed="false">
      <c r="A721" s="2" t="s">
        <v>856</v>
      </c>
      <c r="B721" s="2" t="s">
        <v>170</v>
      </c>
      <c r="C721" s="2" t="n">
        <v>16</v>
      </c>
      <c r="D721" s="2" t="s">
        <v>76</v>
      </c>
      <c r="E721" s="2" t="s">
        <v>2310</v>
      </c>
      <c r="F721" s="2" t="n">
        <v>8</v>
      </c>
      <c r="G721" s="2" t="n">
        <v>24</v>
      </c>
      <c r="H721" s="2" t="s">
        <v>1689</v>
      </c>
      <c r="I721" s="2" t="n">
        <v>3</v>
      </c>
    </row>
    <row r="722" customFormat="false" ht="15" hidden="false" customHeight="false" outlineLevel="0" collapsed="false">
      <c r="A722" s="2" t="s">
        <v>856</v>
      </c>
      <c r="B722" s="2" t="s">
        <v>129</v>
      </c>
      <c r="C722" s="2" t="n">
        <v>9</v>
      </c>
      <c r="D722" s="2" t="s">
        <v>54</v>
      </c>
      <c r="E722" s="2" t="s">
        <v>2099</v>
      </c>
      <c r="F722" s="2" t="n">
        <v>4.5</v>
      </c>
      <c r="G722" s="2" t="n">
        <v>13.5</v>
      </c>
      <c r="H722" s="2" t="s">
        <v>1700</v>
      </c>
      <c r="I722" s="2" t="n">
        <v>4</v>
      </c>
    </row>
    <row r="723" customFormat="false" ht="15" hidden="false" customHeight="false" outlineLevel="0" collapsed="false">
      <c r="A723" s="2" t="s">
        <v>856</v>
      </c>
      <c r="B723" s="2" t="s">
        <v>496</v>
      </c>
      <c r="C723" s="2" t="n">
        <v>16</v>
      </c>
      <c r="D723" s="2" t="s">
        <v>76</v>
      </c>
      <c r="E723" s="2" t="s">
        <v>2311</v>
      </c>
      <c r="F723" s="2" t="n">
        <v>8</v>
      </c>
      <c r="G723" s="2" t="n">
        <v>24</v>
      </c>
      <c r="H723" s="2" t="s">
        <v>1693</v>
      </c>
      <c r="I723" s="2" t="n">
        <v>5</v>
      </c>
    </row>
    <row r="724" customFormat="false" ht="15" hidden="false" customHeight="false" outlineLevel="0" collapsed="false">
      <c r="A724" s="2" t="s">
        <v>856</v>
      </c>
      <c r="B724" s="2" t="s">
        <v>512</v>
      </c>
      <c r="C724" s="2" t="n">
        <v>40</v>
      </c>
      <c r="D724" s="2" t="s">
        <v>54</v>
      </c>
      <c r="E724" s="2" t="s">
        <v>2312</v>
      </c>
      <c r="F724" s="2" t="n">
        <v>20</v>
      </c>
      <c r="G724" s="2" t="n">
        <v>60</v>
      </c>
      <c r="H724" s="2" t="s">
        <v>1689</v>
      </c>
      <c r="I724" s="2" t="n">
        <v>6</v>
      </c>
    </row>
    <row r="725" customFormat="false" ht="15" hidden="false" customHeight="false" outlineLevel="0" collapsed="false">
      <c r="A725" s="2" t="s">
        <v>856</v>
      </c>
      <c r="B725" s="2" t="s">
        <v>456</v>
      </c>
      <c r="C725" s="2" t="n">
        <v>1</v>
      </c>
      <c r="D725" s="2" t="s">
        <v>1687</v>
      </c>
      <c r="E725" s="2" t="s">
        <v>2181</v>
      </c>
      <c r="F725" s="2"/>
      <c r="G725" s="2" t="n">
        <v>2</v>
      </c>
      <c r="H725" s="2" t="s">
        <v>1689</v>
      </c>
      <c r="I725" s="2" t="n">
        <v>7</v>
      </c>
    </row>
    <row r="726" customFormat="false" ht="15" hidden="false" customHeight="false" outlineLevel="0" collapsed="false">
      <c r="A726" s="2" t="s">
        <v>856</v>
      </c>
      <c r="B726" s="2" t="s">
        <v>312</v>
      </c>
      <c r="C726" s="2" t="n">
        <v>2</v>
      </c>
      <c r="D726" s="2" t="s">
        <v>1687</v>
      </c>
      <c r="E726" s="2" t="s">
        <v>2116</v>
      </c>
      <c r="F726" s="2" t="n">
        <v>1</v>
      </c>
      <c r="G726" s="2" t="n">
        <v>3</v>
      </c>
      <c r="H726" s="2" t="s">
        <v>1689</v>
      </c>
      <c r="I726" s="2" t="n">
        <v>8</v>
      </c>
    </row>
    <row r="727" customFormat="false" ht="15" hidden="false" customHeight="false" outlineLevel="0" collapsed="false">
      <c r="A727" s="2" t="s">
        <v>856</v>
      </c>
      <c r="B727" s="2" t="s">
        <v>299</v>
      </c>
      <c r="C727" s="2" t="n">
        <v>1</v>
      </c>
      <c r="D727" s="2" t="s">
        <v>54</v>
      </c>
      <c r="E727" s="2" t="s">
        <v>2276</v>
      </c>
      <c r="F727" s="2"/>
      <c r="G727" s="2" t="n">
        <v>2</v>
      </c>
      <c r="H727" s="2" t="s">
        <v>1689</v>
      </c>
      <c r="I727" s="2" t="n">
        <v>9</v>
      </c>
    </row>
    <row r="728" customFormat="false" ht="15" hidden="false" customHeight="false" outlineLevel="0" collapsed="false">
      <c r="A728" s="2" t="s">
        <v>856</v>
      </c>
      <c r="B728" s="2" t="s">
        <v>418</v>
      </c>
      <c r="C728" s="2" t="n">
        <v>100</v>
      </c>
      <c r="D728" s="2" t="s">
        <v>54</v>
      </c>
      <c r="E728" s="2" t="s">
        <v>2313</v>
      </c>
      <c r="F728" s="2" t="n">
        <v>50</v>
      </c>
      <c r="G728" s="2" t="n">
        <v>150</v>
      </c>
      <c r="H728" s="2" t="s">
        <v>1693</v>
      </c>
      <c r="I728" s="2" t="n">
        <v>10</v>
      </c>
    </row>
    <row r="729" customFormat="false" ht="15" hidden="false" customHeight="false" outlineLevel="0" collapsed="false">
      <c r="A729" s="2" t="s">
        <v>856</v>
      </c>
      <c r="B729" s="2" t="s">
        <v>458</v>
      </c>
      <c r="C729" s="2" t="n">
        <v>75</v>
      </c>
      <c r="D729" s="2" t="s">
        <v>54</v>
      </c>
      <c r="E729" s="2" t="s">
        <v>2314</v>
      </c>
      <c r="F729" s="2" t="n">
        <v>37.5</v>
      </c>
      <c r="G729" s="2" t="n">
        <v>112.5</v>
      </c>
      <c r="H729" s="2" t="s">
        <v>1689</v>
      </c>
      <c r="I729" s="2" t="n">
        <v>11</v>
      </c>
    </row>
    <row r="730" customFormat="false" ht="15" hidden="false" customHeight="false" outlineLevel="0" collapsed="false">
      <c r="A730" s="2" t="s">
        <v>856</v>
      </c>
      <c r="B730" s="2" t="s">
        <v>301</v>
      </c>
      <c r="C730" s="2" t="n">
        <v>10</v>
      </c>
      <c r="D730" s="2" t="s">
        <v>54</v>
      </c>
      <c r="E730" s="2" t="s">
        <v>2315</v>
      </c>
      <c r="F730" s="2" t="n">
        <v>5</v>
      </c>
      <c r="G730" s="2" t="n">
        <v>15</v>
      </c>
      <c r="H730" s="2" t="s">
        <v>1689</v>
      </c>
      <c r="I730" s="2" t="n">
        <v>12</v>
      </c>
    </row>
    <row r="731" customFormat="false" ht="15" hidden="false" customHeight="false" outlineLevel="0" collapsed="false">
      <c r="A731" s="2" t="s">
        <v>856</v>
      </c>
      <c r="B731" s="2" t="s">
        <v>480</v>
      </c>
      <c r="C731" s="2" t="n">
        <v>1</v>
      </c>
      <c r="D731" s="2" t="s">
        <v>54</v>
      </c>
      <c r="E731" s="2" t="s">
        <v>2172</v>
      </c>
      <c r="F731" s="2" t="n">
        <v>0.5</v>
      </c>
      <c r="G731" s="2" t="n">
        <v>1.5</v>
      </c>
      <c r="H731" s="2" t="s">
        <v>1689</v>
      </c>
      <c r="I731" s="2" t="n">
        <v>13</v>
      </c>
    </row>
    <row r="732" customFormat="false" ht="15" hidden="false" customHeight="false" outlineLevel="0" collapsed="false">
      <c r="A732" s="2" t="s">
        <v>859</v>
      </c>
      <c r="B732" s="2" t="s">
        <v>221</v>
      </c>
      <c r="C732" s="2" t="n">
        <v>190</v>
      </c>
      <c r="D732" s="2" t="s">
        <v>54</v>
      </c>
      <c r="E732" s="2" t="s">
        <v>2316</v>
      </c>
      <c r="F732" s="2" t="n">
        <v>95</v>
      </c>
      <c r="G732" s="2" t="n">
        <v>285</v>
      </c>
      <c r="H732" s="2" t="s">
        <v>1693</v>
      </c>
      <c r="I732" s="2" t="n">
        <v>1</v>
      </c>
    </row>
    <row r="733" customFormat="false" ht="15" hidden="false" customHeight="false" outlineLevel="0" collapsed="false">
      <c r="A733" s="2" t="s">
        <v>859</v>
      </c>
      <c r="B733" s="2" t="s">
        <v>177</v>
      </c>
      <c r="C733" s="2" t="n">
        <v>70</v>
      </c>
      <c r="D733" s="2" t="s">
        <v>54</v>
      </c>
      <c r="E733" s="2" t="s">
        <v>2317</v>
      </c>
      <c r="F733" s="2" t="n">
        <v>35</v>
      </c>
      <c r="G733" s="2" t="n">
        <v>105</v>
      </c>
      <c r="H733" s="2" t="s">
        <v>1689</v>
      </c>
      <c r="I733" s="2" t="n">
        <v>2</v>
      </c>
    </row>
    <row r="734" customFormat="false" ht="15" hidden="false" customHeight="false" outlineLevel="0" collapsed="false">
      <c r="A734" s="2" t="s">
        <v>859</v>
      </c>
      <c r="B734" s="2" t="s">
        <v>480</v>
      </c>
      <c r="C734" s="2" t="n">
        <v>1</v>
      </c>
      <c r="D734" s="2" t="s">
        <v>54</v>
      </c>
      <c r="E734" s="2" t="s">
        <v>2172</v>
      </c>
      <c r="F734" s="2" t="n">
        <v>0.5</v>
      </c>
      <c r="G734" s="2" t="n">
        <v>1.5</v>
      </c>
      <c r="H734" s="2" t="s">
        <v>1689</v>
      </c>
      <c r="I734" s="2" t="n">
        <v>3</v>
      </c>
    </row>
    <row r="735" customFormat="false" ht="15" hidden="false" customHeight="false" outlineLevel="0" collapsed="false">
      <c r="A735" s="2" t="s">
        <v>859</v>
      </c>
      <c r="B735" s="2" t="s">
        <v>91</v>
      </c>
      <c r="C735" s="2" t="n">
        <v>21</v>
      </c>
      <c r="D735" s="2" t="s">
        <v>54</v>
      </c>
      <c r="E735" s="2" t="s">
        <v>2318</v>
      </c>
      <c r="F735" s="2" t="n">
        <v>10.5</v>
      </c>
      <c r="G735" s="2" t="n">
        <v>31.5</v>
      </c>
      <c r="H735" s="2" t="s">
        <v>1689</v>
      </c>
      <c r="I735" s="2" t="n">
        <v>4</v>
      </c>
    </row>
    <row r="736" customFormat="false" ht="15" hidden="false" customHeight="false" outlineLevel="0" collapsed="false">
      <c r="A736" s="2" t="s">
        <v>859</v>
      </c>
      <c r="B736" s="2" t="s">
        <v>299</v>
      </c>
      <c r="C736" s="2" t="n">
        <v>3</v>
      </c>
      <c r="D736" s="2" t="s">
        <v>54</v>
      </c>
      <c r="E736" s="2" t="s">
        <v>2304</v>
      </c>
      <c r="F736" s="2" t="n">
        <v>2</v>
      </c>
      <c r="G736" s="2" t="n">
        <v>4</v>
      </c>
      <c r="H736" s="2" t="s">
        <v>1689</v>
      </c>
      <c r="I736" s="2" t="n">
        <v>5</v>
      </c>
    </row>
    <row r="737" customFormat="false" ht="15" hidden="false" customHeight="false" outlineLevel="0" collapsed="false">
      <c r="A737" s="2" t="s">
        <v>859</v>
      </c>
      <c r="B737" s="2" t="s">
        <v>312</v>
      </c>
      <c r="C737" s="2" t="n">
        <v>3</v>
      </c>
      <c r="D737" s="2" t="s">
        <v>1687</v>
      </c>
      <c r="E737" s="2" t="s">
        <v>2319</v>
      </c>
      <c r="F737" s="2" t="n">
        <v>2</v>
      </c>
      <c r="G737" s="2" t="n">
        <v>4</v>
      </c>
      <c r="H737" s="2" t="s">
        <v>1689</v>
      </c>
      <c r="I737" s="2" t="n">
        <v>6</v>
      </c>
    </row>
    <row r="738" customFormat="false" ht="15" hidden="false" customHeight="false" outlineLevel="0" collapsed="false">
      <c r="A738" s="2" t="s">
        <v>859</v>
      </c>
      <c r="B738" s="2" t="s">
        <v>496</v>
      </c>
      <c r="C738" s="2" t="n">
        <v>16</v>
      </c>
      <c r="D738" s="2" t="s">
        <v>76</v>
      </c>
      <c r="E738" s="2" t="s">
        <v>2311</v>
      </c>
      <c r="F738" s="2" t="n">
        <v>8</v>
      </c>
      <c r="G738" s="2" t="n">
        <v>24</v>
      </c>
      <c r="H738" s="2" t="s">
        <v>1693</v>
      </c>
      <c r="I738" s="2" t="n">
        <v>7</v>
      </c>
    </row>
    <row r="739" customFormat="false" ht="15" hidden="false" customHeight="false" outlineLevel="0" collapsed="false">
      <c r="A739" s="2" t="s">
        <v>859</v>
      </c>
      <c r="B739" s="2" t="s">
        <v>367</v>
      </c>
      <c r="C739" s="2" t="n">
        <v>10</v>
      </c>
      <c r="D739" s="2" t="s">
        <v>76</v>
      </c>
      <c r="E739" s="2" t="s">
        <v>2320</v>
      </c>
      <c r="F739" s="2" t="n">
        <v>9</v>
      </c>
      <c r="G739" s="2" t="n">
        <v>11</v>
      </c>
      <c r="H739" s="2" t="s">
        <v>1689</v>
      </c>
      <c r="I739" s="2" t="n">
        <v>8</v>
      </c>
    </row>
    <row r="740" customFormat="false" ht="15" hidden="false" customHeight="false" outlineLevel="0" collapsed="false">
      <c r="A740" s="2" t="s">
        <v>859</v>
      </c>
      <c r="B740" s="2" t="s">
        <v>526</v>
      </c>
      <c r="C740" s="2" t="n">
        <v>5</v>
      </c>
      <c r="D740" s="2" t="s">
        <v>54</v>
      </c>
      <c r="E740" s="2" t="s">
        <v>2265</v>
      </c>
      <c r="F740" s="2" t="n">
        <v>2.5</v>
      </c>
      <c r="G740" s="2" t="n">
        <v>7.5</v>
      </c>
      <c r="H740" s="2" t="s">
        <v>1689</v>
      </c>
      <c r="I740" s="2" t="n">
        <v>9</v>
      </c>
    </row>
    <row r="741" customFormat="false" ht="15" hidden="false" customHeight="false" outlineLevel="0" collapsed="false">
      <c r="A741" s="2" t="s">
        <v>859</v>
      </c>
      <c r="B741" s="2" t="s">
        <v>271</v>
      </c>
      <c r="C741" s="2" t="n">
        <v>1</v>
      </c>
      <c r="D741" s="2" t="s">
        <v>54</v>
      </c>
      <c r="E741" s="2" t="s">
        <v>2321</v>
      </c>
      <c r="F741" s="2" t="n">
        <v>0.5</v>
      </c>
      <c r="G741" s="2" t="n">
        <v>1.5</v>
      </c>
      <c r="H741" s="2" t="s">
        <v>1689</v>
      </c>
      <c r="I741" s="2" t="n">
        <v>10</v>
      </c>
    </row>
    <row r="742" customFormat="false" ht="15" hidden="false" customHeight="false" outlineLevel="0" collapsed="false">
      <c r="A742" s="2" t="s">
        <v>859</v>
      </c>
      <c r="B742" s="2" t="s">
        <v>271</v>
      </c>
      <c r="C742" s="2" t="n">
        <v>1</v>
      </c>
      <c r="D742" s="2" t="s">
        <v>54</v>
      </c>
      <c r="E742" s="2" t="s">
        <v>2322</v>
      </c>
      <c r="F742" s="2" t="n">
        <v>0.5</v>
      </c>
      <c r="G742" s="2" t="n">
        <v>1.5</v>
      </c>
      <c r="H742" s="2" t="s">
        <v>1689</v>
      </c>
      <c r="I742" s="2" t="n">
        <v>11</v>
      </c>
    </row>
    <row r="743" customFormat="false" ht="15" hidden="false" customHeight="false" outlineLevel="0" collapsed="false">
      <c r="A743" s="2" t="s">
        <v>859</v>
      </c>
      <c r="B743" s="2" t="s">
        <v>271</v>
      </c>
      <c r="C743" s="2" t="n">
        <v>1</v>
      </c>
      <c r="D743" s="2" t="s">
        <v>54</v>
      </c>
      <c r="E743" s="2" t="s">
        <v>2323</v>
      </c>
      <c r="F743" s="2" t="n">
        <v>0.5</v>
      </c>
      <c r="G743" s="2" t="n">
        <v>1.5</v>
      </c>
      <c r="H743" s="2" t="s">
        <v>1689</v>
      </c>
      <c r="I743" s="2" t="n">
        <v>12</v>
      </c>
    </row>
    <row r="744" customFormat="false" ht="15" hidden="false" customHeight="false" outlineLevel="0" collapsed="false">
      <c r="A744" s="2" t="s">
        <v>859</v>
      </c>
      <c r="B744" s="2" t="s">
        <v>249</v>
      </c>
      <c r="C744" s="2" t="n">
        <v>1</v>
      </c>
      <c r="D744" s="2" t="s">
        <v>54</v>
      </c>
      <c r="E744" s="2" t="s">
        <v>2324</v>
      </c>
      <c r="F744" s="2" t="n">
        <v>0.5</v>
      </c>
      <c r="G744" s="2" t="n">
        <v>1.5</v>
      </c>
      <c r="H744" s="2" t="s">
        <v>1689</v>
      </c>
      <c r="I744" s="2" t="n">
        <v>13</v>
      </c>
    </row>
    <row r="745" customFormat="false" ht="15" hidden="false" customHeight="false" outlineLevel="0" collapsed="false">
      <c r="A745" s="2" t="s">
        <v>859</v>
      </c>
      <c r="B745" s="2" t="s">
        <v>129</v>
      </c>
      <c r="C745" s="2" t="n">
        <v>4</v>
      </c>
      <c r="D745" s="2" t="s">
        <v>54</v>
      </c>
      <c r="E745" s="2" t="s">
        <v>2325</v>
      </c>
      <c r="F745" s="2" t="n">
        <v>2</v>
      </c>
      <c r="G745" s="2" t="n">
        <v>6</v>
      </c>
      <c r="H745" s="2" t="s">
        <v>1700</v>
      </c>
      <c r="I745" s="2" t="n">
        <v>14</v>
      </c>
    </row>
    <row r="746" customFormat="false" ht="15" hidden="false" customHeight="false" outlineLevel="0" collapsed="false">
      <c r="A746" s="2" t="s">
        <v>859</v>
      </c>
      <c r="B746" s="2" t="s">
        <v>454</v>
      </c>
      <c r="C746" s="2" t="n">
        <v>50</v>
      </c>
      <c r="D746" s="2" t="s">
        <v>54</v>
      </c>
      <c r="E746" s="2" t="s">
        <v>2282</v>
      </c>
      <c r="F746" s="2" t="n">
        <v>25</v>
      </c>
      <c r="G746" s="2" t="n">
        <v>75</v>
      </c>
      <c r="H746" s="2" t="s">
        <v>1689</v>
      </c>
      <c r="I746" s="2" t="n">
        <v>15</v>
      </c>
    </row>
    <row r="747" customFormat="false" ht="15" hidden="false" customHeight="false" outlineLevel="0" collapsed="false">
      <c r="A747" s="2" t="s">
        <v>859</v>
      </c>
      <c r="B747" s="2" t="s">
        <v>195</v>
      </c>
      <c r="C747" s="2" t="n">
        <v>100</v>
      </c>
      <c r="D747" s="2" t="s">
        <v>54</v>
      </c>
      <c r="E747" s="2" t="s">
        <v>2326</v>
      </c>
      <c r="F747" s="2" t="n">
        <v>50</v>
      </c>
      <c r="G747" s="2" t="n">
        <v>150</v>
      </c>
      <c r="H747" s="2" t="s">
        <v>1693</v>
      </c>
      <c r="I747" s="2" t="n">
        <v>16</v>
      </c>
    </row>
    <row r="748" customFormat="false" ht="15" hidden="false" customHeight="false" outlineLevel="0" collapsed="false">
      <c r="A748" s="2" t="s">
        <v>859</v>
      </c>
      <c r="B748" s="2" t="s">
        <v>301</v>
      </c>
      <c r="C748" s="2" t="n">
        <v>3</v>
      </c>
      <c r="D748" s="2" t="s">
        <v>54</v>
      </c>
      <c r="E748" s="2" t="s">
        <v>2327</v>
      </c>
      <c r="F748" s="2" t="n">
        <v>1.5</v>
      </c>
      <c r="G748" s="2" t="n">
        <v>4.5</v>
      </c>
      <c r="H748" s="2" t="s">
        <v>1689</v>
      </c>
      <c r="I748" s="2" t="n">
        <v>17</v>
      </c>
    </row>
    <row r="749" customFormat="false" ht="15" hidden="false" customHeight="false" outlineLevel="0" collapsed="false">
      <c r="A749" s="2" t="s">
        <v>859</v>
      </c>
      <c r="B749" s="2" t="s">
        <v>488</v>
      </c>
      <c r="C749" s="2" t="n">
        <v>3</v>
      </c>
      <c r="D749" s="2" t="s">
        <v>54</v>
      </c>
      <c r="E749" s="2" t="s">
        <v>2328</v>
      </c>
      <c r="F749" s="2" t="n">
        <v>1.5</v>
      </c>
      <c r="G749" s="2" t="n">
        <v>4.5</v>
      </c>
      <c r="H749" s="2" t="s">
        <v>1700</v>
      </c>
      <c r="I749" s="2" t="n">
        <v>18</v>
      </c>
    </row>
    <row r="750" customFormat="false" ht="15" hidden="false" customHeight="false" outlineLevel="0" collapsed="false">
      <c r="A750" s="2" t="s">
        <v>862</v>
      </c>
      <c r="B750" s="2" t="s">
        <v>223</v>
      </c>
      <c r="C750" s="2" t="n">
        <v>210</v>
      </c>
      <c r="D750" s="2" t="s">
        <v>54</v>
      </c>
      <c r="E750" s="2" t="s">
        <v>2329</v>
      </c>
      <c r="F750" s="2" t="n">
        <v>105</v>
      </c>
      <c r="G750" s="2" t="n">
        <v>315</v>
      </c>
      <c r="H750" s="2" t="s">
        <v>1693</v>
      </c>
      <c r="I750" s="2" t="n">
        <v>1</v>
      </c>
    </row>
    <row r="751" customFormat="false" ht="15" hidden="false" customHeight="false" outlineLevel="0" collapsed="false">
      <c r="A751" s="2" t="s">
        <v>862</v>
      </c>
      <c r="B751" s="2" t="s">
        <v>177</v>
      </c>
      <c r="C751" s="2" t="n">
        <v>60</v>
      </c>
      <c r="D751" s="2" t="s">
        <v>54</v>
      </c>
      <c r="E751" s="2" t="s">
        <v>2330</v>
      </c>
      <c r="F751" s="2" t="n">
        <v>30</v>
      </c>
      <c r="G751" s="2" t="n">
        <v>90</v>
      </c>
      <c r="H751" s="2" t="s">
        <v>1689</v>
      </c>
      <c r="I751" s="2" t="n">
        <v>2</v>
      </c>
    </row>
    <row r="752" customFormat="false" ht="15" hidden="false" customHeight="false" outlineLevel="0" collapsed="false">
      <c r="A752" s="2" t="s">
        <v>862</v>
      </c>
      <c r="B752" s="2" t="s">
        <v>308</v>
      </c>
      <c r="C752" s="2" t="n">
        <v>100</v>
      </c>
      <c r="D752" s="2" t="s">
        <v>54</v>
      </c>
      <c r="E752" s="2" t="s">
        <v>2331</v>
      </c>
      <c r="F752" s="2" t="n">
        <v>50</v>
      </c>
      <c r="G752" s="2" t="n">
        <v>150</v>
      </c>
      <c r="H752" s="2" t="s">
        <v>1689</v>
      </c>
      <c r="I752" s="2" t="n">
        <v>3</v>
      </c>
    </row>
    <row r="753" customFormat="false" ht="15" hidden="false" customHeight="false" outlineLevel="0" collapsed="false">
      <c r="A753" s="2" t="s">
        <v>862</v>
      </c>
      <c r="B753" s="2" t="s">
        <v>454</v>
      </c>
      <c r="C753" s="2" t="n">
        <v>75</v>
      </c>
      <c r="D753" s="2" t="s">
        <v>54</v>
      </c>
      <c r="E753" s="2" t="s">
        <v>2190</v>
      </c>
      <c r="F753" s="2" t="n">
        <v>37.5</v>
      </c>
      <c r="G753" s="2" t="n">
        <v>112.5</v>
      </c>
      <c r="H753" s="2" t="s">
        <v>1689</v>
      </c>
      <c r="I753" s="2" t="n">
        <v>4</v>
      </c>
    </row>
    <row r="754" customFormat="false" ht="15" hidden="false" customHeight="false" outlineLevel="0" collapsed="false">
      <c r="A754" s="2" t="s">
        <v>862</v>
      </c>
      <c r="B754" s="2" t="s">
        <v>454</v>
      </c>
      <c r="C754" s="2" t="n">
        <v>37.5</v>
      </c>
      <c r="D754" s="2" t="s">
        <v>54</v>
      </c>
      <c r="E754" s="2" t="s">
        <v>2332</v>
      </c>
      <c r="F754" s="2" t="n">
        <v>18.75</v>
      </c>
      <c r="G754" s="2" t="n">
        <v>56.25</v>
      </c>
      <c r="H754" s="2" t="s">
        <v>1689</v>
      </c>
      <c r="I754" s="2" t="n">
        <v>5</v>
      </c>
    </row>
    <row r="755" customFormat="false" ht="15" hidden="false" customHeight="false" outlineLevel="0" collapsed="false">
      <c r="A755" s="2" t="s">
        <v>862</v>
      </c>
      <c r="B755" s="2" t="s">
        <v>456</v>
      </c>
      <c r="C755" s="2" t="n">
        <v>1</v>
      </c>
      <c r="D755" s="2" t="s">
        <v>1687</v>
      </c>
      <c r="E755" s="2" t="s">
        <v>2181</v>
      </c>
      <c r="F755" s="2"/>
      <c r="G755" s="2" t="n">
        <v>2</v>
      </c>
      <c r="H755" s="2" t="s">
        <v>1689</v>
      </c>
      <c r="I755" s="2" t="n">
        <v>6</v>
      </c>
    </row>
    <row r="756" customFormat="false" ht="15" hidden="false" customHeight="false" outlineLevel="0" collapsed="false">
      <c r="A756" s="2" t="s">
        <v>862</v>
      </c>
      <c r="B756" s="2" t="s">
        <v>312</v>
      </c>
      <c r="C756" s="2" t="n">
        <v>3</v>
      </c>
      <c r="D756" s="2" t="s">
        <v>1687</v>
      </c>
      <c r="E756" s="2" t="s">
        <v>2319</v>
      </c>
      <c r="F756" s="2" t="n">
        <v>2</v>
      </c>
      <c r="G756" s="2" t="n">
        <v>4</v>
      </c>
      <c r="H756" s="2" t="s">
        <v>1689</v>
      </c>
      <c r="I756" s="2" t="n">
        <v>7</v>
      </c>
    </row>
    <row r="757" customFormat="false" ht="15" hidden="false" customHeight="false" outlineLevel="0" collapsed="false">
      <c r="A757" s="2" t="s">
        <v>862</v>
      </c>
      <c r="B757" s="2" t="s">
        <v>271</v>
      </c>
      <c r="C757" s="2" t="n">
        <v>5</v>
      </c>
      <c r="D757" s="2" t="s">
        <v>54</v>
      </c>
      <c r="E757" s="2" t="s">
        <v>2333</v>
      </c>
      <c r="F757" s="2" t="n">
        <v>2.5</v>
      </c>
      <c r="G757" s="2" t="n">
        <v>7.5</v>
      </c>
      <c r="H757" s="2" t="s">
        <v>1689</v>
      </c>
      <c r="I757" s="2" t="n">
        <v>8</v>
      </c>
    </row>
    <row r="758" customFormat="false" ht="15" hidden="false" customHeight="false" outlineLevel="0" collapsed="false">
      <c r="A758" s="2" t="s">
        <v>862</v>
      </c>
      <c r="B758" s="2" t="s">
        <v>271</v>
      </c>
      <c r="C758" s="2" t="n">
        <v>1</v>
      </c>
      <c r="D758" s="2" t="s">
        <v>54</v>
      </c>
      <c r="E758" s="2" t="s">
        <v>2334</v>
      </c>
      <c r="F758" s="2" t="n">
        <v>0.5</v>
      </c>
      <c r="G758" s="2" t="n">
        <v>1.5</v>
      </c>
      <c r="H758" s="2" t="s">
        <v>1689</v>
      </c>
      <c r="I758" s="2" t="n">
        <v>9</v>
      </c>
    </row>
    <row r="759" customFormat="false" ht="15" hidden="false" customHeight="false" outlineLevel="0" collapsed="false">
      <c r="A759" s="2" t="s">
        <v>862</v>
      </c>
      <c r="B759" s="2" t="s">
        <v>271</v>
      </c>
      <c r="C759" s="2" t="n">
        <v>2</v>
      </c>
      <c r="D759" s="2" t="s">
        <v>54</v>
      </c>
      <c r="E759" s="2" t="s">
        <v>2103</v>
      </c>
      <c r="F759" s="2" t="n">
        <v>1</v>
      </c>
      <c r="G759" s="2" t="n">
        <v>3</v>
      </c>
      <c r="H759" s="2" t="s">
        <v>1689</v>
      </c>
      <c r="I759" s="2" t="n">
        <v>10</v>
      </c>
    </row>
    <row r="760" customFormat="false" ht="15" hidden="false" customHeight="false" outlineLevel="0" collapsed="false">
      <c r="A760" s="2" t="s">
        <v>862</v>
      </c>
      <c r="B760" s="2" t="s">
        <v>367</v>
      </c>
      <c r="C760" s="2" t="n">
        <v>15</v>
      </c>
      <c r="D760" s="2" t="s">
        <v>76</v>
      </c>
      <c r="E760" s="2" t="s">
        <v>2194</v>
      </c>
      <c r="F760" s="2" t="n">
        <v>14</v>
      </c>
      <c r="G760" s="2" t="n">
        <v>16</v>
      </c>
      <c r="H760" s="2" t="s">
        <v>1689</v>
      </c>
      <c r="I760" s="2" t="n">
        <v>11</v>
      </c>
    </row>
    <row r="761" customFormat="false" ht="15" hidden="false" customHeight="false" outlineLevel="0" collapsed="false">
      <c r="A761" s="2" t="s">
        <v>862</v>
      </c>
      <c r="B761" s="2" t="s">
        <v>91</v>
      </c>
      <c r="C761" s="2" t="n">
        <v>7</v>
      </c>
      <c r="D761" s="2" t="s">
        <v>54</v>
      </c>
      <c r="E761" s="2" t="s">
        <v>2183</v>
      </c>
      <c r="F761" s="2" t="n">
        <v>3.5</v>
      </c>
      <c r="G761" s="2" t="n">
        <v>10.5</v>
      </c>
      <c r="H761" s="2" t="s">
        <v>1689</v>
      </c>
      <c r="I761" s="2" t="n">
        <v>12</v>
      </c>
    </row>
    <row r="762" customFormat="false" ht="15" hidden="false" customHeight="false" outlineLevel="0" collapsed="false">
      <c r="A762" s="2" t="s">
        <v>862</v>
      </c>
      <c r="B762" s="2" t="s">
        <v>129</v>
      </c>
      <c r="C762" s="2" t="n">
        <v>4</v>
      </c>
      <c r="D762" s="2" t="s">
        <v>54</v>
      </c>
      <c r="E762" s="2" t="s">
        <v>2325</v>
      </c>
      <c r="F762" s="2" t="n">
        <v>2</v>
      </c>
      <c r="G762" s="2" t="n">
        <v>6</v>
      </c>
      <c r="H762" s="2" t="s">
        <v>1700</v>
      </c>
      <c r="I762" s="2" t="n">
        <v>13</v>
      </c>
    </row>
    <row r="763" customFormat="false" ht="15" hidden="false" customHeight="false" outlineLevel="0" collapsed="false">
      <c r="A763" s="2" t="s">
        <v>862</v>
      </c>
      <c r="B763" s="2" t="s">
        <v>409</v>
      </c>
      <c r="C763" s="2" t="n">
        <v>30</v>
      </c>
      <c r="D763" s="2" t="s">
        <v>54</v>
      </c>
      <c r="E763" s="2" t="s">
        <v>2335</v>
      </c>
      <c r="F763" s="2" t="n">
        <v>15</v>
      </c>
      <c r="G763" s="2" t="n">
        <v>45</v>
      </c>
      <c r="H763" s="2" t="s">
        <v>1689</v>
      </c>
      <c r="I763" s="2" t="n">
        <v>14</v>
      </c>
    </row>
    <row r="764" customFormat="false" ht="15" hidden="false" customHeight="false" outlineLevel="0" collapsed="false">
      <c r="A764" s="2" t="s">
        <v>862</v>
      </c>
      <c r="B764" s="2" t="s">
        <v>526</v>
      </c>
      <c r="C764" s="2" t="n">
        <v>5</v>
      </c>
      <c r="D764" s="2" t="s">
        <v>54</v>
      </c>
      <c r="E764" s="2" t="s">
        <v>2265</v>
      </c>
      <c r="F764" s="2" t="n">
        <v>2.5</v>
      </c>
      <c r="G764" s="2" t="n">
        <v>7.5</v>
      </c>
      <c r="H764" s="2" t="s">
        <v>1689</v>
      </c>
      <c r="I764" s="2" t="n">
        <v>15</v>
      </c>
    </row>
    <row r="765" customFormat="false" ht="15" hidden="false" customHeight="false" outlineLevel="0" collapsed="false">
      <c r="A765" s="2" t="s">
        <v>862</v>
      </c>
      <c r="B765" s="2" t="s">
        <v>271</v>
      </c>
      <c r="C765" s="2" t="n">
        <v>1</v>
      </c>
      <c r="D765" s="2" t="s">
        <v>54</v>
      </c>
      <c r="E765" s="2" t="s">
        <v>2321</v>
      </c>
      <c r="F765" s="2" t="n">
        <v>0.5</v>
      </c>
      <c r="G765" s="2" t="n">
        <v>1.5</v>
      </c>
      <c r="H765" s="2" t="s">
        <v>1689</v>
      </c>
      <c r="I765" s="2" t="n">
        <v>16</v>
      </c>
    </row>
    <row r="766" customFormat="false" ht="15" hidden="false" customHeight="false" outlineLevel="0" collapsed="false">
      <c r="A766" s="2" t="s">
        <v>862</v>
      </c>
      <c r="B766" s="2" t="s">
        <v>271</v>
      </c>
      <c r="C766" s="2" t="n">
        <v>1</v>
      </c>
      <c r="D766" s="2" t="s">
        <v>54</v>
      </c>
      <c r="E766" s="2" t="s">
        <v>2336</v>
      </c>
      <c r="F766" s="2" t="n">
        <v>0.5</v>
      </c>
      <c r="G766" s="2" t="n">
        <v>1.5</v>
      </c>
      <c r="H766" s="2" t="s">
        <v>1689</v>
      </c>
      <c r="I766" s="2" t="n">
        <v>17</v>
      </c>
    </row>
    <row r="767" customFormat="false" ht="15" hidden="false" customHeight="false" outlineLevel="0" collapsed="false">
      <c r="A767" s="2" t="s">
        <v>862</v>
      </c>
      <c r="B767" s="2" t="s">
        <v>506</v>
      </c>
      <c r="C767" s="2" t="n">
        <v>200</v>
      </c>
      <c r="D767" s="2" t="s">
        <v>76</v>
      </c>
      <c r="E767" s="2" t="s">
        <v>2337</v>
      </c>
      <c r="F767" s="2" t="n">
        <v>100</v>
      </c>
      <c r="G767" s="2" t="n">
        <v>300</v>
      </c>
      <c r="H767" s="2" t="s">
        <v>1693</v>
      </c>
      <c r="I767" s="2" t="n">
        <v>18</v>
      </c>
    </row>
    <row r="768" customFormat="false" ht="15" hidden="false" customHeight="false" outlineLevel="0" collapsed="false">
      <c r="A768" s="2" t="s">
        <v>862</v>
      </c>
      <c r="B768" s="2" t="s">
        <v>480</v>
      </c>
      <c r="C768" s="2" t="n">
        <v>1</v>
      </c>
      <c r="D768" s="2" t="s">
        <v>54</v>
      </c>
      <c r="E768" s="2" t="s">
        <v>2172</v>
      </c>
      <c r="F768" s="2" t="n">
        <v>0.5</v>
      </c>
      <c r="G768" s="2" t="n">
        <v>1.5</v>
      </c>
      <c r="H768" s="2" t="s">
        <v>1689</v>
      </c>
      <c r="I768" s="2" t="n">
        <v>19</v>
      </c>
    </row>
    <row r="769" customFormat="false" ht="15" hidden="false" customHeight="false" outlineLevel="0" collapsed="false">
      <c r="A769" s="2" t="s">
        <v>865</v>
      </c>
      <c r="B769" s="2" t="s">
        <v>221</v>
      </c>
      <c r="C769" s="2" t="n">
        <v>125</v>
      </c>
      <c r="D769" s="2" t="s">
        <v>54</v>
      </c>
      <c r="E769" s="2" t="s">
        <v>2338</v>
      </c>
      <c r="F769" s="2" t="n">
        <v>62.5</v>
      </c>
      <c r="G769" s="2" t="n">
        <v>187.5</v>
      </c>
      <c r="H769" s="2" t="s">
        <v>1693</v>
      </c>
      <c r="I769" s="2" t="n">
        <v>1</v>
      </c>
    </row>
    <row r="770" customFormat="false" ht="15" hidden="false" customHeight="false" outlineLevel="0" collapsed="false">
      <c r="A770" s="2" t="s">
        <v>865</v>
      </c>
      <c r="B770" s="2" t="s">
        <v>304</v>
      </c>
      <c r="C770" s="2" t="n">
        <v>215</v>
      </c>
      <c r="D770" s="2" t="s">
        <v>54</v>
      </c>
      <c r="E770" s="2" t="s">
        <v>2339</v>
      </c>
      <c r="F770" s="2" t="n">
        <v>107.5</v>
      </c>
      <c r="G770" s="2" t="n">
        <v>322.5</v>
      </c>
      <c r="H770" s="2" t="s">
        <v>1689</v>
      </c>
      <c r="I770" s="2" t="n">
        <v>2</v>
      </c>
    </row>
    <row r="771" customFormat="false" ht="15" hidden="false" customHeight="false" outlineLevel="0" collapsed="false">
      <c r="A771" s="2" t="s">
        <v>865</v>
      </c>
      <c r="B771" s="2" t="s">
        <v>129</v>
      </c>
      <c r="C771" s="2" t="n">
        <v>9</v>
      </c>
      <c r="D771" s="2" t="s">
        <v>54</v>
      </c>
      <c r="E771" s="2" t="s">
        <v>2202</v>
      </c>
      <c r="F771" s="2" t="n">
        <v>4.5</v>
      </c>
      <c r="G771" s="2" t="n">
        <v>13.5</v>
      </c>
      <c r="H771" s="2" t="s">
        <v>1700</v>
      </c>
      <c r="I771" s="2" t="n">
        <v>3</v>
      </c>
    </row>
    <row r="772" customFormat="false" ht="15" hidden="false" customHeight="false" outlineLevel="0" collapsed="false">
      <c r="A772" s="2" t="s">
        <v>865</v>
      </c>
      <c r="B772" s="2" t="s">
        <v>367</v>
      </c>
      <c r="C772" s="2" t="n">
        <v>10</v>
      </c>
      <c r="D772" s="2" t="s">
        <v>76</v>
      </c>
      <c r="E772" s="2" t="s">
        <v>2340</v>
      </c>
      <c r="F772" s="2" t="n">
        <v>9</v>
      </c>
      <c r="G772" s="2" t="n">
        <v>11</v>
      </c>
      <c r="H772" s="2" t="s">
        <v>1689</v>
      </c>
      <c r="I772" s="2" t="n">
        <v>4</v>
      </c>
    </row>
    <row r="773" customFormat="false" ht="15" hidden="false" customHeight="false" outlineLevel="0" collapsed="false">
      <c r="A773" s="2" t="s">
        <v>865</v>
      </c>
      <c r="B773" s="2" t="s">
        <v>365</v>
      </c>
      <c r="C773" s="2" t="n">
        <v>0.034</v>
      </c>
      <c r="D773" s="2" t="s">
        <v>1687</v>
      </c>
      <c r="E773" s="2" t="s">
        <v>2341</v>
      </c>
      <c r="F773" s="2"/>
      <c r="G773" s="2" t="n">
        <v>1.03448275862069</v>
      </c>
      <c r="H773" s="2" t="s">
        <v>1689</v>
      </c>
      <c r="I773" s="2" t="n">
        <v>5</v>
      </c>
    </row>
    <row r="774" customFormat="false" ht="15" hidden="false" customHeight="false" outlineLevel="0" collapsed="false">
      <c r="A774" s="2" t="s">
        <v>865</v>
      </c>
      <c r="B774" s="2" t="s">
        <v>271</v>
      </c>
      <c r="C774" s="2" t="n">
        <v>3</v>
      </c>
      <c r="D774" s="2" t="s">
        <v>54</v>
      </c>
      <c r="E774" s="2" t="s">
        <v>2342</v>
      </c>
      <c r="F774" s="2" t="n">
        <v>1.5</v>
      </c>
      <c r="G774" s="2" t="n">
        <v>4.5</v>
      </c>
      <c r="H774" s="2" t="s">
        <v>1689</v>
      </c>
      <c r="I774" s="2" t="n">
        <v>6</v>
      </c>
    </row>
    <row r="775" customFormat="false" ht="15" hidden="false" customHeight="false" outlineLevel="0" collapsed="false">
      <c r="A775" s="2" t="s">
        <v>865</v>
      </c>
      <c r="B775" s="2" t="s">
        <v>271</v>
      </c>
      <c r="C775" s="2" t="n">
        <v>1</v>
      </c>
      <c r="D775" s="2" t="s">
        <v>54</v>
      </c>
      <c r="E775" s="2" t="s">
        <v>2334</v>
      </c>
      <c r="F775" s="2" t="n">
        <v>0.5</v>
      </c>
      <c r="G775" s="2" t="n">
        <v>1.5</v>
      </c>
      <c r="H775" s="2" t="s">
        <v>1689</v>
      </c>
      <c r="I775" s="2" t="n">
        <v>7</v>
      </c>
    </row>
    <row r="776" customFormat="false" ht="15" hidden="false" customHeight="false" outlineLevel="0" collapsed="false">
      <c r="A776" s="2" t="s">
        <v>865</v>
      </c>
      <c r="B776" s="2" t="s">
        <v>480</v>
      </c>
      <c r="C776" s="2" t="n">
        <v>1</v>
      </c>
      <c r="D776" s="2" t="s">
        <v>54</v>
      </c>
      <c r="E776" s="2" t="s">
        <v>2172</v>
      </c>
      <c r="F776" s="2" t="n">
        <v>0.5</v>
      </c>
      <c r="G776" s="2" t="n">
        <v>1.5</v>
      </c>
      <c r="H776" s="2" t="s">
        <v>1689</v>
      </c>
      <c r="I776" s="2" t="n">
        <v>8</v>
      </c>
    </row>
    <row r="777" customFormat="false" ht="15" hidden="false" customHeight="false" outlineLevel="0" collapsed="false">
      <c r="A777" s="2" t="s">
        <v>865</v>
      </c>
      <c r="B777" s="2" t="s">
        <v>312</v>
      </c>
      <c r="C777" s="2" t="n">
        <v>2</v>
      </c>
      <c r="D777" s="2" t="s">
        <v>1687</v>
      </c>
      <c r="E777" s="2" t="s">
        <v>2343</v>
      </c>
      <c r="F777" s="2" t="n">
        <v>1</v>
      </c>
      <c r="G777" s="2" t="n">
        <v>3</v>
      </c>
      <c r="H777" s="2" t="s">
        <v>1689</v>
      </c>
      <c r="I777" s="2" t="n">
        <v>9</v>
      </c>
    </row>
    <row r="778" customFormat="false" ht="15" hidden="false" customHeight="false" outlineLevel="0" collapsed="false">
      <c r="A778" s="2" t="s">
        <v>865</v>
      </c>
      <c r="B778" s="2" t="s">
        <v>454</v>
      </c>
      <c r="C778" s="2" t="n">
        <v>60</v>
      </c>
      <c r="D778" s="2" t="s">
        <v>54</v>
      </c>
      <c r="E778" s="2" t="s">
        <v>2227</v>
      </c>
      <c r="F778" s="2" t="n">
        <v>30</v>
      </c>
      <c r="G778" s="2" t="n">
        <v>90</v>
      </c>
      <c r="H778" s="2" t="s">
        <v>1689</v>
      </c>
      <c r="I778" s="2" t="n">
        <v>10</v>
      </c>
    </row>
    <row r="779" customFormat="false" ht="15" hidden="false" customHeight="false" outlineLevel="0" collapsed="false">
      <c r="A779" s="2" t="s">
        <v>865</v>
      </c>
      <c r="B779" s="2" t="s">
        <v>219</v>
      </c>
      <c r="C779" s="2" t="n">
        <v>80</v>
      </c>
      <c r="D779" s="2" t="s">
        <v>54</v>
      </c>
      <c r="E779" s="2" t="s">
        <v>2344</v>
      </c>
      <c r="F779" s="2" t="n">
        <v>40</v>
      </c>
      <c r="G779" s="2" t="n">
        <v>120</v>
      </c>
      <c r="H779" s="2" t="s">
        <v>1689</v>
      </c>
      <c r="I779" s="2" t="n">
        <v>11</v>
      </c>
    </row>
    <row r="780" customFormat="false" ht="15" hidden="false" customHeight="false" outlineLevel="0" collapsed="false">
      <c r="A780" s="2" t="s">
        <v>865</v>
      </c>
      <c r="B780" s="2" t="s">
        <v>498</v>
      </c>
      <c r="C780" s="2" t="n">
        <v>60</v>
      </c>
      <c r="D780" s="2" t="s">
        <v>54</v>
      </c>
      <c r="E780" s="2" t="s">
        <v>2345</v>
      </c>
      <c r="F780" s="2" t="n">
        <v>30</v>
      </c>
      <c r="G780" s="2" t="n">
        <v>90</v>
      </c>
      <c r="H780" s="2" t="s">
        <v>1693</v>
      </c>
      <c r="I780" s="2" t="n">
        <v>12</v>
      </c>
    </row>
    <row r="781" customFormat="false" ht="15" hidden="false" customHeight="false" outlineLevel="0" collapsed="false">
      <c r="A781" s="2" t="s">
        <v>865</v>
      </c>
      <c r="B781" s="2" t="s">
        <v>367</v>
      </c>
      <c r="C781" s="2" t="n">
        <v>20</v>
      </c>
      <c r="D781" s="2" t="s">
        <v>76</v>
      </c>
      <c r="E781" s="2" t="s">
        <v>2346</v>
      </c>
      <c r="F781" s="2" t="n">
        <v>19</v>
      </c>
      <c r="G781" s="2" t="n">
        <v>21</v>
      </c>
      <c r="H781" s="2" t="s">
        <v>1689</v>
      </c>
      <c r="I781" s="2" t="n">
        <v>13</v>
      </c>
    </row>
    <row r="782" customFormat="false" ht="15" hidden="false" customHeight="false" outlineLevel="0" collapsed="false">
      <c r="A782" s="2" t="s">
        <v>865</v>
      </c>
      <c r="B782" s="2" t="s">
        <v>506</v>
      </c>
      <c r="C782" s="2" t="n">
        <v>15</v>
      </c>
      <c r="D782" s="2" t="s">
        <v>76</v>
      </c>
      <c r="E782" s="2" t="s">
        <v>2347</v>
      </c>
      <c r="F782" s="2" t="n">
        <v>7.5</v>
      </c>
      <c r="G782" s="2" t="n">
        <v>22.5</v>
      </c>
      <c r="H782" s="2" t="s">
        <v>1693</v>
      </c>
      <c r="I782" s="2" t="n">
        <v>14</v>
      </c>
    </row>
    <row r="783" customFormat="false" ht="15" hidden="false" customHeight="false" outlineLevel="0" collapsed="false">
      <c r="A783" s="2" t="s">
        <v>865</v>
      </c>
      <c r="B783" s="2" t="s">
        <v>148</v>
      </c>
      <c r="C783" s="2" t="n">
        <v>40</v>
      </c>
      <c r="D783" s="2" t="s">
        <v>54</v>
      </c>
      <c r="E783" s="2" t="s">
        <v>2348</v>
      </c>
      <c r="F783" s="2" t="n">
        <v>20</v>
      </c>
      <c r="G783" s="2" t="n">
        <v>60</v>
      </c>
      <c r="H783" s="2" t="s">
        <v>1693</v>
      </c>
      <c r="I783" s="2" t="n">
        <v>15</v>
      </c>
    </row>
    <row r="784" customFormat="false" ht="15" hidden="false" customHeight="false" outlineLevel="0" collapsed="false">
      <c r="A784" s="2" t="s">
        <v>865</v>
      </c>
      <c r="B784" s="2" t="s">
        <v>420</v>
      </c>
      <c r="C784" s="2" t="n">
        <v>20</v>
      </c>
      <c r="D784" s="2" t="s">
        <v>54</v>
      </c>
      <c r="E784" s="2" t="s">
        <v>2349</v>
      </c>
      <c r="F784" s="2" t="n">
        <v>10</v>
      </c>
      <c r="G784" s="2" t="n">
        <v>30</v>
      </c>
      <c r="H784" s="2" t="s">
        <v>1693</v>
      </c>
      <c r="I784" s="2" t="n">
        <v>16</v>
      </c>
    </row>
    <row r="785" customFormat="false" ht="15" hidden="false" customHeight="false" outlineLevel="0" collapsed="false">
      <c r="A785" s="2" t="s">
        <v>865</v>
      </c>
      <c r="B785" s="2" t="s">
        <v>301</v>
      </c>
      <c r="C785" s="2" t="n">
        <v>4</v>
      </c>
      <c r="D785" s="2" t="s">
        <v>54</v>
      </c>
      <c r="E785" s="2" t="s">
        <v>2350</v>
      </c>
      <c r="F785" s="2" t="n">
        <v>2</v>
      </c>
      <c r="G785" s="2" t="n">
        <v>6</v>
      </c>
      <c r="H785" s="2" t="s">
        <v>1689</v>
      </c>
      <c r="I785" s="2" t="n">
        <v>17</v>
      </c>
    </row>
    <row r="786" customFormat="false" ht="15" hidden="false" customHeight="false" outlineLevel="0" collapsed="false">
      <c r="A786" s="2" t="s">
        <v>865</v>
      </c>
      <c r="B786" s="2" t="s">
        <v>301</v>
      </c>
      <c r="C786" s="2" t="n">
        <v>3</v>
      </c>
      <c r="D786" s="2" t="s">
        <v>54</v>
      </c>
      <c r="E786" s="2" t="s">
        <v>2351</v>
      </c>
      <c r="F786" s="2" t="n">
        <v>1.5</v>
      </c>
      <c r="G786" s="2" t="n">
        <v>4.5</v>
      </c>
      <c r="H786" s="2" t="s">
        <v>1689</v>
      </c>
      <c r="I786" s="2" t="n">
        <v>18</v>
      </c>
    </row>
    <row r="787" customFormat="false" ht="15" hidden="false" customHeight="false" outlineLevel="0" collapsed="false">
      <c r="A787" s="2" t="s">
        <v>865</v>
      </c>
      <c r="B787" s="2" t="s">
        <v>301</v>
      </c>
      <c r="C787" s="2" t="n">
        <v>5</v>
      </c>
      <c r="D787" s="2" t="s">
        <v>54</v>
      </c>
      <c r="E787" s="2" t="s">
        <v>2352</v>
      </c>
      <c r="F787" s="2" t="n">
        <v>2.5</v>
      </c>
      <c r="G787" s="2" t="n">
        <v>7.5</v>
      </c>
      <c r="H787" s="2" t="s">
        <v>1689</v>
      </c>
      <c r="I787" s="2" t="n">
        <v>19</v>
      </c>
    </row>
    <row r="788" customFormat="false" ht="15" hidden="false" customHeight="false" outlineLevel="0" collapsed="false">
      <c r="A788" s="2" t="s">
        <v>869</v>
      </c>
      <c r="B788" s="2" t="s">
        <v>221</v>
      </c>
      <c r="C788" s="2" t="n">
        <v>190</v>
      </c>
      <c r="D788" s="2" t="s">
        <v>54</v>
      </c>
      <c r="E788" s="2" t="s">
        <v>2353</v>
      </c>
      <c r="F788" s="2" t="n">
        <v>95</v>
      </c>
      <c r="G788" s="2" t="n">
        <v>285</v>
      </c>
      <c r="H788" s="2" t="s">
        <v>1693</v>
      </c>
      <c r="I788" s="2" t="n">
        <v>1</v>
      </c>
    </row>
    <row r="789" customFormat="false" ht="15" hidden="false" customHeight="false" outlineLevel="0" collapsed="false">
      <c r="A789" s="2" t="s">
        <v>869</v>
      </c>
      <c r="B789" s="2" t="s">
        <v>177</v>
      </c>
      <c r="C789" s="2" t="n">
        <v>70</v>
      </c>
      <c r="D789" s="2" t="s">
        <v>54</v>
      </c>
      <c r="E789" s="2" t="s">
        <v>2354</v>
      </c>
      <c r="F789" s="2" t="n">
        <v>35</v>
      </c>
      <c r="G789" s="2" t="n">
        <v>105</v>
      </c>
      <c r="H789" s="2" t="s">
        <v>1689</v>
      </c>
      <c r="I789" s="2" t="n">
        <v>2</v>
      </c>
    </row>
    <row r="790" customFormat="false" ht="15" hidden="false" customHeight="false" outlineLevel="0" collapsed="false">
      <c r="A790" s="2" t="s">
        <v>869</v>
      </c>
      <c r="B790" s="2" t="s">
        <v>369</v>
      </c>
      <c r="C790" s="2" t="n">
        <v>1</v>
      </c>
      <c r="D790" s="2" t="s">
        <v>1687</v>
      </c>
      <c r="E790" s="2" t="s">
        <v>2355</v>
      </c>
      <c r="F790" s="2"/>
      <c r="G790" s="2" t="n">
        <v>2</v>
      </c>
      <c r="H790" s="2" t="s">
        <v>1689</v>
      </c>
      <c r="I790" s="2" t="n">
        <v>3</v>
      </c>
    </row>
    <row r="791" customFormat="false" ht="15" hidden="false" customHeight="false" outlineLevel="0" collapsed="false">
      <c r="A791" s="2" t="s">
        <v>869</v>
      </c>
      <c r="B791" s="2" t="s">
        <v>312</v>
      </c>
      <c r="C791" s="2" t="n">
        <v>2</v>
      </c>
      <c r="D791" s="2" t="s">
        <v>1687</v>
      </c>
      <c r="E791" s="2" t="s">
        <v>2152</v>
      </c>
      <c r="F791" s="2" t="n">
        <v>1</v>
      </c>
      <c r="G791" s="2" t="n">
        <v>3</v>
      </c>
      <c r="H791" s="2" t="s">
        <v>1689</v>
      </c>
      <c r="I791" s="2" t="n">
        <v>4</v>
      </c>
    </row>
    <row r="792" customFormat="false" ht="15" hidden="false" customHeight="false" outlineLevel="0" collapsed="false">
      <c r="A792" s="2" t="s">
        <v>869</v>
      </c>
      <c r="B792" s="2" t="s">
        <v>299</v>
      </c>
      <c r="C792" s="2" t="n">
        <v>1</v>
      </c>
      <c r="D792" s="2" t="s">
        <v>54</v>
      </c>
      <c r="E792" s="2" t="s">
        <v>2276</v>
      </c>
      <c r="F792" s="2"/>
      <c r="G792" s="2" t="n">
        <v>2</v>
      </c>
      <c r="H792" s="2" t="s">
        <v>1689</v>
      </c>
      <c r="I792" s="2" t="n">
        <v>5</v>
      </c>
    </row>
    <row r="793" customFormat="false" ht="15" hidden="false" customHeight="false" outlineLevel="0" collapsed="false">
      <c r="A793" s="2" t="s">
        <v>869</v>
      </c>
      <c r="B793" s="2" t="s">
        <v>496</v>
      </c>
      <c r="C793" s="2" t="n">
        <v>11</v>
      </c>
      <c r="D793" s="2" t="s">
        <v>76</v>
      </c>
      <c r="E793" s="2" t="s">
        <v>2274</v>
      </c>
      <c r="F793" s="2" t="n">
        <v>5.5</v>
      </c>
      <c r="G793" s="2" t="n">
        <v>16.5</v>
      </c>
      <c r="H793" s="2" t="s">
        <v>1693</v>
      </c>
      <c r="I793" s="2" t="n">
        <v>6</v>
      </c>
    </row>
    <row r="794" customFormat="false" ht="15" hidden="false" customHeight="false" outlineLevel="0" collapsed="false">
      <c r="A794" s="2" t="s">
        <v>869</v>
      </c>
      <c r="B794" s="2" t="s">
        <v>197</v>
      </c>
      <c r="C794" s="2" t="n">
        <v>4</v>
      </c>
      <c r="D794" s="2" t="s">
        <v>54</v>
      </c>
      <c r="E794" s="2" t="s">
        <v>2356</v>
      </c>
      <c r="F794" s="2" t="n">
        <v>2</v>
      </c>
      <c r="G794" s="2" t="n">
        <v>6</v>
      </c>
      <c r="H794" s="2" t="s">
        <v>1689</v>
      </c>
      <c r="I794" s="2" t="n">
        <v>7</v>
      </c>
    </row>
    <row r="795" customFormat="false" ht="15" hidden="false" customHeight="false" outlineLevel="0" collapsed="false">
      <c r="A795" s="2" t="s">
        <v>869</v>
      </c>
      <c r="B795" s="2" t="s">
        <v>367</v>
      </c>
      <c r="C795" s="2" t="n">
        <v>5</v>
      </c>
      <c r="D795" s="2" t="s">
        <v>76</v>
      </c>
      <c r="E795" s="2" t="s">
        <v>2357</v>
      </c>
      <c r="F795" s="2" t="n">
        <v>4</v>
      </c>
      <c r="G795" s="2" t="n">
        <v>6</v>
      </c>
      <c r="H795" s="2" t="s">
        <v>1689</v>
      </c>
      <c r="I795" s="2" t="n">
        <v>8</v>
      </c>
    </row>
    <row r="796" customFormat="false" ht="15" hidden="false" customHeight="false" outlineLevel="0" collapsed="false">
      <c r="A796" s="2" t="s">
        <v>869</v>
      </c>
      <c r="B796" s="2" t="s">
        <v>540</v>
      </c>
      <c r="C796" s="2" t="n">
        <v>11</v>
      </c>
      <c r="D796" s="2" t="s">
        <v>54</v>
      </c>
      <c r="E796" s="2" t="s">
        <v>2358</v>
      </c>
      <c r="F796" s="2" t="n">
        <v>5.5</v>
      </c>
      <c r="G796" s="2" t="n">
        <v>16.5</v>
      </c>
      <c r="H796" s="2" t="s">
        <v>1700</v>
      </c>
      <c r="I796" s="2" t="n">
        <v>9</v>
      </c>
    </row>
    <row r="797" customFormat="false" ht="15" hidden="false" customHeight="false" outlineLevel="0" collapsed="false">
      <c r="A797" s="2" t="s">
        <v>869</v>
      </c>
      <c r="B797" s="2" t="s">
        <v>480</v>
      </c>
      <c r="C797" s="2" t="n">
        <v>1</v>
      </c>
      <c r="D797" s="2" t="s">
        <v>54</v>
      </c>
      <c r="E797" s="2" t="s">
        <v>2172</v>
      </c>
      <c r="F797" s="2" t="n">
        <v>0.5</v>
      </c>
      <c r="G797" s="2" t="n">
        <v>1.5</v>
      </c>
      <c r="H797" s="2" t="s">
        <v>1689</v>
      </c>
      <c r="I797" s="2" t="n">
        <v>10</v>
      </c>
    </row>
    <row r="798" customFormat="false" ht="15" hidden="false" customHeight="false" outlineLevel="0" collapsed="false">
      <c r="A798" s="2" t="s">
        <v>869</v>
      </c>
      <c r="B798" s="2" t="s">
        <v>210</v>
      </c>
      <c r="C798" s="2" t="n">
        <v>70</v>
      </c>
      <c r="D798" s="2" t="s">
        <v>54</v>
      </c>
      <c r="E798" s="2" t="s">
        <v>2359</v>
      </c>
      <c r="F798" s="2" t="n">
        <v>35</v>
      </c>
      <c r="G798" s="2" t="n">
        <v>105</v>
      </c>
      <c r="H798" s="2" t="s">
        <v>1689</v>
      </c>
      <c r="I798" s="2" t="n">
        <v>11</v>
      </c>
    </row>
    <row r="799" customFormat="false" ht="15" hidden="false" customHeight="false" outlineLevel="0" collapsed="false">
      <c r="A799" s="2" t="s">
        <v>869</v>
      </c>
      <c r="B799" s="2" t="s">
        <v>260</v>
      </c>
      <c r="C799" s="2" t="n">
        <v>50</v>
      </c>
      <c r="D799" s="2" t="s">
        <v>54</v>
      </c>
      <c r="E799" s="2" t="s">
        <v>2360</v>
      </c>
      <c r="F799" s="2" t="n">
        <v>25</v>
      </c>
      <c r="G799" s="2" t="n">
        <v>75</v>
      </c>
      <c r="H799" s="2" t="s">
        <v>1689</v>
      </c>
      <c r="I799" s="2" t="n">
        <v>12</v>
      </c>
    </row>
    <row r="800" customFormat="false" ht="15" hidden="false" customHeight="false" outlineLevel="0" collapsed="false">
      <c r="A800" s="2" t="s">
        <v>869</v>
      </c>
      <c r="B800" s="2" t="s">
        <v>394</v>
      </c>
      <c r="C800" s="2" t="n">
        <v>40</v>
      </c>
      <c r="D800" s="2" t="s">
        <v>54</v>
      </c>
      <c r="E800" s="2" t="s">
        <v>2361</v>
      </c>
      <c r="F800" s="2" t="n">
        <v>20</v>
      </c>
      <c r="G800" s="2" t="n">
        <v>60</v>
      </c>
      <c r="H800" s="2" t="s">
        <v>1689</v>
      </c>
      <c r="I800" s="2" t="n">
        <v>13</v>
      </c>
    </row>
    <row r="801" customFormat="false" ht="15" hidden="false" customHeight="false" outlineLevel="0" collapsed="false">
      <c r="A801" s="2" t="s">
        <v>869</v>
      </c>
      <c r="B801" s="2" t="s">
        <v>301</v>
      </c>
      <c r="C801" s="2" t="n">
        <v>10</v>
      </c>
      <c r="D801" s="2" t="s">
        <v>54</v>
      </c>
      <c r="E801" s="2" t="s">
        <v>2362</v>
      </c>
      <c r="F801" s="2" t="n">
        <v>5</v>
      </c>
      <c r="G801" s="2" t="n">
        <v>15</v>
      </c>
      <c r="H801" s="2" t="s">
        <v>1689</v>
      </c>
      <c r="I801" s="2" t="n">
        <v>14</v>
      </c>
    </row>
    <row r="802" customFormat="false" ht="15" hidden="false" customHeight="false" outlineLevel="0" collapsed="false">
      <c r="A802" s="2" t="s">
        <v>869</v>
      </c>
      <c r="B802" s="2" t="s">
        <v>496</v>
      </c>
      <c r="C802" s="2" t="n">
        <v>11</v>
      </c>
      <c r="D802" s="2" t="s">
        <v>76</v>
      </c>
      <c r="E802" s="2" t="s">
        <v>2274</v>
      </c>
      <c r="F802" s="2" t="n">
        <v>5.5</v>
      </c>
      <c r="G802" s="2" t="n">
        <v>16.5</v>
      </c>
      <c r="H802" s="2" t="s">
        <v>1693</v>
      </c>
      <c r="I802" s="2" t="n">
        <v>15</v>
      </c>
    </row>
    <row r="803" customFormat="false" ht="15" hidden="false" customHeight="false" outlineLevel="0" collapsed="false">
      <c r="A803" s="2" t="s">
        <v>869</v>
      </c>
      <c r="B803" s="2" t="s">
        <v>367</v>
      </c>
      <c r="C803" s="2" t="n">
        <v>10</v>
      </c>
      <c r="D803" s="2" t="s">
        <v>76</v>
      </c>
      <c r="E803" s="2" t="s">
        <v>2320</v>
      </c>
      <c r="F803" s="2" t="n">
        <v>9</v>
      </c>
      <c r="G803" s="2" t="n">
        <v>11</v>
      </c>
      <c r="H803" s="2" t="s">
        <v>1689</v>
      </c>
      <c r="I803" s="2" t="n">
        <v>16</v>
      </c>
    </row>
    <row r="804" customFormat="false" ht="15" hidden="false" customHeight="false" outlineLevel="0" collapsed="false">
      <c r="A804" s="2" t="s">
        <v>869</v>
      </c>
      <c r="B804" s="2" t="s">
        <v>143</v>
      </c>
      <c r="C804" s="2" t="n">
        <v>15</v>
      </c>
      <c r="D804" s="2" t="s">
        <v>76</v>
      </c>
      <c r="E804" s="2" t="s">
        <v>2363</v>
      </c>
      <c r="F804" s="2" t="n">
        <v>7.5</v>
      </c>
      <c r="G804" s="2" t="n">
        <v>22.5</v>
      </c>
      <c r="H804" s="2" t="s">
        <v>1689</v>
      </c>
      <c r="I804" s="2" t="n">
        <v>17</v>
      </c>
    </row>
    <row r="805" customFormat="false" ht="15" hidden="false" customHeight="false" outlineLevel="0" collapsed="false">
      <c r="A805" s="2" t="s">
        <v>869</v>
      </c>
      <c r="B805" s="2" t="s">
        <v>312</v>
      </c>
      <c r="C805" s="2" t="n">
        <v>1</v>
      </c>
      <c r="D805" s="2" t="s">
        <v>1687</v>
      </c>
      <c r="E805" s="2" t="s">
        <v>2364</v>
      </c>
      <c r="F805" s="2"/>
      <c r="G805" s="2" t="n">
        <v>2</v>
      </c>
      <c r="H805" s="2" t="s">
        <v>1689</v>
      </c>
      <c r="I805" s="2" t="n">
        <v>18</v>
      </c>
    </row>
    <row r="806" customFormat="false" ht="15" hidden="false" customHeight="false" outlineLevel="0" collapsed="false">
      <c r="A806" s="2" t="s">
        <v>869</v>
      </c>
      <c r="B806" s="2" t="s">
        <v>456</v>
      </c>
      <c r="C806" s="2" t="n">
        <v>1</v>
      </c>
      <c r="D806" s="2" t="s">
        <v>1687</v>
      </c>
      <c r="E806" s="2" t="s">
        <v>2365</v>
      </c>
      <c r="F806" s="2"/>
      <c r="G806" s="2" t="n">
        <v>2</v>
      </c>
      <c r="H806" s="2" t="s">
        <v>1689</v>
      </c>
      <c r="I806" s="2" t="n">
        <v>19</v>
      </c>
    </row>
    <row r="807" customFormat="false" ht="15" hidden="false" customHeight="false" outlineLevel="0" collapsed="false">
      <c r="A807" s="2" t="s">
        <v>873</v>
      </c>
      <c r="B807" s="2" t="s">
        <v>221</v>
      </c>
      <c r="C807" s="2" t="n">
        <v>160</v>
      </c>
      <c r="D807" s="2" t="s">
        <v>54</v>
      </c>
      <c r="E807" s="2" t="s">
        <v>2366</v>
      </c>
      <c r="F807" s="2" t="n">
        <v>80</v>
      </c>
      <c r="G807" s="2" t="n">
        <v>240</v>
      </c>
      <c r="H807" s="2" t="s">
        <v>1693</v>
      </c>
      <c r="I807" s="2" t="n">
        <v>1</v>
      </c>
    </row>
    <row r="808" customFormat="false" ht="15" hidden="false" customHeight="false" outlineLevel="0" collapsed="false">
      <c r="A808" s="2" t="s">
        <v>873</v>
      </c>
      <c r="B808" s="2" t="s">
        <v>201</v>
      </c>
      <c r="C808" s="2" t="n">
        <v>1</v>
      </c>
      <c r="D808" s="2" t="s">
        <v>1687</v>
      </c>
      <c r="E808" s="2" t="s">
        <v>2367</v>
      </c>
      <c r="F808" s="2"/>
      <c r="G808" s="2" t="n">
        <v>2</v>
      </c>
      <c r="H808" s="2" t="s">
        <v>1689</v>
      </c>
      <c r="I808" s="2" t="n">
        <v>2</v>
      </c>
    </row>
    <row r="809" customFormat="false" ht="15" hidden="false" customHeight="false" outlineLevel="0" collapsed="false">
      <c r="A809" s="2" t="s">
        <v>873</v>
      </c>
      <c r="B809" s="2" t="s">
        <v>514</v>
      </c>
      <c r="C809" s="2" t="n">
        <v>220</v>
      </c>
      <c r="D809" s="2" t="s">
        <v>54</v>
      </c>
      <c r="E809" s="2" t="s">
        <v>2368</v>
      </c>
      <c r="F809" s="2" t="n">
        <v>110</v>
      </c>
      <c r="G809" s="2" t="n">
        <v>330</v>
      </c>
      <c r="H809" s="2" t="s">
        <v>1689</v>
      </c>
      <c r="I809" s="2" t="n">
        <v>3</v>
      </c>
    </row>
    <row r="810" customFormat="false" ht="15" hidden="false" customHeight="false" outlineLevel="0" collapsed="false">
      <c r="A810" s="2" t="s">
        <v>873</v>
      </c>
      <c r="B810" s="2" t="s">
        <v>117</v>
      </c>
      <c r="C810" s="2" t="n">
        <v>0.3</v>
      </c>
      <c r="D810" s="2" t="s">
        <v>1687</v>
      </c>
      <c r="E810" s="2" t="s">
        <v>2369</v>
      </c>
      <c r="F810" s="2"/>
      <c r="G810" s="2" t="n">
        <v>1.3</v>
      </c>
      <c r="H810" s="2" t="s">
        <v>1700</v>
      </c>
      <c r="I810" s="2" t="n">
        <v>4</v>
      </c>
    </row>
    <row r="811" customFormat="false" ht="15" hidden="false" customHeight="false" outlineLevel="0" collapsed="false">
      <c r="A811" s="2" t="s">
        <v>873</v>
      </c>
      <c r="B811" s="2" t="s">
        <v>394</v>
      </c>
      <c r="C811" s="2" t="n">
        <v>40</v>
      </c>
      <c r="D811" s="2" t="s">
        <v>54</v>
      </c>
      <c r="E811" s="2" t="s">
        <v>2370</v>
      </c>
      <c r="F811" s="2" t="n">
        <v>20</v>
      </c>
      <c r="G811" s="2" t="n">
        <v>60</v>
      </c>
      <c r="H811" s="2" t="s">
        <v>1689</v>
      </c>
      <c r="I811" s="2" t="n">
        <v>5</v>
      </c>
    </row>
    <row r="812" customFormat="false" ht="15" hidden="false" customHeight="false" outlineLevel="0" collapsed="false">
      <c r="A812" s="2" t="s">
        <v>873</v>
      </c>
      <c r="B812" s="2" t="s">
        <v>524</v>
      </c>
      <c r="C812" s="2" t="n">
        <v>60</v>
      </c>
      <c r="D812" s="2" t="s">
        <v>54</v>
      </c>
      <c r="E812" s="2" t="s">
        <v>2371</v>
      </c>
      <c r="F812" s="2" t="n">
        <v>30</v>
      </c>
      <c r="G812" s="2" t="n">
        <v>90</v>
      </c>
      <c r="H812" s="2" t="s">
        <v>1689</v>
      </c>
      <c r="I812" s="2" t="n">
        <v>6</v>
      </c>
    </row>
    <row r="813" customFormat="false" ht="15" hidden="false" customHeight="false" outlineLevel="0" collapsed="false">
      <c r="A813" s="2" t="s">
        <v>873</v>
      </c>
      <c r="B813" s="2" t="s">
        <v>458</v>
      </c>
      <c r="C813" s="2" t="n">
        <v>30</v>
      </c>
      <c r="D813" s="2" t="s">
        <v>54</v>
      </c>
      <c r="E813" s="2" t="s">
        <v>2372</v>
      </c>
      <c r="F813" s="2" t="n">
        <v>15</v>
      </c>
      <c r="G813" s="2" t="n">
        <v>45</v>
      </c>
      <c r="H813" s="2" t="s">
        <v>1689</v>
      </c>
      <c r="I813" s="2" t="n">
        <v>7</v>
      </c>
    </row>
    <row r="814" customFormat="false" ht="15" hidden="false" customHeight="false" outlineLevel="0" collapsed="false">
      <c r="A814" s="2" t="s">
        <v>873</v>
      </c>
      <c r="B814" s="2" t="s">
        <v>314</v>
      </c>
      <c r="C814" s="2" t="n">
        <v>15</v>
      </c>
      <c r="D814" s="2" t="s">
        <v>54</v>
      </c>
      <c r="E814" s="2" t="s">
        <v>2373</v>
      </c>
      <c r="F814" s="2" t="n">
        <v>7.5</v>
      </c>
      <c r="G814" s="2" t="n">
        <v>22.5</v>
      </c>
      <c r="H814" s="2" t="s">
        <v>1689</v>
      </c>
      <c r="I814" s="2" t="n">
        <v>8</v>
      </c>
    </row>
    <row r="815" customFormat="false" ht="15" hidden="false" customHeight="false" outlineLevel="0" collapsed="false">
      <c r="A815" s="2" t="s">
        <v>873</v>
      </c>
      <c r="B815" s="2" t="s">
        <v>129</v>
      </c>
      <c r="C815" s="2" t="n">
        <v>9</v>
      </c>
      <c r="D815" s="2" t="s">
        <v>54</v>
      </c>
      <c r="E815" s="2" t="s">
        <v>2202</v>
      </c>
      <c r="F815" s="2" t="n">
        <v>4.5</v>
      </c>
      <c r="G815" s="2" t="n">
        <v>13.5</v>
      </c>
      <c r="H815" s="2" t="s">
        <v>1700</v>
      </c>
      <c r="I815" s="2" t="n">
        <v>9</v>
      </c>
    </row>
    <row r="816" customFormat="false" ht="15" hidden="false" customHeight="false" outlineLevel="0" collapsed="false">
      <c r="A816" s="2" t="s">
        <v>873</v>
      </c>
      <c r="B816" s="2" t="s">
        <v>480</v>
      </c>
      <c r="C816" s="2" t="n">
        <v>1</v>
      </c>
      <c r="D816" s="2" t="s">
        <v>54</v>
      </c>
      <c r="E816" s="2" t="s">
        <v>2172</v>
      </c>
      <c r="F816" s="2" t="n">
        <v>0.5</v>
      </c>
      <c r="G816" s="2" t="n">
        <v>1.5</v>
      </c>
      <c r="H816" s="2" t="s">
        <v>1689</v>
      </c>
      <c r="I816" s="2" t="n">
        <v>10</v>
      </c>
    </row>
    <row r="817" customFormat="false" ht="15" hidden="false" customHeight="false" outlineLevel="0" collapsed="false">
      <c r="A817" s="2" t="s">
        <v>873</v>
      </c>
      <c r="B817" s="2" t="s">
        <v>271</v>
      </c>
      <c r="C817" s="2" t="n">
        <v>1</v>
      </c>
      <c r="D817" s="2" t="s">
        <v>54</v>
      </c>
      <c r="E817" s="2" t="s">
        <v>2323</v>
      </c>
      <c r="F817" s="2" t="n">
        <v>0.5</v>
      </c>
      <c r="G817" s="2" t="n">
        <v>1.5</v>
      </c>
      <c r="H817" s="2" t="s">
        <v>1689</v>
      </c>
      <c r="I817" s="2" t="n">
        <v>11</v>
      </c>
    </row>
    <row r="818" customFormat="false" ht="15" hidden="false" customHeight="false" outlineLevel="0" collapsed="false">
      <c r="A818" s="2" t="s">
        <v>873</v>
      </c>
      <c r="B818" s="2" t="s">
        <v>148</v>
      </c>
      <c r="C818" s="2" t="n">
        <v>30</v>
      </c>
      <c r="D818" s="2" t="s">
        <v>54</v>
      </c>
      <c r="E818" s="2" t="s">
        <v>2374</v>
      </c>
      <c r="F818" s="2" t="n">
        <v>15</v>
      </c>
      <c r="G818" s="2" t="n">
        <v>45</v>
      </c>
      <c r="H818" s="2" t="s">
        <v>1693</v>
      </c>
      <c r="I818" s="2" t="n">
        <v>12</v>
      </c>
    </row>
    <row r="819" customFormat="false" ht="15" hidden="false" customHeight="false" outlineLevel="0" collapsed="false">
      <c r="A819" s="2" t="s">
        <v>873</v>
      </c>
      <c r="B819" s="2" t="s">
        <v>373</v>
      </c>
      <c r="C819" s="2" t="n">
        <v>9</v>
      </c>
      <c r="D819" s="2" t="s">
        <v>54</v>
      </c>
      <c r="E819" s="2" t="s">
        <v>2375</v>
      </c>
      <c r="F819" s="2" t="n">
        <v>4.5</v>
      </c>
      <c r="G819" s="2" t="n">
        <v>13.5</v>
      </c>
      <c r="H819" s="2" t="s">
        <v>1700</v>
      </c>
      <c r="I819" s="2" t="n">
        <v>13</v>
      </c>
    </row>
    <row r="820" customFormat="false" ht="15" hidden="false" customHeight="false" outlineLevel="0" collapsed="false">
      <c r="A820" s="2" t="s">
        <v>873</v>
      </c>
      <c r="B820" s="2" t="s">
        <v>268</v>
      </c>
      <c r="C820" s="2" t="n">
        <v>5</v>
      </c>
      <c r="D820" s="2" t="s">
        <v>54</v>
      </c>
      <c r="E820" s="2" t="s">
        <v>2376</v>
      </c>
      <c r="F820" s="2" t="n">
        <v>2.5</v>
      </c>
      <c r="G820" s="2" t="n">
        <v>7.5</v>
      </c>
      <c r="H820" s="2" t="s">
        <v>1693</v>
      </c>
      <c r="I820" s="2" t="n">
        <v>14</v>
      </c>
    </row>
    <row r="821" customFormat="false" ht="15" hidden="false" customHeight="false" outlineLevel="0" collapsed="false">
      <c r="A821" s="2" t="s">
        <v>873</v>
      </c>
      <c r="B821" s="2" t="s">
        <v>91</v>
      </c>
      <c r="C821" s="2" t="n">
        <v>7</v>
      </c>
      <c r="D821" s="2" t="s">
        <v>54</v>
      </c>
      <c r="E821" s="2" t="s">
        <v>2183</v>
      </c>
      <c r="F821" s="2" t="n">
        <v>3.5</v>
      </c>
      <c r="G821" s="2" t="n">
        <v>10.5</v>
      </c>
      <c r="H821" s="2" t="s">
        <v>1689</v>
      </c>
      <c r="I821" s="2" t="n">
        <v>15</v>
      </c>
    </row>
    <row r="822" customFormat="false" ht="15" hidden="false" customHeight="false" outlineLevel="0" collapsed="false">
      <c r="A822" s="2" t="s">
        <v>873</v>
      </c>
      <c r="B822" s="2" t="s">
        <v>271</v>
      </c>
      <c r="C822" s="2" t="n">
        <v>2</v>
      </c>
      <c r="D822" s="2" t="s">
        <v>54</v>
      </c>
      <c r="E822" s="2" t="s">
        <v>2377</v>
      </c>
      <c r="F822" s="2" t="n">
        <v>1</v>
      </c>
      <c r="G822" s="2" t="n">
        <v>3</v>
      </c>
      <c r="H822" s="2" t="s">
        <v>1689</v>
      </c>
      <c r="I822" s="2" t="n">
        <v>16</v>
      </c>
    </row>
    <row r="823" customFormat="false" ht="15" hidden="false" customHeight="false" outlineLevel="0" collapsed="false">
      <c r="A823" s="2" t="s">
        <v>877</v>
      </c>
      <c r="B823" s="2" t="s">
        <v>424</v>
      </c>
      <c r="C823" s="2" t="n">
        <v>110</v>
      </c>
      <c r="D823" s="2" t="s">
        <v>54</v>
      </c>
      <c r="E823" s="2" t="s">
        <v>2378</v>
      </c>
      <c r="F823" s="2" t="n">
        <v>55</v>
      </c>
      <c r="G823" s="2" t="n">
        <v>165</v>
      </c>
      <c r="H823" s="2" t="s">
        <v>1689</v>
      </c>
      <c r="I823" s="2" t="n">
        <v>1</v>
      </c>
    </row>
    <row r="824" customFormat="false" ht="15" hidden="false" customHeight="false" outlineLevel="0" collapsed="false">
      <c r="A824" s="2" t="s">
        <v>877</v>
      </c>
      <c r="B824" s="2" t="s">
        <v>221</v>
      </c>
      <c r="C824" s="2" t="n">
        <v>80</v>
      </c>
      <c r="D824" s="2" t="s">
        <v>54</v>
      </c>
      <c r="E824" s="2" t="s">
        <v>2379</v>
      </c>
      <c r="F824" s="2" t="n">
        <v>40</v>
      </c>
      <c r="G824" s="2" t="n">
        <v>120</v>
      </c>
      <c r="H824" s="2" t="s">
        <v>1693</v>
      </c>
      <c r="I824" s="2" t="n">
        <v>2</v>
      </c>
    </row>
    <row r="825" customFormat="false" ht="15" hidden="false" customHeight="false" outlineLevel="0" collapsed="false">
      <c r="A825" s="2" t="s">
        <v>877</v>
      </c>
      <c r="B825" s="2" t="s">
        <v>480</v>
      </c>
      <c r="C825" s="2" t="n">
        <v>1</v>
      </c>
      <c r="D825" s="2" t="s">
        <v>54</v>
      </c>
      <c r="E825" s="2" t="s">
        <v>2380</v>
      </c>
      <c r="F825" s="2" t="n">
        <v>0.5</v>
      </c>
      <c r="G825" s="2" t="n">
        <v>1.5</v>
      </c>
      <c r="H825" s="2" t="s">
        <v>1689</v>
      </c>
      <c r="I825" s="2" t="n">
        <v>3</v>
      </c>
    </row>
    <row r="826" customFormat="false" ht="15" hidden="false" customHeight="false" outlineLevel="0" collapsed="false">
      <c r="A826" s="2" t="s">
        <v>877</v>
      </c>
      <c r="B826" s="2" t="s">
        <v>129</v>
      </c>
      <c r="C826" s="2" t="n">
        <v>7</v>
      </c>
      <c r="D826" s="2" t="s">
        <v>54</v>
      </c>
      <c r="E826" s="2" t="s">
        <v>2168</v>
      </c>
      <c r="F826" s="2" t="n">
        <v>3.5</v>
      </c>
      <c r="G826" s="2" t="n">
        <v>10.5</v>
      </c>
      <c r="H826" s="2" t="s">
        <v>1700</v>
      </c>
      <c r="I826" s="2" t="n">
        <v>4</v>
      </c>
    </row>
    <row r="827" customFormat="false" ht="15" hidden="false" customHeight="false" outlineLevel="0" collapsed="false">
      <c r="A827" s="2" t="s">
        <v>877</v>
      </c>
      <c r="B827" s="2" t="s">
        <v>195</v>
      </c>
      <c r="C827" s="2" t="n">
        <v>60</v>
      </c>
      <c r="D827" s="2" t="s">
        <v>54</v>
      </c>
      <c r="E827" s="2" t="s">
        <v>2381</v>
      </c>
      <c r="F827" s="2" t="n">
        <v>30</v>
      </c>
      <c r="G827" s="2" t="n">
        <v>90</v>
      </c>
      <c r="H827" s="2" t="s">
        <v>1693</v>
      </c>
      <c r="I827" s="2" t="n">
        <v>5</v>
      </c>
    </row>
    <row r="828" customFormat="false" ht="15" hidden="false" customHeight="false" outlineLevel="0" collapsed="false">
      <c r="A828" s="2" t="s">
        <v>877</v>
      </c>
      <c r="B828" s="2" t="s">
        <v>219</v>
      </c>
      <c r="C828" s="2" t="n">
        <v>50</v>
      </c>
      <c r="D828" s="2" t="s">
        <v>54</v>
      </c>
      <c r="E828" s="2" t="s">
        <v>2382</v>
      </c>
      <c r="F828" s="2" t="n">
        <v>25</v>
      </c>
      <c r="G828" s="2" t="n">
        <v>75</v>
      </c>
      <c r="H828" s="2" t="s">
        <v>1689</v>
      </c>
      <c r="I828" s="2" t="n">
        <v>6</v>
      </c>
    </row>
    <row r="829" customFormat="false" ht="15" hidden="false" customHeight="false" outlineLevel="0" collapsed="false">
      <c r="A829" s="2" t="s">
        <v>877</v>
      </c>
      <c r="B829" s="2" t="s">
        <v>454</v>
      </c>
      <c r="C829" s="2" t="n">
        <v>40</v>
      </c>
      <c r="D829" s="2" t="s">
        <v>54</v>
      </c>
      <c r="E829" s="2" t="s">
        <v>2383</v>
      </c>
      <c r="F829" s="2" t="n">
        <v>20</v>
      </c>
      <c r="G829" s="2" t="n">
        <v>60</v>
      </c>
      <c r="H829" s="2" t="s">
        <v>1689</v>
      </c>
      <c r="I829" s="2" t="n">
        <v>7</v>
      </c>
    </row>
    <row r="830" customFormat="false" ht="15" hidden="false" customHeight="false" outlineLevel="0" collapsed="false">
      <c r="A830" s="2" t="s">
        <v>877</v>
      </c>
      <c r="B830" s="2" t="s">
        <v>458</v>
      </c>
      <c r="C830" s="2" t="n">
        <v>30</v>
      </c>
      <c r="D830" s="2" t="s">
        <v>54</v>
      </c>
      <c r="E830" s="2" t="s">
        <v>2372</v>
      </c>
      <c r="F830" s="2" t="n">
        <v>15</v>
      </c>
      <c r="G830" s="2" t="n">
        <v>45</v>
      </c>
      <c r="H830" s="2" t="s">
        <v>1689</v>
      </c>
      <c r="I830" s="2" t="n">
        <v>8</v>
      </c>
    </row>
    <row r="831" customFormat="false" ht="15" hidden="false" customHeight="false" outlineLevel="0" collapsed="false">
      <c r="A831" s="2" t="s">
        <v>877</v>
      </c>
      <c r="B831" s="2" t="s">
        <v>498</v>
      </c>
      <c r="C831" s="2" t="n">
        <v>40</v>
      </c>
      <c r="D831" s="2" t="s">
        <v>54</v>
      </c>
      <c r="E831" s="2" t="s">
        <v>2384</v>
      </c>
      <c r="F831" s="2" t="n">
        <v>20</v>
      </c>
      <c r="G831" s="2" t="n">
        <v>60</v>
      </c>
      <c r="H831" s="2" t="s">
        <v>1693</v>
      </c>
      <c r="I831" s="2" t="n">
        <v>9</v>
      </c>
    </row>
    <row r="832" customFormat="false" ht="15" hidden="false" customHeight="false" outlineLevel="0" collapsed="false">
      <c r="A832" s="2" t="s">
        <v>877</v>
      </c>
      <c r="B832" s="2" t="s">
        <v>312</v>
      </c>
      <c r="C832" s="2" t="n">
        <v>1</v>
      </c>
      <c r="D832" s="2" t="s">
        <v>1687</v>
      </c>
      <c r="E832" s="2" t="s">
        <v>2142</v>
      </c>
      <c r="F832" s="2"/>
      <c r="G832" s="2" t="n">
        <v>2</v>
      </c>
      <c r="H832" s="2" t="s">
        <v>1689</v>
      </c>
      <c r="I832" s="2" t="n">
        <v>10</v>
      </c>
    </row>
    <row r="833" customFormat="false" ht="15" hidden="false" customHeight="false" outlineLevel="0" collapsed="false">
      <c r="A833" s="2" t="s">
        <v>877</v>
      </c>
      <c r="B833" s="2" t="s">
        <v>67</v>
      </c>
      <c r="C833" s="2" t="n">
        <v>40</v>
      </c>
      <c r="D833" s="2" t="s">
        <v>54</v>
      </c>
      <c r="E833" s="2" t="s">
        <v>2385</v>
      </c>
      <c r="F833" s="2" t="n">
        <v>20</v>
      </c>
      <c r="G833" s="2" t="n">
        <v>60</v>
      </c>
      <c r="H833" s="2" t="s">
        <v>1693</v>
      </c>
      <c r="I833" s="2" t="n">
        <v>11</v>
      </c>
    </row>
    <row r="834" customFormat="false" ht="15" hidden="false" customHeight="false" outlineLevel="0" collapsed="false">
      <c r="A834" s="2" t="s">
        <v>877</v>
      </c>
      <c r="B834" s="2" t="s">
        <v>420</v>
      </c>
      <c r="C834" s="2" t="n">
        <v>15</v>
      </c>
      <c r="D834" s="2" t="s">
        <v>54</v>
      </c>
      <c r="E834" s="2" t="s">
        <v>2386</v>
      </c>
      <c r="F834" s="2" t="n">
        <v>7.5</v>
      </c>
      <c r="G834" s="2" t="n">
        <v>22.5</v>
      </c>
      <c r="H834" s="2" t="s">
        <v>1693</v>
      </c>
      <c r="I834" s="2" t="n">
        <v>12</v>
      </c>
    </row>
    <row r="835" customFormat="false" ht="15" hidden="false" customHeight="false" outlineLevel="0" collapsed="false">
      <c r="A835" s="2" t="s">
        <v>877</v>
      </c>
      <c r="B835" s="2" t="s">
        <v>367</v>
      </c>
      <c r="C835" s="2" t="n">
        <v>5</v>
      </c>
      <c r="D835" s="2" t="s">
        <v>76</v>
      </c>
      <c r="E835" s="2" t="s">
        <v>2387</v>
      </c>
      <c r="F835" s="2" t="n">
        <v>4</v>
      </c>
      <c r="G835" s="2" t="n">
        <v>6</v>
      </c>
      <c r="H835" s="2" t="s">
        <v>1689</v>
      </c>
      <c r="I835" s="2" t="n">
        <v>13</v>
      </c>
    </row>
    <row r="836" customFormat="false" ht="15" hidden="false" customHeight="false" outlineLevel="0" collapsed="false">
      <c r="A836" s="2" t="s">
        <v>877</v>
      </c>
      <c r="B836" s="2" t="s">
        <v>301</v>
      </c>
      <c r="C836" s="2" t="n">
        <v>3</v>
      </c>
      <c r="D836" s="2" t="s">
        <v>54</v>
      </c>
      <c r="E836" s="2" t="s">
        <v>2388</v>
      </c>
      <c r="F836" s="2" t="n">
        <v>1.5</v>
      </c>
      <c r="G836" s="2" t="n">
        <v>4.5</v>
      </c>
      <c r="H836" s="2" t="s">
        <v>1689</v>
      </c>
      <c r="I836" s="2" t="n">
        <v>14</v>
      </c>
    </row>
    <row r="837" customFormat="false" ht="15" hidden="false" customHeight="false" outlineLevel="0" collapsed="false">
      <c r="A837" s="2" t="s">
        <v>877</v>
      </c>
      <c r="B837" s="2" t="s">
        <v>143</v>
      </c>
      <c r="C837" s="2" t="n">
        <v>15</v>
      </c>
      <c r="D837" s="2" t="s">
        <v>76</v>
      </c>
      <c r="E837" s="2" t="s">
        <v>2389</v>
      </c>
      <c r="F837" s="2" t="n">
        <v>7.5</v>
      </c>
      <c r="G837" s="2" t="n">
        <v>22.5</v>
      </c>
      <c r="H837" s="2" t="s">
        <v>1689</v>
      </c>
      <c r="I837" s="2" t="n">
        <v>15</v>
      </c>
    </row>
    <row r="838" customFormat="false" ht="15" hidden="false" customHeight="false" outlineLevel="0" collapsed="false">
      <c r="A838" s="2" t="s">
        <v>880</v>
      </c>
      <c r="B838" s="2" t="s">
        <v>67</v>
      </c>
      <c r="C838" s="2" t="n">
        <v>122</v>
      </c>
      <c r="D838" s="2" t="s">
        <v>54</v>
      </c>
      <c r="E838" s="2" t="s">
        <v>2390</v>
      </c>
      <c r="F838" s="2" t="n">
        <v>61</v>
      </c>
      <c r="G838" s="2" t="n">
        <v>183</v>
      </c>
      <c r="H838" s="2" t="s">
        <v>1693</v>
      </c>
      <c r="I838" s="2" t="n">
        <v>1</v>
      </c>
    </row>
    <row r="839" customFormat="false" ht="15" hidden="false" customHeight="false" outlineLevel="0" collapsed="false">
      <c r="A839" s="2" t="s">
        <v>880</v>
      </c>
      <c r="B839" s="2" t="s">
        <v>129</v>
      </c>
      <c r="C839" s="2" t="n">
        <v>14</v>
      </c>
      <c r="D839" s="2" t="s">
        <v>54</v>
      </c>
      <c r="E839" s="2" t="s">
        <v>1985</v>
      </c>
      <c r="F839" s="2" t="n">
        <v>7</v>
      </c>
      <c r="G839" s="2" t="n">
        <v>21</v>
      </c>
      <c r="H839" s="2" t="s">
        <v>1700</v>
      </c>
      <c r="I839" s="2" t="n">
        <v>2</v>
      </c>
    </row>
    <row r="840" customFormat="false" ht="15" hidden="false" customHeight="false" outlineLevel="0" collapsed="false">
      <c r="A840" s="2" t="s">
        <v>880</v>
      </c>
      <c r="B840" s="2" t="s">
        <v>367</v>
      </c>
      <c r="C840" s="2" t="n">
        <v>15</v>
      </c>
      <c r="D840" s="2" t="s">
        <v>76</v>
      </c>
      <c r="E840" s="2" t="s">
        <v>2391</v>
      </c>
      <c r="F840" s="2" t="n">
        <v>14</v>
      </c>
      <c r="G840" s="2" t="n">
        <v>16</v>
      </c>
      <c r="H840" s="2" t="s">
        <v>1689</v>
      </c>
      <c r="I840" s="2" t="n">
        <v>3</v>
      </c>
    </row>
    <row r="841" customFormat="false" ht="15" hidden="false" customHeight="false" outlineLevel="0" collapsed="false">
      <c r="A841" s="2" t="s">
        <v>880</v>
      </c>
      <c r="B841" s="2" t="s">
        <v>301</v>
      </c>
      <c r="C841" s="2" t="n">
        <v>4</v>
      </c>
      <c r="D841" s="2" t="s">
        <v>54</v>
      </c>
      <c r="E841" s="2" t="s">
        <v>2392</v>
      </c>
      <c r="F841" s="2" t="n">
        <v>2</v>
      </c>
      <c r="G841" s="2" t="n">
        <v>6</v>
      </c>
      <c r="H841" s="2" t="s">
        <v>1689</v>
      </c>
      <c r="I841" s="2" t="n">
        <v>4</v>
      </c>
    </row>
    <row r="842" customFormat="false" ht="15" hidden="false" customHeight="false" outlineLevel="0" collapsed="false">
      <c r="A842" s="2" t="s">
        <v>880</v>
      </c>
      <c r="B842" s="2" t="s">
        <v>271</v>
      </c>
      <c r="C842" s="2" t="n">
        <v>3</v>
      </c>
      <c r="D842" s="2" t="s">
        <v>54</v>
      </c>
      <c r="E842" s="2" t="s">
        <v>2393</v>
      </c>
      <c r="F842" s="2" t="n">
        <v>1.5</v>
      </c>
      <c r="G842" s="2" t="n">
        <v>4.5</v>
      </c>
      <c r="H842" s="2" t="s">
        <v>1689</v>
      </c>
      <c r="I842" s="2" t="n">
        <v>5</v>
      </c>
    </row>
    <row r="843" customFormat="false" ht="15" hidden="false" customHeight="false" outlineLevel="0" collapsed="false">
      <c r="A843" s="2" t="s">
        <v>880</v>
      </c>
      <c r="B843" s="2" t="s">
        <v>271</v>
      </c>
      <c r="C843" s="2" t="n">
        <v>2</v>
      </c>
      <c r="D843" s="2" t="s">
        <v>54</v>
      </c>
      <c r="E843" s="2" t="s">
        <v>2394</v>
      </c>
      <c r="F843" s="2" t="n">
        <v>1</v>
      </c>
      <c r="G843" s="2" t="n">
        <v>3</v>
      </c>
      <c r="H843" s="2" t="s">
        <v>1689</v>
      </c>
      <c r="I843" s="2" t="n">
        <v>6</v>
      </c>
    </row>
    <row r="844" customFormat="false" ht="15" hidden="false" customHeight="false" outlineLevel="0" collapsed="false">
      <c r="A844" s="2" t="s">
        <v>880</v>
      </c>
      <c r="B844" s="2" t="s">
        <v>268</v>
      </c>
      <c r="C844" s="2" t="n">
        <v>5</v>
      </c>
      <c r="D844" s="2" t="s">
        <v>54</v>
      </c>
      <c r="E844" s="2" t="s">
        <v>2395</v>
      </c>
      <c r="F844" s="2" t="n">
        <v>2.5</v>
      </c>
      <c r="G844" s="2" t="n">
        <v>7.5</v>
      </c>
      <c r="H844" s="2" t="s">
        <v>1693</v>
      </c>
      <c r="I844" s="2" t="n">
        <v>7</v>
      </c>
    </row>
    <row r="845" customFormat="false" ht="15" hidden="false" customHeight="false" outlineLevel="0" collapsed="false">
      <c r="A845" s="2" t="s">
        <v>880</v>
      </c>
      <c r="B845" s="2" t="s">
        <v>480</v>
      </c>
      <c r="C845" s="2" t="n">
        <v>1</v>
      </c>
      <c r="D845" s="2" t="s">
        <v>54</v>
      </c>
      <c r="E845" s="2" t="s">
        <v>2396</v>
      </c>
      <c r="F845" s="2" t="n">
        <v>0.5</v>
      </c>
      <c r="G845" s="2" t="n">
        <v>1.5</v>
      </c>
      <c r="H845" s="2" t="s">
        <v>1689</v>
      </c>
      <c r="I845" s="2" t="n">
        <v>8</v>
      </c>
    </row>
    <row r="846" customFormat="false" ht="15" hidden="false" customHeight="false" outlineLevel="0" collapsed="false">
      <c r="A846" s="2" t="s">
        <v>880</v>
      </c>
      <c r="B846" s="2" t="s">
        <v>143</v>
      </c>
      <c r="C846" s="2" t="n">
        <v>1</v>
      </c>
      <c r="D846" s="2" t="s">
        <v>76</v>
      </c>
      <c r="E846" s="2" t="s">
        <v>2397</v>
      </c>
      <c r="F846" s="2" t="n">
        <v>0.5</v>
      </c>
      <c r="G846" s="2" t="n">
        <v>1.5</v>
      </c>
      <c r="H846" s="2" t="s">
        <v>1689</v>
      </c>
      <c r="I846" s="2" t="n">
        <v>9</v>
      </c>
    </row>
    <row r="847" customFormat="false" ht="15" hidden="false" customHeight="false" outlineLevel="0" collapsed="false">
      <c r="A847" s="2" t="s">
        <v>884</v>
      </c>
      <c r="B847" s="2" t="s">
        <v>148</v>
      </c>
      <c r="C847" s="2" t="n">
        <v>61</v>
      </c>
      <c r="D847" s="2" t="s">
        <v>54</v>
      </c>
      <c r="E847" s="2" t="s">
        <v>2398</v>
      </c>
      <c r="F847" s="2" t="n">
        <v>30.5</v>
      </c>
      <c r="G847" s="2" t="n">
        <v>91.5</v>
      </c>
      <c r="H847" s="2" t="s">
        <v>1693</v>
      </c>
      <c r="I847" s="2" t="n">
        <v>1</v>
      </c>
    </row>
    <row r="848" customFormat="false" ht="15" hidden="false" customHeight="false" outlineLevel="0" collapsed="false">
      <c r="A848" s="2" t="s">
        <v>884</v>
      </c>
      <c r="B848" s="2" t="s">
        <v>268</v>
      </c>
      <c r="C848" s="2" t="n">
        <v>15</v>
      </c>
      <c r="D848" s="2" t="s">
        <v>54</v>
      </c>
      <c r="E848" s="2" t="s">
        <v>2399</v>
      </c>
      <c r="F848" s="2" t="n">
        <v>7.5</v>
      </c>
      <c r="G848" s="2" t="n">
        <v>22.5</v>
      </c>
      <c r="H848" s="2" t="s">
        <v>1693</v>
      </c>
      <c r="I848" s="2" t="n">
        <v>2</v>
      </c>
    </row>
    <row r="849" customFormat="false" ht="15" hidden="false" customHeight="false" outlineLevel="0" collapsed="false">
      <c r="A849" s="2" t="s">
        <v>884</v>
      </c>
      <c r="B849" s="2" t="s">
        <v>91</v>
      </c>
      <c r="C849" s="2" t="n">
        <v>7</v>
      </c>
      <c r="D849" s="2" t="s">
        <v>54</v>
      </c>
      <c r="E849" s="2" t="s">
        <v>2400</v>
      </c>
      <c r="F849" s="2" t="n">
        <v>3.5</v>
      </c>
      <c r="G849" s="2" t="n">
        <v>10.5</v>
      </c>
      <c r="H849" s="2" t="s">
        <v>1689</v>
      </c>
      <c r="I849" s="2" t="n">
        <v>3</v>
      </c>
    </row>
    <row r="850" customFormat="false" ht="15" hidden="false" customHeight="false" outlineLevel="0" collapsed="false">
      <c r="A850" s="2" t="s">
        <v>884</v>
      </c>
      <c r="B850" s="2" t="s">
        <v>367</v>
      </c>
      <c r="C850" s="2" t="n">
        <v>15</v>
      </c>
      <c r="D850" s="2" t="s">
        <v>76</v>
      </c>
      <c r="E850" s="2" t="s">
        <v>2401</v>
      </c>
      <c r="F850" s="2" t="n">
        <v>14</v>
      </c>
      <c r="G850" s="2" t="n">
        <v>16</v>
      </c>
      <c r="H850" s="2" t="s">
        <v>1689</v>
      </c>
      <c r="I850" s="2" t="n">
        <v>4</v>
      </c>
    </row>
    <row r="851" customFormat="false" ht="15" hidden="false" customHeight="false" outlineLevel="0" collapsed="false">
      <c r="A851" s="2" t="s">
        <v>884</v>
      </c>
      <c r="B851" s="2" t="s">
        <v>312</v>
      </c>
      <c r="C851" s="2" t="n">
        <v>1</v>
      </c>
      <c r="D851" s="2" t="s">
        <v>1687</v>
      </c>
      <c r="E851" s="2" t="s">
        <v>2402</v>
      </c>
      <c r="F851" s="2"/>
      <c r="G851" s="2" t="n">
        <v>2</v>
      </c>
      <c r="H851" s="2" t="s">
        <v>1689</v>
      </c>
      <c r="I851" s="2" t="n">
        <v>5</v>
      </c>
    </row>
    <row r="852" customFormat="false" ht="15" hidden="false" customHeight="false" outlineLevel="0" collapsed="false">
      <c r="A852" s="2" t="s">
        <v>884</v>
      </c>
      <c r="B852" s="2" t="s">
        <v>480</v>
      </c>
      <c r="C852" s="2" t="n">
        <v>1</v>
      </c>
      <c r="D852" s="2" t="s">
        <v>54</v>
      </c>
      <c r="E852" s="2" t="s">
        <v>1858</v>
      </c>
      <c r="F852" s="2" t="n">
        <v>0.5</v>
      </c>
      <c r="G852" s="2" t="n">
        <v>1.5</v>
      </c>
      <c r="H852" s="2" t="s">
        <v>1689</v>
      </c>
      <c r="I852" s="2" t="n">
        <v>6</v>
      </c>
    </row>
    <row r="853" customFormat="false" ht="15" hidden="false" customHeight="false" outlineLevel="0" collapsed="false">
      <c r="A853" s="2" t="s">
        <v>884</v>
      </c>
      <c r="B853" s="2" t="s">
        <v>143</v>
      </c>
      <c r="C853" s="2" t="n">
        <v>1</v>
      </c>
      <c r="D853" s="2" t="s">
        <v>76</v>
      </c>
      <c r="E853" s="2" t="s">
        <v>2403</v>
      </c>
      <c r="F853" s="2" t="n">
        <v>0.5</v>
      </c>
      <c r="G853" s="2" t="n">
        <v>1.5</v>
      </c>
      <c r="H853" s="2" t="s">
        <v>1689</v>
      </c>
      <c r="I853" s="2" t="n">
        <v>7</v>
      </c>
    </row>
    <row r="854" customFormat="false" ht="15" hidden="false" customHeight="false" outlineLevel="0" collapsed="false">
      <c r="A854" s="2" t="s">
        <v>891</v>
      </c>
      <c r="B854" s="2" t="s">
        <v>81</v>
      </c>
      <c r="C854" s="2" t="n">
        <v>35</v>
      </c>
      <c r="D854" s="2" t="s">
        <v>54</v>
      </c>
      <c r="E854" s="2" t="s">
        <v>2404</v>
      </c>
      <c r="F854" s="2" t="n">
        <v>17.5</v>
      </c>
      <c r="G854" s="2" t="n">
        <v>52.5</v>
      </c>
      <c r="H854" s="2" t="s">
        <v>1689</v>
      </c>
      <c r="I854" s="2" t="n">
        <v>1</v>
      </c>
    </row>
    <row r="855" customFormat="false" ht="15" hidden="false" customHeight="false" outlineLevel="0" collapsed="false">
      <c r="A855" s="2" t="s">
        <v>891</v>
      </c>
      <c r="B855" s="2" t="s">
        <v>74</v>
      </c>
      <c r="C855" s="2" t="n">
        <v>200</v>
      </c>
      <c r="D855" s="2" t="s">
        <v>76</v>
      </c>
      <c r="E855" s="2" t="s">
        <v>1748</v>
      </c>
      <c r="F855" s="2" t="n">
        <v>100</v>
      </c>
      <c r="G855" s="2" t="n">
        <v>300</v>
      </c>
      <c r="H855" s="2" t="s">
        <v>1689</v>
      </c>
      <c r="I855" s="2" t="n">
        <v>2</v>
      </c>
    </row>
    <row r="856" customFormat="false" ht="15" hidden="false" customHeight="false" outlineLevel="0" collapsed="false">
      <c r="A856" s="2" t="s">
        <v>891</v>
      </c>
      <c r="B856" s="2" t="s">
        <v>71</v>
      </c>
      <c r="C856" s="2" t="n">
        <v>25</v>
      </c>
      <c r="D856" s="2" t="s">
        <v>54</v>
      </c>
      <c r="E856" s="2" t="s">
        <v>2405</v>
      </c>
      <c r="F856" s="2" t="n">
        <v>12.5</v>
      </c>
      <c r="G856" s="2" t="n">
        <v>37.5</v>
      </c>
      <c r="H856" s="2" t="s">
        <v>1693</v>
      </c>
      <c r="I856" s="2" t="n">
        <v>3</v>
      </c>
    </row>
    <row r="857" customFormat="false" ht="15" hidden="false" customHeight="false" outlineLevel="0" collapsed="false">
      <c r="A857" s="2" t="s">
        <v>891</v>
      </c>
      <c r="B857" s="2" t="s">
        <v>52</v>
      </c>
      <c r="C857" s="2" t="n">
        <v>0.508</v>
      </c>
      <c r="D857" s="2" t="s">
        <v>1687</v>
      </c>
      <c r="E857" s="2" t="s">
        <v>2406</v>
      </c>
      <c r="F857" s="2"/>
      <c r="G857" s="2" t="n">
        <v>1.50847457627119</v>
      </c>
      <c r="H857" s="2" t="s">
        <v>1689</v>
      </c>
      <c r="I857" s="2" t="n">
        <v>4</v>
      </c>
    </row>
    <row r="858" customFormat="false" ht="15" hidden="false" customHeight="false" outlineLevel="0" collapsed="false">
      <c r="A858" s="2" t="s">
        <v>891</v>
      </c>
      <c r="B858" s="2" t="s">
        <v>392</v>
      </c>
      <c r="C858" s="2" t="n">
        <v>80</v>
      </c>
      <c r="D858" s="2" t="s">
        <v>54</v>
      </c>
      <c r="E858" s="2" t="s">
        <v>2407</v>
      </c>
      <c r="F858" s="2" t="n">
        <v>40</v>
      </c>
      <c r="G858" s="2" t="n">
        <v>120</v>
      </c>
      <c r="H858" s="2" t="s">
        <v>1689</v>
      </c>
      <c r="I858" s="2" t="n">
        <v>5</v>
      </c>
    </row>
    <row r="859" customFormat="false" ht="15" hidden="false" customHeight="false" outlineLevel="0" collapsed="false">
      <c r="A859" s="2" t="s">
        <v>891</v>
      </c>
      <c r="B859" s="2" t="s">
        <v>91</v>
      </c>
      <c r="C859" s="2" t="n">
        <v>7</v>
      </c>
      <c r="D859" s="2" t="s">
        <v>54</v>
      </c>
      <c r="E859" s="2" t="s">
        <v>2408</v>
      </c>
      <c r="F859" s="2" t="n">
        <v>3.5</v>
      </c>
      <c r="G859" s="2" t="n">
        <v>10.5</v>
      </c>
      <c r="H859" s="2" t="s">
        <v>1689</v>
      </c>
      <c r="I859" s="2" t="n">
        <v>6</v>
      </c>
    </row>
    <row r="860" customFormat="false" ht="15" hidden="false" customHeight="false" outlineLevel="0" collapsed="false">
      <c r="A860" s="2" t="s">
        <v>895</v>
      </c>
      <c r="B860" s="2" t="s">
        <v>81</v>
      </c>
      <c r="C860" s="2" t="n">
        <v>35</v>
      </c>
      <c r="D860" s="2" t="s">
        <v>54</v>
      </c>
      <c r="E860" s="2" t="s">
        <v>2404</v>
      </c>
      <c r="F860" s="2" t="n">
        <v>17.5</v>
      </c>
      <c r="G860" s="2" t="n">
        <v>52.5</v>
      </c>
      <c r="H860" s="2" t="s">
        <v>1689</v>
      </c>
      <c r="I860" s="2" t="n">
        <v>1</v>
      </c>
    </row>
    <row r="861" customFormat="false" ht="15" hidden="false" customHeight="false" outlineLevel="0" collapsed="false">
      <c r="A861" s="2" t="s">
        <v>895</v>
      </c>
      <c r="B861" s="2" t="s">
        <v>74</v>
      </c>
      <c r="C861" s="2" t="n">
        <v>100</v>
      </c>
      <c r="D861" s="2" t="s">
        <v>76</v>
      </c>
      <c r="E861" s="2" t="s">
        <v>1702</v>
      </c>
      <c r="F861" s="2" t="n">
        <v>50</v>
      </c>
      <c r="G861" s="2" t="n">
        <v>150</v>
      </c>
      <c r="H861" s="2" t="s">
        <v>1689</v>
      </c>
      <c r="I861" s="2" t="n">
        <v>2</v>
      </c>
    </row>
    <row r="862" customFormat="false" ht="15" hidden="false" customHeight="false" outlineLevel="0" collapsed="false">
      <c r="A862" s="2" t="s">
        <v>895</v>
      </c>
      <c r="B862" s="2" t="s">
        <v>67</v>
      </c>
      <c r="C862" s="2" t="n">
        <v>150</v>
      </c>
      <c r="D862" s="2" t="s">
        <v>54</v>
      </c>
      <c r="E862" s="2" t="s">
        <v>2409</v>
      </c>
      <c r="F862" s="2" t="n">
        <v>75</v>
      </c>
      <c r="G862" s="2" t="n">
        <v>225</v>
      </c>
      <c r="H862" s="2" t="s">
        <v>1693</v>
      </c>
      <c r="I862" s="2" t="n">
        <v>3</v>
      </c>
    </row>
    <row r="863" customFormat="false" ht="15" hidden="false" customHeight="false" outlineLevel="0" collapsed="false">
      <c r="A863" s="2" t="s">
        <v>895</v>
      </c>
      <c r="B863" s="2" t="s">
        <v>159</v>
      </c>
      <c r="C863" s="2" t="n">
        <v>1</v>
      </c>
      <c r="D863" s="2" t="s">
        <v>1687</v>
      </c>
      <c r="E863" s="2" t="s">
        <v>2410</v>
      </c>
      <c r="F863" s="2"/>
      <c r="G863" s="2" t="n">
        <v>2</v>
      </c>
      <c r="H863" s="2" t="s">
        <v>1689</v>
      </c>
      <c r="I863" s="2" t="n">
        <v>4</v>
      </c>
    </row>
    <row r="864" customFormat="false" ht="15" hidden="false" customHeight="false" outlineLevel="0" collapsed="false">
      <c r="A864" s="2" t="s">
        <v>895</v>
      </c>
      <c r="B864" s="2" t="s">
        <v>367</v>
      </c>
      <c r="C864" s="2" t="n">
        <v>1</v>
      </c>
      <c r="D864" s="2" t="s">
        <v>76</v>
      </c>
      <c r="E864" s="2" t="s">
        <v>2411</v>
      </c>
      <c r="F864" s="2"/>
      <c r="G864" s="2" t="n">
        <v>2</v>
      </c>
      <c r="H864" s="2" t="s">
        <v>1689</v>
      </c>
      <c r="I864" s="2" t="n">
        <v>5</v>
      </c>
    </row>
    <row r="865" customFormat="false" ht="15" hidden="false" customHeight="false" outlineLevel="0" collapsed="false">
      <c r="A865" s="2" t="s">
        <v>895</v>
      </c>
      <c r="B865" s="2" t="s">
        <v>271</v>
      </c>
      <c r="C865" s="2" t="n">
        <v>1</v>
      </c>
      <c r="D865" s="2" t="s">
        <v>54</v>
      </c>
      <c r="E865" s="2" t="s">
        <v>1824</v>
      </c>
      <c r="F865" s="2" t="n">
        <v>0.5</v>
      </c>
      <c r="G865" s="2" t="n">
        <v>1.5</v>
      </c>
      <c r="H865" s="2" t="s">
        <v>1689</v>
      </c>
      <c r="I865" s="2" t="n">
        <v>6</v>
      </c>
    </row>
    <row r="866" customFormat="false" ht="15" hidden="false" customHeight="false" outlineLevel="0" collapsed="false">
      <c r="A866" s="2" t="s">
        <v>895</v>
      </c>
      <c r="B866" s="2" t="s">
        <v>67</v>
      </c>
      <c r="C866" s="2" t="n">
        <v>50</v>
      </c>
      <c r="D866" s="2" t="s">
        <v>54</v>
      </c>
      <c r="E866" s="2" t="s">
        <v>2412</v>
      </c>
      <c r="F866" s="2" t="n">
        <v>25</v>
      </c>
      <c r="G866" s="2" t="n">
        <v>75</v>
      </c>
      <c r="H866" s="2" t="s">
        <v>1693</v>
      </c>
      <c r="I866" s="2" t="n">
        <v>7</v>
      </c>
    </row>
    <row r="867" customFormat="false" ht="15" hidden="false" customHeight="false" outlineLevel="0" collapsed="false">
      <c r="A867" s="2" t="s">
        <v>895</v>
      </c>
      <c r="B867" s="2" t="s">
        <v>384</v>
      </c>
      <c r="C867" s="2" t="n">
        <v>40</v>
      </c>
      <c r="D867" s="2" t="s">
        <v>54</v>
      </c>
      <c r="E867" s="2" t="s">
        <v>2413</v>
      </c>
      <c r="F867" s="2" t="n">
        <v>20</v>
      </c>
      <c r="G867" s="2" t="n">
        <v>60</v>
      </c>
      <c r="H867" s="2" t="s">
        <v>1689</v>
      </c>
      <c r="I867" s="2" t="n">
        <v>8</v>
      </c>
    </row>
    <row r="868" customFormat="false" ht="15" hidden="false" customHeight="false" outlineLevel="0" collapsed="false">
      <c r="A868" s="2" t="s">
        <v>895</v>
      </c>
      <c r="B868" s="2" t="s">
        <v>154</v>
      </c>
      <c r="C868" s="2" t="n">
        <v>8</v>
      </c>
      <c r="D868" s="2" t="s">
        <v>54</v>
      </c>
      <c r="E868" s="2" t="s">
        <v>2414</v>
      </c>
      <c r="F868" s="2" t="n">
        <v>4</v>
      </c>
      <c r="G868" s="2" t="n">
        <v>12</v>
      </c>
      <c r="H868" s="2" t="s">
        <v>1700</v>
      </c>
      <c r="I868" s="2" t="n">
        <v>9</v>
      </c>
    </row>
    <row r="869" customFormat="false" ht="15" hidden="false" customHeight="false" outlineLevel="0" collapsed="false">
      <c r="A869" s="2" t="s">
        <v>899</v>
      </c>
      <c r="B869" s="2" t="s">
        <v>454</v>
      </c>
      <c r="C869" s="2" t="n">
        <v>300</v>
      </c>
      <c r="D869" s="2" t="s">
        <v>54</v>
      </c>
      <c r="E869" s="2" t="s">
        <v>2415</v>
      </c>
      <c r="F869" s="2" t="n">
        <v>150</v>
      </c>
      <c r="G869" s="2" t="n">
        <v>450</v>
      </c>
      <c r="H869" s="2" t="s">
        <v>1689</v>
      </c>
      <c r="I869" s="2" t="n">
        <v>1</v>
      </c>
    </row>
    <row r="870" customFormat="false" ht="15" hidden="false" customHeight="false" outlineLevel="0" collapsed="false">
      <c r="A870" s="2" t="s">
        <v>899</v>
      </c>
      <c r="B870" s="2" t="s">
        <v>422</v>
      </c>
      <c r="C870" s="2" t="n">
        <v>400</v>
      </c>
      <c r="D870" s="2" t="s">
        <v>54</v>
      </c>
      <c r="E870" s="2" t="s">
        <v>2416</v>
      </c>
      <c r="F870" s="2" t="n">
        <v>200</v>
      </c>
      <c r="G870" s="2" t="n">
        <v>600</v>
      </c>
      <c r="H870" s="2" t="s">
        <v>1689</v>
      </c>
      <c r="I870" s="2" t="n">
        <v>2</v>
      </c>
    </row>
    <row r="871" customFormat="false" ht="15" hidden="false" customHeight="false" outlineLevel="0" collapsed="false">
      <c r="A871" s="2" t="s">
        <v>899</v>
      </c>
      <c r="B871" s="2" t="s">
        <v>458</v>
      </c>
      <c r="C871" s="2" t="n">
        <v>75</v>
      </c>
      <c r="D871" s="2" t="s">
        <v>54</v>
      </c>
      <c r="E871" s="2" t="s">
        <v>2417</v>
      </c>
      <c r="F871" s="2" t="n">
        <v>37.5</v>
      </c>
      <c r="G871" s="2" t="n">
        <v>112.5</v>
      </c>
      <c r="H871" s="2" t="s">
        <v>1689</v>
      </c>
      <c r="I871" s="2" t="n">
        <v>3</v>
      </c>
    </row>
    <row r="872" customFormat="false" ht="15" hidden="false" customHeight="false" outlineLevel="0" collapsed="false">
      <c r="A872" s="2" t="s">
        <v>899</v>
      </c>
      <c r="B872" s="2" t="s">
        <v>312</v>
      </c>
      <c r="C872" s="2" t="n">
        <v>2</v>
      </c>
      <c r="D872" s="2" t="s">
        <v>1687</v>
      </c>
      <c r="E872" s="2" t="s">
        <v>2418</v>
      </c>
      <c r="F872" s="2" t="n">
        <v>1</v>
      </c>
      <c r="G872" s="2" t="n">
        <v>3</v>
      </c>
      <c r="H872" s="2" t="s">
        <v>1689</v>
      </c>
      <c r="I872" s="2" t="n">
        <v>4</v>
      </c>
    </row>
    <row r="873" customFormat="false" ht="15" hidden="false" customHeight="false" outlineLevel="0" collapsed="false">
      <c r="A873" s="2" t="s">
        <v>899</v>
      </c>
      <c r="B873" s="2" t="s">
        <v>506</v>
      </c>
      <c r="C873" s="2" t="n">
        <v>300</v>
      </c>
      <c r="D873" s="2" t="s">
        <v>76</v>
      </c>
      <c r="E873" s="2" t="s">
        <v>2419</v>
      </c>
      <c r="F873" s="2" t="n">
        <v>150</v>
      </c>
      <c r="G873" s="2" t="n">
        <v>450</v>
      </c>
      <c r="H873" s="2" t="s">
        <v>1693</v>
      </c>
      <c r="I873" s="2" t="n">
        <v>5</v>
      </c>
    </row>
    <row r="874" customFormat="false" ht="15" hidden="false" customHeight="false" outlineLevel="0" collapsed="false">
      <c r="A874" s="2" t="s">
        <v>899</v>
      </c>
      <c r="B874" s="2" t="s">
        <v>276</v>
      </c>
      <c r="C874" s="2" t="n">
        <v>30</v>
      </c>
      <c r="D874" s="2" t="s">
        <v>54</v>
      </c>
      <c r="E874" s="2" t="s">
        <v>2420</v>
      </c>
      <c r="F874" s="2" t="n">
        <v>15</v>
      </c>
      <c r="G874" s="2" t="n">
        <v>45</v>
      </c>
      <c r="H874" s="2" t="s">
        <v>1689</v>
      </c>
      <c r="I874" s="2" t="n">
        <v>6</v>
      </c>
    </row>
    <row r="875" customFormat="false" ht="15" hidden="false" customHeight="false" outlineLevel="0" collapsed="false">
      <c r="A875" s="2" t="s">
        <v>899</v>
      </c>
      <c r="B875" s="2" t="s">
        <v>129</v>
      </c>
      <c r="C875" s="2" t="n">
        <v>4.5</v>
      </c>
      <c r="D875" s="2" t="s">
        <v>54</v>
      </c>
      <c r="E875" s="2" t="s">
        <v>2421</v>
      </c>
      <c r="F875" s="2" t="n">
        <v>2.25</v>
      </c>
      <c r="G875" s="2" t="n">
        <v>6.75</v>
      </c>
      <c r="H875" s="2" t="s">
        <v>1700</v>
      </c>
      <c r="I875" s="2" t="n">
        <v>7</v>
      </c>
    </row>
    <row r="876" customFormat="false" ht="15" hidden="false" customHeight="false" outlineLevel="0" collapsed="false">
      <c r="A876" s="2" t="s">
        <v>899</v>
      </c>
      <c r="B876" s="2" t="s">
        <v>301</v>
      </c>
      <c r="C876" s="2" t="n">
        <v>5</v>
      </c>
      <c r="D876" s="2" t="s">
        <v>54</v>
      </c>
      <c r="E876" s="2" t="s">
        <v>2422</v>
      </c>
      <c r="F876" s="2" t="n">
        <v>2.5</v>
      </c>
      <c r="G876" s="2" t="n">
        <v>7.5</v>
      </c>
      <c r="H876" s="2" t="s">
        <v>1689</v>
      </c>
      <c r="I876" s="2" t="n">
        <v>8</v>
      </c>
    </row>
    <row r="877" customFormat="false" ht="15" hidden="false" customHeight="false" outlineLevel="0" collapsed="false">
      <c r="A877" s="2" t="s">
        <v>899</v>
      </c>
      <c r="B877" s="2" t="s">
        <v>556</v>
      </c>
      <c r="C877" s="2" t="n">
        <v>2</v>
      </c>
      <c r="D877" s="2" t="s">
        <v>1687</v>
      </c>
      <c r="E877" s="2" t="s">
        <v>2423</v>
      </c>
      <c r="F877" s="2" t="n">
        <v>1</v>
      </c>
      <c r="G877" s="2" t="n">
        <v>3</v>
      </c>
      <c r="H877" s="2" t="s">
        <v>1689</v>
      </c>
      <c r="I877" s="2" t="n">
        <v>9</v>
      </c>
    </row>
    <row r="878" customFormat="false" ht="15" hidden="false" customHeight="false" outlineLevel="0" collapsed="false">
      <c r="A878" s="2" t="s">
        <v>899</v>
      </c>
      <c r="B878" s="2" t="s">
        <v>462</v>
      </c>
      <c r="C878" s="2" t="n">
        <v>40</v>
      </c>
      <c r="D878" s="2" t="s">
        <v>54</v>
      </c>
      <c r="E878" s="2" t="s">
        <v>2424</v>
      </c>
      <c r="F878" s="2" t="n">
        <v>20</v>
      </c>
      <c r="G878" s="2" t="n">
        <v>60</v>
      </c>
      <c r="H878" s="2" t="s">
        <v>1693</v>
      </c>
      <c r="I878" s="2" t="n">
        <v>10</v>
      </c>
    </row>
    <row r="879" customFormat="false" ht="15" hidden="false" customHeight="false" outlineLevel="0" collapsed="false">
      <c r="A879" s="2" t="s">
        <v>899</v>
      </c>
      <c r="B879" s="2" t="s">
        <v>480</v>
      </c>
      <c r="C879" s="2" t="n">
        <v>1</v>
      </c>
      <c r="D879" s="2" t="s">
        <v>54</v>
      </c>
      <c r="E879" s="2" t="s">
        <v>132</v>
      </c>
      <c r="F879" s="2" t="n">
        <v>0.5</v>
      </c>
      <c r="G879" s="2" t="n">
        <v>1.5</v>
      </c>
      <c r="H879" s="2" t="s">
        <v>1689</v>
      </c>
      <c r="I879" s="2" t="n">
        <v>11</v>
      </c>
    </row>
    <row r="880" customFormat="false" ht="15" hidden="false" customHeight="false" outlineLevel="0" collapsed="false">
      <c r="A880" s="2" t="s">
        <v>904</v>
      </c>
      <c r="B880" s="2" t="s">
        <v>221</v>
      </c>
      <c r="C880" s="2" t="n">
        <v>120</v>
      </c>
      <c r="D880" s="2" t="s">
        <v>54</v>
      </c>
      <c r="E880" s="2" t="s">
        <v>2425</v>
      </c>
      <c r="F880" s="2" t="n">
        <v>60</v>
      </c>
      <c r="G880" s="2" t="n">
        <v>180</v>
      </c>
      <c r="H880" s="2" t="s">
        <v>1693</v>
      </c>
      <c r="I880" s="2" t="n">
        <v>1</v>
      </c>
    </row>
    <row r="881" customFormat="false" ht="15" hidden="false" customHeight="false" outlineLevel="0" collapsed="false">
      <c r="A881" s="2" t="s">
        <v>904</v>
      </c>
      <c r="B881" s="2" t="s">
        <v>506</v>
      </c>
      <c r="C881" s="2" t="n">
        <v>600</v>
      </c>
      <c r="D881" s="2" t="s">
        <v>76</v>
      </c>
      <c r="E881" s="2" t="s">
        <v>2426</v>
      </c>
      <c r="F881" s="2" t="n">
        <v>300</v>
      </c>
      <c r="G881" s="2" t="n">
        <v>900</v>
      </c>
      <c r="H881" s="2" t="s">
        <v>1693</v>
      </c>
      <c r="I881" s="2" t="n">
        <v>2</v>
      </c>
    </row>
    <row r="882" customFormat="false" ht="15" hidden="false" customHeight="false" outlineLevel="0" collapsed="false">
      <c r="A882" s="2" t="s">
        <v>904</v>
      </c>
      <c r="B882" s="2" t="s">
        <v>516</v>
      </c>
      <c r="C882" s="2" t="n">
        <v>80</v>
      </c>
      <c r="D882" s="2" t="s">
        <v>54</v>
      </c>
      <c r="E882" s="2" t="s">
        <v>2427</v>
      </c>
      <c r="F882" s="2" t="n">
        <v>40</v>
      </c>
      <c r="G882" s="2" t="n">
        <v>120</v>
      </c>
      <c r="H882" s="2" t="s">
        <v>1689</v>
      </c>
      <c r="I882" s="2" t="n">
        <v>3</v>
      </c>
    </row>
    <row r="883" customFormat="false" ht="15" hidden="false" customHeight="false" outlineLevel="0" collapsed="false">
      <c r="A883" s="2" t="s">
        <v>904</v>
      </c>
      <c r="B883" s="2" t="s">
        <v>388</v>
      </c>
      <c r="C883" s="2" t="n">
        <v>50</v>
      </c>
      <c r="D883" s="2" t="s">
        <v>54</v>
      </c>
      <c r="E883" s="2" t="s">
        <v>2428</v>
      </c>
      <c r="F883" s="2" t="n">
        <v>25</v>
      </c>
      <c r="G883" s="2" t="n">
        <v>75</v>
      </c>
      <c r="H883" s="2" t="s">
        <v>1689</v>
      </c>
      <c r="I883" s="2" t="n">
        <v>4</v>
      </c>
    </row>
    <row r="884" customFormat="false" ht="15" hidden="false" customHeight="false" outlineLevel="0" collapsed="false">
      <c r="A884" s="2" t="s">
        <v>904</v>
      </c>
      <c r="B884" s="2" t="s">
        <v>110</v>
      </c>
      <c r="C884" s="2" t="n">
        <v>1</v>
      </c>
      <c r="D884" s="2" t="s">
        <v>1687</v>
      </c>
      <c r="E884" s="2" t="s">
        <v>1853</v>
      </c>
      <c r="F884" s="2"/>
      <c r="G884" s="2" t="n">
        <v>2</v>
      </c>
      <c r="H884" s="2" t="s">
        <v>1693</v>
      </c>
      <c r="I884" s="2" t="n">
        <v>5</v>
      </c>
    </row>
    <row r="885" customFormat="false" ht="15" hidden="false" customHeight="false" outlineLevel="0" collapsed="false">
      <c r="A885" s="2" t="s">
        <v>904</v>
      </c>
      <c r="B885" s="2" t="s">
        <v>500</v>
      </c>
      <c r="C885" s="2" t="n">
        <v>2</v>
      </c>
      <c r="D885" s="2" t="s">
        <v>1687</v>
      </c>
      <c r="E885" s="2" t="s">
        <v>2429</v>
      </c>
      <c r="F885" s="2" t="n">
        <v>1</v>
      </c>
      <c r="G885" s="2" t="n">
        <v>3</v>
      </c>
      <c r="H885" s="2" t="s">
        <v>1689</v>
      </c>
      <c r="I885" s="2" t="n">
        <v>6</v>
      </c>
    </row>
    <row r="886" customFormat="false" ht="15" hidden="false" customHeight="false" outlineLevel="0" collapsed="false">
      <c r="A886" s="2" t="s">
        <v>904</v>
      </c>
      <c r="B886" s="2" t="s">
        <v>312</v>
      </c>
      <c r="C886" s="2" t="n">
        <v>1</v>
      </c>
      <c r="D886" s="2" t="s">
        <v>1687</v>
      </c>
      <c r="E886" s="2" t="s">
        <v>2430</v>
      </c>
      <c r="F886" s="2"/>
      <c r="G886" s="2" t="n">
        <v>2</v>
      </c>
      <c r="H886" s="2" t="s">
        <v>1689</v>
      </c>
      <c r="I886" s="2" t="n">
        <v>7</v>
      </c>
    </row>
    <row r="887" customFormat="false" ht="15" hidden="false" customHeight="false" outlineLevel="0" collapsed="false">
      <c r="A887" s="2" t="s">
        <v>904</v>
      </c>
      <c r="B887" s="2" t="s">
        <v>299</v>
      </c>
      <c r="C887" s="2" t="n">
        <v>1</v>
      </c>
      <c r="D887" s="2" t="s">
        <v>54</v>
      </c>
      <c r="E887" s="2" t="s">
        <v>2431</v>
      </c>
      <c r="F887" s="2"/>
      <c r="G887" s="2" t="n">
        <v>2</v>
      </c>
      <c r="H887" s="2" t="s">
        <v>1689</v>
      </c>
      <c r="I887" s="2" t="n">
        <v>8</v>
      </c>
    </row>
    <row r="888" customFormat="false" ht="15" hidden="false" customHeight="false" outlineLevel="0" collapsed="false">
      <c r="A888" s="2" t="s">
        <v>904</v>
      </c>
      <c r="B888" s="2" t="s">
        <v>496</v>
      </c>
      <c r="C888" s="2" t="n">
        <v>5</v>
      </c>
      <c r="D888" s="2" t="s">
        <v>76</v>
      </c>
      <c r="E888" s="2" t="s">
        <v>2432</v>
      </c>
      <c r="F888" s="2" t="n">
        <v>2.5</v>
      </c>
      <c r="G888" s="2" t="n">
        <v>7.5</v>
      </c>
      <c r="H888" s="2" t="s">
        <v>1693</v>
      </c>
      <c r="I888" s="2" t="n">
        <v>9</v>
      </c>
    </row>
    <row r="889" customFormat="false" ht="15" hidden="false" customHeight="false" outlineLevel="0" collapsed="false">
      <c r="A889" s="2" t="s">
        <v>904</v>
      </c>
      <c r="B889" s="2" t="s">
        <v>480</v>
      </c>
      <c r="C889" s="2" t="n">
        <v>1</v>
      </c>
      <c r="D889" s="2" t="s">
        <v>54</v>
      </c>
      <c r="E889" s="2" t="s">
        <v>2433</v>
      </c>
      <c r="F889" s="2" t="n">
        <v>0.5</v>
      </c>
      <c r="G889" s="2" t="n">
        <v>1.5</v>
      </c>
      <c r="H889" s="2" t="s">
        <v>1689</v>
      </c>
      <c r="I889" s="2" t="n">
        <v>10</v>
      </c>
    </row>
    <row r="890" customFormat="false" ht="15" hidden="false" customHeight="false" outlineLevel="0" collapsed="false">
      <c r="A890" s="2" t="s">
        <v>909</v>
      </c>
      <c r="B890" s="2" t="s">
        <v>308</v>
      </c>
      <c r="C890" s="2" t="n">
        <v>250</v>
      </c>
      <c r="D890" s="2" t="s">
        <v>54</v>
      </c>
      <c r="E890" s="2" t="s">
        <v>2434</v>
      </c>
      <c r="F890" s="2" t="n">
        <v>125</v>
      </c>
      <c r="G890" s="2" t="n">
        <v>375</v>
      </c>
      <c r="H890" s="2" t="s">
        <v>1689</v>
      </c>
      <c r="I890" s="2" t="n">
        <v>1</v>
      </c>
    </row>
    <row r="891" customFormat="false" ht="15" hidden="false" customHeight="false" outlineLevel="0" collapsed="false">
      <c r="A891" s="2" t="s">
        <v>909</v>
      </c>
      <c r="B891" s="2" t="s">
        <v>506</v>
      </c>
      <c r="C891" s="2" t="n">
        <v>500</v>
      </c>
      <c r="D891" s="2" t="s">
        <v>76</v>
      </c>
      <c r="E891" s="2" t="s">
        <v>2435</v>
      </c>
      <c r="F891" s="2" t="n">
        <v>250</v>
      </c>
      <c r="G891" s="2" t="n">
        <v>750</v>
      </c>
      <c r="H891" s="2" t="s">
        <v>1693</v>
      </c>
      <c r="I891" s="2" t="n">
        <v>2</v>
      </c>
    </row>
    <row r="892" customFormat="false" ht="15" hidden="false" customHeight="false" outlineLevel="0" collapsed="false">
      <c r="A892" s="2" t="s">
        <v>909</v>
      </c>
      <c r="B892" s="2" t="s">
        <v>490</v>
      </c>
      <c r="C892" s="2" t="n">
        <v>40</v>
      </c>
      <c r="D892" s="2" t="s">
        <v>54</v>
      </c>
      <c r="E892" s="2" t="s">
        <v>2436</v>
      </c>
      <c r="F892" s="2" t="n">
        <v>20</v>
      </c>
      <c r="G892" s="2" t="n">
        <v>60</v>
      </c>
      <c r="H892" s="2" t="s">
        <v>1689</v>
      </c>
      <c r="I892" s="2" t="n">
        <v>3</v>
      </c>
    </row>
    <row r="893" customFormat="false" ht="15" hidden="false" customHeight="false" outlineLevel="0" collapsed="false">
      <c r="A893" s="2" t="s">
        <v>909</v>
      </c>
      <c r="B893" s="2" t="s">
        <v>312</v>
      </c>
      <c r="C893" s="2" t="n">
        <v>1</v>
      </c>
      <c r="D893" s="2" t="s">
        <v>1687</v>
      </c>
      <c r="E893" s="2" t="s">
        <v>2430</v>
      </c>
      <c r="F893" s="2"/>
      <c r="G893" s="2" t="n">
        <v>2</v>
      </c>
      <c r="H893" s="2" t="s">
        <v>1689</v>
      </c>
      <c r="I893" s="2" t="n">
        <v>4</v>
      </c>
    </row>
    <row r="894" customFormat="false" ht="15" hidden="false" customHeight="false" outlineLevel="0" collapsed="false">
      <c r="A894" s="2" t="s">
        <v>909</v>
      </c>
      <c r="B894" s="2" t="s">
        <v>301</v>
      </c>
      <c r="C894" s="2" t="n">
        <v>5</v>
      </c>
      <c r="D894" s="2" t="s">
        <v>54</v>
      </c>
      <c r="E894" s="2" t="s">
        <v>2437</v>
      </c>
      <c r="F894" s="2" t="n">
        <v>2.5</v>
      </c>
      <c r="G894" s="2" t="n">
        <v>7.5</v>
      </c>
      <c r="H894" s="2" t="s">
        <v>1689</v>
      </c>
      <c r="I894" s="2" t="n">
        <v>5</v>
      </c>
    </row>
    <row r="895" customFormat="false" ht="15" hidden="false" customHeight="false" outlineLevel="0" collapsed="false">
      <c r="A895" s="2" t="s">
        <v>909</v>
      </c>
      <c r="B895" s="2" t="s">
        <v>67</v>
      </c>
      <c r="C895" s="2" t="n">
        <v>30</v>
      </c>
      <c r="D895" s="2" t="s">
        <v>54</v>
      </c>
      <c r="E895" s="2" t="s">
        <v>2438</v>
      </c>
      <c r="F895" s="2" t="n">
        <v>15</v>
      </c>
      <c r="G895" s="2" t="n">
        <v>45</v>
      </c>
      <c r="H895" s="2" t="s">
        <v>1693</v>
      </c>
      <c r="I895" s="2" t="n">
        <v>6</v>
      </c>
    </row>
    <row r="896" customFormat="false" ht="15" hidden="false" customHeight="false" outlineLevel="0" collapsed="false">
      <c r="A896" s="2" t="s">
        <v>909</v>
      </c>
      <c r="B896" s="2" t="s">
        <v>110</v>
      </c>
      <c r="C896" s="2" t="n">
        <v>1</v>
      </c>
      <c r="D896" s="2" t="s">
        <v>1687</v>
      </c>
      <c r="E896" s="2" t="s">
        <v>1853</v>
      </c>
      <c r="F896" s="2"/>
      <c r="G896" s="2" t="n">
        <v>2</v>
      </c>
      <c r="H896" s="2" t="s">
        <v>1693</v>
      </c>
      <c r="I896" s="2" t="n">
        <v>7</v>
      </c>
    </row>
    <row r="897" customFormat="false" ht="15" hidden="false" customHeight="false" outlineLevel="0" collapsed="false">
      <c r="A897" s="2" t="s">
        <v>909</v>
      </c>
      <c r="B897" s="2" t="s">
        <v>129</v>
      </c>
      <c r="C897" s="2" t="n">
        <v>4.5</v>
      </c>
      <c r="D897" s="2" t="s">
        <v>54</v>
      </c>
      <c r="E897" s="2" t="s">
        <v>2421</v>
      </c>
      <c r="F897" s="2" t="n">
        <v>2.25</v>
      </c>
      <c r="G897" s="2" t="n">
        <v>6.75</v>
      </c>
      <c r="H897" s="2" t="s">
        <v>1700</v>
      </c>
      <c r="I897" s="2" t="n">
        <v>8</v>
      </c>
    </row>
    <row r="898" customFormat="false" ht="15" hidden="false" customHeight="false" outlineLevel="0" collapsed="false">
      <c r="A898" s="2" t="s">
        <v>909</v>
      </c>
      <c r="B898" s="2" t="s">
        <v>480</v>
      </c>
      <c r="C898" s="2" t="n">
        <v>1</v>
      </c>
      <c r="D898" s="2" t="s">
        <v>54</v>
      </c>
      <c r="E898" s="2" t="s">
        <v>132</v>
      </c>
      <c r="F898" s="2" t="n">
        <v>0.5</v>
      </c>
      <c r="G898" s="2" t="n">
        <v>1.5</v>
      </c>
      <c r="H898" s="2" t="s">
        <v>1689</v>
      </c>
      <c r="I898" s="2" t="n">
        <v>9</v>
      </c>
    </row>
    <row r="899" customFormat="false" ht="15" hidden="false" customHeight="false" outlineLevel="0" collapsed="false">
      <c r="A899" s="2" t="s">
        <v>913</v>
      </c>
      <c r="B899" s="2" t="s">
        <v>214</v>
      </c>
      <c r="C899" s="2" t="n">
        <v>300</v>
      </c>
      <c r="D899" s="2" t="s">
        <v>54</v>
      </c>
      <c r="E899" s="2" t="s">
        <v>2439</v>
      </c>
      <c r="F899" s="2" t="n">
        <v>150</v>
      </c>
      <c r="G899" s="2" t="n">
        <v>450</v>
      </c>
      <c r="H899" s="2" t="s">
        <v>1689</v>
      </c>
      <c r="I899" s="2" t="n">
        <v>1</v>
      </c>
    </row>
    <row r="900" customFormat="false" ht="15" hidden="false" customHeight="false" outlineLevel="0" collapsed="false">
      <c r="A900" s="2" t="s">
        <v>913</v>
      </c>
      <c r="B900" s="2" t="s">
        <v>129</v>
      </c>
      <c r="C900" s="2" t="n">
        <v>4.5</v>
      </c>
      <c r="D900" s="2" t="s">
        <v>54</v>
      </c>
      <c r="E900" s="2" t="s">
        <v>2421</v>
      </c>
      <c r="F900" s="2" t="n">
        <v>2.25</v>
      </c>
      <c r="G900" s="2" t="n">
        <v>6.75</v>
      </c>
      <c r="H900" s="2" t="s">
        <v>1700</v>
      </c>
      <c r="I900" s="2" t="n">
        <v>2</v>
      </c>
    </row>
    <row r="901" customFormat="false" ht="15" hidden="false" customHeight="false" outlineLevel="0" collapsed="false">
      <c r="A901" s="2" t="s">
        <v>913</v>
      </c>
      <c r="B901" s="2" t="s">
        <v>506</v>
      </c>
      <c r="C901" s="2" t="n">
        <v>500</v>
      </c>
      <c r="D901" s="2" t="s">
        <v>76</v>
      </c>
      <c r="E901" s="2" t="s">
        <v>2435</v>
      </c>
      <c r="F901" s="2" t="n">
        <v>250</v>
      </c>
      <c r="G901" s="2" t="n">
        <v>750</v>
      </c>
      <c r="H901" s="2" t="s">
        <v>1693</v>
      </c>
      <c r="I901" s="2" t="n">
        <v>3</v>
      </c>
    </row>
    <row r="902" customFormat="false" ht="15" hidden="false" customHeight="false" outlineLevel="0" collapsed="false">
      <c r="A902" s="2" t="s">
        <v>913</v>
      </c>
      <c r="B902" s="2" t="s">
        <v>554</v>
      </c>
      <c r="C902" s="2" t="n">
        <v>31.5</v>
      </c>
      <c r="D902" s="2" t="s">
        <v>54</v>
      </c>
      <c r="E902" s="2" t="s">
        <v>2440</v>
      </c>
      <c r="F902" s="2" t="n">
        <v>15.75</v>
      </c>
      <c r="G902" s="2" t="n">
        <v>47.25</v>
      </c>
      <c r="H902" s="2" t="s">
        <v>1689</v>
      </c>
      <c r="I902" s="2" t="n">
        <v>4</v>
      </c>
    </row>
    <row r="903" customFormat="false" ht="15" hidden="false" customHeight="false" outlineLevel="0" collapsed="false">
      <c r="A903" s="2" t="s">
        <v>913</v>
      </c>
      <c r="B903" s="2" t="s">
        <v>492</v>
      </c>
      <c r="C903" s="2" t="n">
        <v>100</v>
      </c>
      <c r="D903" s="2" t="s">
        <v>54</v>
      </c>
      <c r="E903" s="2" t="s">
        <v>2441</v>
      </c>
      <c r="F903" s="2" t="n">
        <v>50</v>
      </c>
      <c r="G903" s="2" t="n">
        <v>150</v>
      </c>
      <c r="H903" s="2" t="s">
        <v>1693</v>
      </c>
      <c r="I903" s="2" t="n">
        <v>5</v>
      </c>
    </row>
    <row r="904" customFormat="false" ht="15" hidden="false" customHeight="false" outlineLevel="0" collapsed="false">
      <c r="A904" s="2" t="s">
        <v>913</v>
      </c>
      <c r="B904" s="2" t="s">
        <v>312</v>
      </c>
      <c r="C904" s="2" t="n">
        <v>1</v>
      </c>
      <c r="D904" s="2" t="s">
        <v>1687</v>
      </c>
      <c r="E904" s="2" t="s">
        <v>2430</v>
      </c>
      <c r="F904" s="2"/>
      <c r="G904" s="2" t="n">
        <v>2</v>
      </c>
      <c r="H904" s="2" t="s">
        <v>1689</v>
      </c>
      <c r="I904" s="2" t="n">
        <v>6</v>
      </c>
    </row>
    <row r="905" customFormat="false" ht="15" hidden="false" customHeight="false" outlineLevel="0" collapsed="false">
      <c r="A905" s="2" t="s">
        <v>913</v>
      </c>
      <c r="B905" s="2" t="s">
        <v>299</v>
      </c>
      <c r="C905" s="2" t="n">
        <v>1</v>
      </c>
      <c r="D905" s="2" t="s">
        <v>54</v>
      </c>
      <c r="E905" s="2" t="s">
        <v>2431</v>
      </c>
      <c r="F905" s="2"/>
      <c r="G905" s="2" t="n">
        <v>2</v>
      </c>
      <c r="H905" s="2" t="s">
        <v>1689</v>
      </c>
      <c r="I905" s="2" t="n">
        <v>7</v>
      </c>
    </row>
    <row r="906" customFormat="false" ht="15" hidden="false" customHeight="false" outlineLevel="0" collapsed="false">
      <c r="A906" s="2" t="s">
        <v>913</v>
      </c>
      <c r="B906" s="2" t="s">
        <v>500</v>
      </c>
      <c r="C906" s="2" t="n">
        <v>1</v>
      </c>
      <c r="D906" s="2" t="s">
        <v>1687</v>
      </c>
      <c r="E906" s="2" t="s">
        <v>2442</v>
      </c>
      <c r="F906" s="2"/>
      <c r="G906" s="2" t="n">
        <v>2</v>
      </c>
      <c r="H906" s="2" t="s">
        <v>1689</v>
      </c>
      <c r="I906" s="2" t="n">
        <v>8</v>
      </c>
    </row>
    <row r="907" customFormat="false" ht="15" hidden="false" customHeight="false" outlineLevel="0" collapsed="false">
      <c r="A907" s="2" t="s">
        <v>913</v>
      </c>
      <c r="B907" s="2" t="s">
        <v>480</v>
      </c>
      <c r="C907" s="2" t="n">
        <v>1</v>
      </c>
      <c r="D907" s="2" t="s">
        <v>54</v>
      </c>
      <c r="E907" s="2" t="s">
        <v>132</v>
      </c>
      <c r="F907" s="2" t="n">
        <v>0.5</v>
      </c>
      <c r="G907" s="2" t="n">
        <v>1.5</v>
      </c>
      <c r="H907" s="2" t="s">
        <v>1689</v>
      </c>
      <c r="I907" s="2" t="n">
        <v>9</v>
      </c>
    </row>
    <row r="908" customFormat="false" ht="15" hidden="false" customHeight="false" outlineLevel="0" collapsed="false">
      <c r="A908" s="2" t="s">
        <v>917</v>
      </c>
      <c r="B908" s="2" t="s">
        <v>210</v>
      </c>
      <c r="C908" s="2" t="n">
        <v>400</v>
      </c>
      <c r="D908" s="2" t="s">
        <v>54</v>
      </c>
      <c r="E908" s="2" t="s">
        <v>2443</v>
      </c>
      <c r="F908" s="2" t="n">
        <v>200</v>
      </c>
      <c r="G908" s="2" t="n">
        <v>600</v>
      </c>
      <c r="H908" s="2" t="s">
        <v>1689</v>
      </c>
      <c r="I908" s="2" t="n">
        <v>1</v>
      </c>
    </row>
    <row r="909" customFormat="false" ht="15" hidden="false" customHeight="false" outlineLevel="0" collapsed="false">
      <c r="A909" s="2" t="s">
        <v>917</v>
      </c>
      <c r="B909" s="2" t="s">
        <v>129</v>
      </c>
      <c r="C909" s="2" t="n">
        <v>4.5</v>
      </c>
      <c r="D909" s="2" t="s">
        <v>54</v>
      </c>
      <c r="E909" s="2" t="s">
        <v>2421</v>
      </c>
      <c r="F909" s="2" t="n">
        <v>2.25</v>
      </c>
      <c r="G909" s="2" t="n">
        <v>6.75</v>
      </c>
      <c r="H909" s="2" t="s">
        <v>1700</v>
      </c>
      <c r="I909" s="2" t="n">
        <v>2</v>
      </c>
    </row>
    <row r="910" customFormat="false" ht="15" hidden="false" customHeight="false" outlineLevel="0" collapsed="false">
      <c r="A910" s="2" t="s">
        <v>917</v>
      </c>
      <c r="B910" s="2" t="s">
        <v>271</v>
      </c>
      <c r="C910" s="2" t="n">
        <v>1.25</v>
      </c>
      <c r="D910" s="2" t="s">
        <v>54</v>
      </c>
      <c r="E910" s="2" t="s">
        <v>2444</v>
      </c>
      <c r="F910" s="2" t="n">
        <v>0.62</v>
      </c>
      <c r="G910" s="2" t="n">
        <v>1.88</v>
      </c>
      <c r="H910" s="2" t="s">
        <v>1689</v>
      </c>
      <c r="I910" s="2" t="n">
        <v>3</v>
      </c>
    </row>
    <row r="911" customFormat="false" ht="15" hidden="false" customHeight="false" outlineLevel="0" collapsed="false">
      <c r="A911" s="2" t="s">
        <v>917</v>
      </c>
      <c r="B911" s="2" t="s">
        <v>409</v>
      </c>
      <c r="C911" s="2" t="n">
        <v>75</v>
      </c>
      <c r="D911" s="2" t="s">
        <v>54</v>
      </c>
      <c r="E911" s="2" t="s">
        <v>1969</v>
      </c>
      <c r="F911" s="2" t="n">
        <v>37.5</v>
      </c>
      <c r="G911" s="2" t="n">
        <v>112.5</v>
      </c>
      <c r="H911" s="2" t="s">
        <v>1689</v>
      </c>
      <c r="I911" s="2" t="n">
        <v>4</v>
      </c>
    </row>
    <row r="912" customFormat="false" ht="15" hidden="false" customHeight="false" outlineLevel="0" collapsed="false">
      <c r="A912" s="2" t="s">
        <v>917</v>
      </c>
      <c r="B912" s="2" t="s">
        <v>312</v>
      </c>
      <c r="C912" s="2" t="n">
        <v>1</v>
      </c>
      <c r="D912" s="2" t="s">
        <v>1687</v>
      </c>
      <c r="E912" s="2" t="s">
        <v>2430</v>
      </c>
      <c r="F912" s="2"/>
      <c r="G912" s="2" t="n">
        <v>2</v>
      </c>
      <c r="H912" s="2" t="s">
        <v>1689</v>
      </c>
      <c r="I912" s="2" t="n">
        <v>5</v>
      </c>
    </row>
    <row r="913" customFormat="false" ht="15" hidden="false" customHeight="false" outlineLevel="0" collapsed="false">
      <c r="A913" s="2" t="s">
        <v>917</v>
      </c>
      <c r="B913" s="2" t="s">
        <v>506</v>
      </c>
      <c r="C913" s="2" t="n">
        <v>500</v>
      </c>
      <c r="D913" s="2" t="s">
        <v>76</v>
      </c>
      <c r="E913" s="2" t="s">
        <v>2435</v>
      </c>
      <c r="F913" s="2" t="n">
        <v>250</v>
      </c>
      <c r="G913" s="2" t="n">
        <v>750</v>
      </c>
      <c r="H913" s="2" t="s">
        <v>1693</v>
      </c>
      <c r="I913" s="2" t="n">
        <v>6</v>
      </c>
    </row>
    <row r="914" customFormat="false" ht="15" hidden="false" customHeight="false" outlineLevel="0" collapsed="false">
      <c r="A914" s="2" t="s">
        <v>917</v>
      </c>
      <c r="B914" s="2" t="s">
        <v>327</v>
      </c>
      <c r="C914" s="2" t="n">
        <v>60</v>
      </c>
      <c r="D914" s="2" t="s">
        <v>54</v>
      </c>
      <c r="E914" s="2" t="s">
        <v>2445</v>
      </c>
      <c r="F914" s="2" t="n">
        <v>30</v>
      </c>
      <c r="G914" s="2" t="n">
        <v>90</v>
      </c>
      <c r="H914" s="2" t="s">
        <v>1700</v>
      </c>
      <c r="I914" s="2" t="n">
        <v>7</v>
      </c>
    </row>
    <row r="915" customFormat="false" ht="15" hidden="false" customHeight="false" outlineLevel="0" collapsed="false">
      <c r="A915" s="2" t="s">
        <v>917</v>
      </c>
      <c r="B915" s="2" t="s">
        <v>480</v>
      </c>
      <c r="C915" s="2" t="n">
        <v>1</v>
      </c>
      <c r="D915" s="2" t="s">
        <v>54</v>
      </c>
      <c r="E915" s="2" t="s">
        <v>132</v>
      </c>
      <c r="F915" s="2" t="n">
        <v>0.5</v>
      </c>
      <c r="G915" s="2" t="n">
        <v>1.5</v>
      </c>
      <c r="H915" s="2" t="s">
        <v>1689</v>
      </c>
      <c r="I915" s="2" t="n">
        <v>8</v>
      </c>
    </row>
    <row r="916" customFormat="false" ht="15" hidden="false" customHeight="false" outlineLevel="0" collapsed="false">
      <c r="A916" s="2" t="s">
        <v>921</v>
      </c>
      <c r="B916" s="2" t="s">
        <v>341</v>
      </c>
      <c r="C916" s="2" t="n">
        <v>150</v>
      </c>
      <c r="D916" s="2" t="s">
        <v>54</v>
      </c>
      <c r="E916" s="2" t="s">
        <v>2446</v>
      </c>
      <c r="F916" s="2" t="n">
        <v>75</v>
      </c>
      <c r="G916" s="2" t="n">
        <v>225</v>
      </c>
      <c r="H916" s="2" t="s">
        <v>1693</v>
      </c>
      <c r="I916" s="2" t="n">
        <v>1</v>
      </c>
    </row>
    <row r="917" customFormat="false" ht="15" hidden="false" customHeight="false" outlineLevel="0" collapsed="false">
      <c r="A917" s="2" t="s">
        <v>921</v>
      </c>
      <c r="B917" s="2" t="s">
        <v>560</v>
      </c>
      <c r="C917" s="2" t="n">
        <v>6</v>
      </c>
      <c r="D917" s="2" t="s">
        <v>1687</v>
      </c>
      <c r="E917" s="2" t="s">
        <v>2447</v>
      </c>
      <c r="F917" s="2" t="n">
        <v>5</v>
      </c>
      <c r="G917" s="2" t="n">
        <v>7</v>
      </c>
      <c r="H917" s="2" t="s">
        <v>1689</v>
      </c>
      <c r="I917" s="2" t="n">
        <v>2</v>
      </c>
    </row>
    <row r="918" customFormat="false" ht="15" hidden="false" customHeight="false" outlineLevel="0" collapsed="false">
      <c r="A918" s="2" t="s">
        <v>921</v>
      </c>
      <c r="B918" s="2" t="s">
        <v>299</v>
      </c>
      <c r="C918" s="2" t="n">
        <v>1</v>
      </c>
      <c r="D918" s="2" t="s">
        <v>54</v>
      </c>
      <c r="E918" s="2" t="s">
        <v>2431</v>
      </c>
      <c r="F918" s="2"/>
      <c r="G918" s="2" t="n">
        <v>2</v>
      </c>
      <c r="H918" s="2" t="s">
        <v>1689</v>
      </c>
      <c r="I918" s="2" t="n">
        <v>3</v>
      </c>
    </row>
    <row r="919" customFormat="false" ht="15" hidden="false" customHeight="false" outlineLevel="0" collapsed="false">
      <c r="A919" s="2" t="s">
        <v>921</v>
      </c>
      <c r="B919" s="2" t="s">
        <v>312</v>
      </c>
      <c r="C919" s="2" t="n">
        <v>1</v>
      </c>
      <c r="D919" s="2" t="s">
        <v>1687</v>
      </c>
      <c r="E919" s="2" t="s">
        <v>2430</v>
      </c>
      <c r="F919" s="2"/>
      <c r="G919" s="2" t="n">
        <v>2</v>
      </c>
      <c r="H919" s="2" t="s">
        <v>1689</v>
      </c>
      <c r="I919" s="2" t="n">
        <v>4</v>
      </c>
    </row>
    <row r="920" customFormat="false" ht="15" hidden="false" customHeight="false" outlineLevel="0" collapsed="false">
      <c r="A920" s="2" t="s">
        <v>921</v>
      </c>
      <c r="B920" s="2" t="s">
        <v>500</v>
      </c>
      <c r="C920" s="2" t="n">
        <v>2</v>
      </c>
      <c r="D920" s="2" t="s">
        <v>1687</v>
      </c>
      <c r="E920" s="2" t="s">
        <v>2429</v>
      </c>
      <c r="F920" s="2" t="n">
        <v>1</v>
      </c>
      <c r="G920" s="2" t="n">
        <v>3</v>
      </c>
      <c r="H920" s="2" t="s">
        <v>1689</v>
      </c>
      <c r="I920" s="2" t="n">
        <v>5</v>
      </c>
    </row>
    <row r="921" customFormat="false" ht="15" hidden="false" customHeight="false" outlineLevel="0" collapsed="false">
      <c r="A921" s="2" t="s">
        <v>921</v>
      </c>
      <c r="B921" s="2" t="s">
        <v>486</v>
      </c>
      <c r="C921" s="2" t="n">
        <v>2.25</v>
      </c>
      <c r="D921" s="2" t="s">
        <v>54</v>
      </c>
      <c r="E921" s="2" t="s">
        <v>2448</v>
      </c>
      <c r="F921" s="2" t="n">
        <v>1.12</v>
      </c>
      <c r="G921" s="2" t="n">
        <v>3.38</v>
      </c>
      <c r="H921" s="2" t="s">
        <v>1700</v>
      </c>
      <c r="I921" s="2" t="n">
        <v>6</v>
      </c>
    </row>
    <row r="922" customFormat="false" ht="15" hidden="false" customHeight="false" outlineLevel="0" collapsed="false">
      <c r="A922" s="2" t="s">
        <v>921</v>
      </c>
      <c r="B922" s="2" t="s">
        <v>506</v>
      </c>
      <c r="C922" s="2" t="n">
        <v>600</v>
      </c>
      <c r="D922" s="2" t="s">
        <v>76</v>
      </c>
      <c r="E922" s="2" t="s">
        <v>2449</v>
      </c>
      <c r="F922" s="2" t="n">
        <v>300</v>
      </c>
      <c r="G922" s="2" t="n">
        <v>900</v>
      </c>
      <c r="H922" s="2" t="s">
        <v>1693</v>
      </c>
      <c r="I922" s="2" t="n">
        <v>7</v>
      </c>
    </row>
    <row r="923" customFormat="false" ht="15" hidden="false" customHeight="false" outlineLevel="0" collapsed="false">
      <c r="A923" s="2" t="s">
        <v>921</v>
      </c>
      <c r="B923" s="2" t="s">
        <v>496</v>
      </c>
      <c r="C923" s="2" t="n">
        <v>5</v>
      </c>
      <c r="D923" s="2" t="s">
        <v>76</v>
      </c>
      <c r="E923" s="2" t="s">
        <v>2432</v>
      </c>
      <c r="F923" s="2" t="n">
        <v>2.5</v>
      </c>
      <c r="G923" s="2" t="n">
        <v>7.5</v>
      </c>
      <c r="H923" s="2" t="s">
        <v>1693</v>
      </c>
      <c r="I923" s="2" t="n">
        <v>8</v>
      </c>
    </row>
    <row r="924" customFormat="false" ht="15" hidden="false" customHeight="false" outlineLevel="0" collapsed="false">
      <c r="A924" s="2" t="s">
        <v>921</v>
      </c>
      <c r="B924" s="2" t="s">
        <v>418</v>
      </c>
      <c r="C924" s="2" t="n">
        <v>100</v>
      </c>
      <c r="D924" s="2" t="s">
        <v>54</v>
      </c>
      <c r="E924" s="2" t="s">
        <v>2450</v>
      </c>
      <c r="F924" s="2" t="n">
        <v>50</v>
      </c>
      <c r="G924" s="2" t="n">
        <v>150</v>
      </c>
      <c r="H924" s="2" t="s">
        <v>1693</v>
      </c>
      <c r="I924" s="2" t="n">
        <v>9</v>
      </c>
    </row>
    <row r="925" customFormat="false" ht="15" hidden="false" customHeight="false" outlineLevel="0" collapsed="false">
      <c r="A925" s="2" t="s">
        <v>921</v>
      </c>
      <c r="B925" s="2" t="s">
        <v>480</v>
      </c>
      <c r="C925" s="2" t="n">
        <v>1</v>
      </c>
      <c r="D925" s="2" t="s">
        <v>54</v>
      </c>
      <c r="E925" s="2" t="s">
        <v>132</v>
      </c>
      <c r="F925" s="2" t="n">
        <v>0.5</v>
      </c>
      <c r="G925" s="2" t="n">
        <v>1.5</v>
      </c>
      <c r="H925" s="2" t="s">
        <v>1689</v>
      </c>
      <c r="I925" s="2" t="n">
        <v>10</v>
      </c>
    </row>
    <row r="926" customFormat="false" ht="15" hidden="false" customHeight="false" outlineLevel="0" collapsed="false">
      <c r="A926" s="2" t="s">
        <v>925</v>
      </c>
      <c r="B926" s="2" t="s">
        <v>355</v>
      </c>
      <c r="C926" s="2" t="n">
        <v>130</v>
      </c>
      <c r="D926" s="2" t="s">
        <v>54</v>
      </c>
      <c r="E926" s="2" t="s">
        <v>2451</v>
      </c>
      <c r="F926" s="2" t="n">
        <v>65</v>
      </c>
      <c r="G926" s="2" t="n">
        <v>195</v>
      </c>
      <c r="H926" s="2" t="s">
        <v>1693</v>
      </c>
      <c r="I926" s="2" t="n">
        <v>1</v>
      </c>
    </row>
    <row r="927" customFormat="false" ht="15" hidden="false" customHeight="false" outlineLevel="0" collapsed="false">
      <c r="A927" s="2" t="s">
        <v>925</v>
      </c>
      <c r="B927" s="2" t="s">
        <v>249</v>
      </c>
      <c r="C927" s="2" t="n">
        <v>3</v>
      </c>
      <c r="D927" s="2" t="s">
        <v>54</v>
      </c>
      <c r="E927" s="2" t="s">
        <v>2452</v>
      </c>
      <c r="F927" s="2" t="n">
        <v>1.5</v>
      </c>
      <c r="G927" s="2" t="n">
        <v>4.5</v>
      </c>
      <c r="H927" s="2" t="s">
        <v>1689</v>
      </c>
      <c r="I927" s="2" t="n">
        <v>2</v>
      </c>
    </row>
    <row r="928" customFormat="false" ht="15" hidden="false" customHeight="false" outlineLevel="0" collapsed="false">
      <c r="A928" s="2" t="s">
        <v>925</v>
      </c>
      <c r="B928" s="2" t="s">
        <v>388</v>
      </c>
      <c r="C928" s="2" t="n">
        <v>60</v>
      </c>
      <c r="D928" s="2" t="s">
        <v>54</v>
      </c>
      <c r="E928" s="2" t="s">
        <v>2453</v>
      </c>
      <c r="F928" s="2" t="n">
        <v>30</v>
      </c>
      <c r="G928" s="2" t="n">
        <v>90</v>
      </c>
      <c r="H928" s="2" t="s">
        <v>1689</v>
      </c>
      <c r="I928" s="2" t="n">
        <v>3</v>
      </c>
    </row>
    <row r="929" customFormat="false" ht="15" hidden="false" customHeight="false" outlineLevel="0" collapsed="false">
      <c r="A929" s="2" t="s">
        <v>925</v>
      </c>
      <c r="B929" s="2" t="s">
        <v>506</v>
      </c>
      <c r="C929" s="2" t="n">
        <v>600</v>
      </c>
      <c r="D929" s="2" t="s">
        <v>76</v>
      </c>
      <c r="E929" s="2" t="s">
        <v>2454</v>
      </c>
      <c r="F929" s="2" t="n">
        <v>300</v>
      </c>
      <c r="G929" s="2" t="n">
        <v>900</v>
      </c>
      <c r="H929" s="2" t="s">
        <v>1693</v>
      </c>
      <c r="I929" s="2" t="n">
        <v>4</v>
      </c>
    </row>
    <row r="930" customFormat="false" ht="15" hidden="false" customHeight="false" outlineLevel="0" collapsed="false">
      <c r="A930" s="2" t="s">
        <v>925</v>
      </c>
      <c r="B930" s="2" t="s">
        <v>312</v>
      </c>
      <c r="C930" s="2" t="n">
        <v>1</v>
      </c>
      <c r="D930" s="2" t="s">
        <v>1687</v>
      </c>
      <c r="E930" s="2" t="s">
        <v>2430</v>
      </c>
      <c r="F930" s="2"/>
      <c r="G930" s="2" t="n">
        <v>2</v>
      </c>
      <c r="H930" s="2" t="s">
        <v>1689</v>
      </c>
      <c r="I930" s="2" t="n">
        <v>5</v>
      </c>
    </row>
    <row r="931" customFormat="false" ht="15" hidden="false" customHeight="false" outlineLevel="0" collapsed="false">
      <c r="A931" s="2" t="s">
        <v>925</v>
      </c>
      <c r="B931" s="2" t="s">
        <v>299</v>
      </c>
      <c r="C931" s="2" t="n">
        <v>1</v>
      </c>
      <c r="D931" s="2" t="s">
        <v>54</v>
      </c>
      <c r="E931" s="2" t="s">
        <v>2431</v>
      </c>
      <c r="F931" s="2"/>
      <c r="G931" s="2" t="n">
        <v>2</v>
      </c>
      <c r="H931" s="2" t="s">
        <v>1689</v>
      </c>
      <c r="I931" s="2" t="n">
        <v>6</v>
      </c>
    </row>
    <row r="932" customFormat="false" ht="15" hidden="false" customHeight="false" outlineLevel="0" collapsed="false">
      <c r="A932" s="2" t="s">
        <v>925</v>
      </c>
      <c r="B932" s="2" t="s">
        <v>183</v>
      </c>
      <c r="C932" s="2" t="n">
        <v>50</v>
      </c>
      <c r="D932" s="2" t="s">
        <v>54</v>
      </c>
      <c r="E932" s="2" t="s">
        <v>2455</v>
      </c>
      <c r="F932" s="2" t="n">
        <v>25</v>
      </c>
      <c r="G932" s="2" t="n">
        <v>75</v>
      </c>
      <c r="H932" s="2" t="s">
        <v>1689</v>
      </c>
      <c r="I932" s="2" t="n">
        <v>7</v>
      </c>
    </row>
    <row r="933" customFormat="false" ht="15" hidden="false" customHeight="false" outlineLevel="0" collapsed="false">
      <c r="A933" s="2" t="s">
        <v>925</v>
      </c>
      <c r="B933" s="2" t="s">
        <v>418</v>
      </c>
      <c r="C933" s="2" t="n">
        <v>50</v>
      </c>
      <c r="D933" s="2" t="s">
        <v>54</v>
      </c>
      <c r="E933" s="2" t="s">
        <v>2456</v>
      </c>
      <c r="F933" s="2" t="n">
        <v>25</v>
      </c>
      <c r="G933" s="2" t="n">
        <v>75</v>
      </c>
      <c r="H933" s="2" t="s">
        <v>1693</v>
      </c>
      <c r="I933" s="2" t="n">
        <v>8</v>
      </c>
    </row>
    <row r="934" customFormat="false" ht="15" hidden="false" customHeight="false" outlineLevel="0" collapsed="false">
      <c r="A934" s="2" t="s">
        <v>925</v>
      </c>
      <c r="B934" s="2" t="s">
        <v>496</v>
      </c>
      <c r="C934" s="2" t="n">
        <v>5</v>
      </c>
      <c r="D934" s="2" t="s">
        <v>76</v>
      </c>
      <c r="E934" s="2" t="s">
        <v>2432</v>
      </c>
      <c r="F934" s="2" t="n">
        <v>2.5</v>
      </c>
      <c r="G934" s="2" t="n">
        <v>7.5</v>
      </c>
      <c r="H934" s="2" t="s">
        <v>1693</v>
      </c>
      <c r="I934" s="2" t="n">
        <v>9</v>
      </c>
    </row>
    <row r="935" customFormat="false" ht="15" hidden="false" customHeight="false" outlineLevel="0" collapsed="false">
      <c r="A935" s="2" t="s">
        <v>925</v>
      </c>
      <c r="B935" s="2" t="s">
        <v>486</v>
      </c>
      <c r="C935" s="2" t="n">
        <v>4.5</v>
      </c>
      <c r="D935" s="2" t="s">
        <v>54</v>
      </c>
      <c r="E935" s="2" t="s">
        <v>2457</v>
      </c>
      <c r="F935" s="2" t="n">
        <v>2.25</v>
      </c>
      <c r="G935" s="2" t="n">
        <v>6.75</v>
      </c>
      <c r="H935" s="2" t="s">
        <v>1700</v>
      </c>
      <c r="I935" s="2" t="n">
        <v>10</v>
      </c>
    </row>
    <row r="936" customFormat="false" ht="15" hidden="false" customHeight="false" outlineLevel="0" collapsed="false">
      <c r="A936" s="2" t="s">
        <v>925</v>
      </c>
      <c r="B936" s="2" t="s">
        <v>488</v>
      </c>
      <c r="C936" s="2" t="n">
        <v>5</v>
      </c>
      <c r="D936" s="2" t="s">
        <v>54</v>
      </c>
      <c r="E936" s="2" t="s">
        <v>2458</v>
      </c>
      <c r="F936" s="2" t="n">
        <v>2.5</v>
      </c>
      <c r="G936" s="2" t="n">
        <v>7.5</v>
      </c>
      <c r="H936" s="2" t="s">
        <v>1700</v>
      </c>
      <c r="I936" s="2" t="n">
        <v>11</v>
      </c>
    </row>
    <row r="937" customFormat="false" ht="15" hidden="false" customHeight="false" outlineLevel="0" collapsed="false">
      <c r="A937" s="2" t="s">
        <v>925</v>
      </c>
      <c r="B937" s="2" t="s">
        <v>456</v>
      </c>
      <c r="C937" s="2" t="n">
        <v>0.5</v>
      </c>
      <c r="D937" s="2" t="s">
        <v>1687</v>
      </c>
      <c r="E937" s="2" t="s">
        <v>2459</v>
      </c>
      <c r="F937" s="2"/>
      <c r="G937" s="2" t="n">
        <v>1.5</v>
      </c>
      <c r="H937" s="2" t="s">
        <v>1689</v>
      </c>
      <c r="I937" s="2" t="n">
        <v>12</v>
      </c>
    </row>
    <row r="938" customFormat="false" ht="15" hidden="false" customHeight="false" outlineLevel="0" collapsed="false">
      <c r="A938" s="2" t="s">
        <v>925</v>
      </c>
      <c r="B938" s="2" t="s">
        <v>500</v>
      </c>
      <c r="C938" s="2" t="n">
        <v>1</v>
      </c>
      <c r="D938" s="2" t="s">
        <v>1687</v>
      </c>
      <c r="E938" s="2" t="s">
        <v>2442</v>
      </c>
      <c r="F938" s="2"/>
      <c r="G938" s="2" t="n">
        <v>2</v>
      </c>
      <c r="H938" s="2" t="s">
        <v>1689</v>
      </c>
      <c r="I938" s="2" t="n">
        <v>13</v>
      </c>
    </row>
    <row r="939" customFormat="false" ht="15" hidden="false" customHeight="false" outlineLevel="0" collapsed="false">
      <c r="A939" s="2" t="s">
        <v>930</v>
      </c>
      <c r="B939" s="2" t="s">
        <v>363</v>
      </c>
      <c r="C939" s="2" t="n">
        <v>150</v>
      </c>
      <c r="D939" s="2" t="s">
        <v>54</v>
      </c>
      <c r="E939" s="2" t="s">
        <v>2460</v>
      </c>
      <c r="F939" s="2" t="n">
        <v>75</v>
      </c>
      <c r="G939" s="2" t="n">
        <v>225</v>
      </c>
      <c r="H939" s="2" t="s">
        <v>1693</v>
      </c>
      <c r="I939" s="2" t="n">
        <v>1</v>
      </c>
    </row>
    <row r="940" customFormat="false" ht="15" hidden="false" customHeight="false" outlineLevel="0" collapsed="false">
      <c r="A940" s="2" t="s">
        <v>930</v>
      </c>
      <c r="B940" s="2" t="s">
        <v>193</v>
      </c>
      <c r="C940" s="2" t="n">
        <v>15</v>
      </c>
      <c r="D940" s="2" t="s">
        <v>54</v>
      </c>
      <c r="E940" s="2" t="s">
        <v>2461</v>
      </c>
      <c r="F940" s="2" t="n">
        <v>7.5</v>
      </c>
      <c r="G940" s="2" t="n">
        <v>22.5</v>
      </c>
      <c r="H940" s="2" t="s">
        <v>1689</v>
      </c>
      <c r="I940" s="2" t="n">
        <v>2</v>
      </c>
    </row>
    <row r="941" customFormat="false" ht="15" hidden="false" customHeight="false" outlineLevel="0" collapsed="false">
      <c r="A941" s="2" t="s">
        <v>930</v>
      </c>
      <c r="B941" s="2" t="s">
        <v>409</v>
      </c>
      <c r="C941" s="2" t="n">
        <v>75</v>
      </c>
      <c r="D941" s="2" t="s">
        <v>54</v>
      </c>
      <c r="E941" s="2" t="s">
        <v>1969</v>
      </c>
      <c r="F941" s="2" t="n">
        <v>37.5</v>
      </c>
      <c r="G941" s="2" t="n">
        <v>112.5</v>
      </c>
      <c r="H941" s="2" t="s">
        <v>1689</v>
      </c>
      <c r="I941" s="2" t="n">
        <v>3</v>
      </c>
    </row>
    <row r="942" customFormat="false" ht="15" hidden="false" customHeight="false" outlineLevel="0" collapsed="false">
      <c r="A942" s="2" t="s">
        <v>930</v>
      </c>
      <c r="B942" s="2" t="s">
        <v>312</v>
      </c>
      <c r="C942" s="2" t="n">
        <v>2</v>
      </c>
      <c r="D942" s="2" t="s">
        <v>1687</v>
      </c>
      <c r="E942" s="2" t="s">
        <v>2418</v>
      </c>
      <c r="F942" s="2" t="n">
        <v>1</v>
      </c>
      <c r="G942" s="2" t="n">
        <v>3</v>
      </c>
      <c r="H942" s="2" t="s">
        <v>1689</v>
      </c>
      <c r="I942" s="2" t="n">
        <v>4</v>
      </c>
    </row>
    <row r="943" customFormat="false" ht="15" hidden="false" customHeight="false" outlineLevel="0" collapsed="false">
      <c r="A943" s="2" t="s">
        <v>930</v>
      </c>
      <c r="B943" s="2" t="s">
        <v>422</v>
      </c>
      <c r="C943" s="2" t="n">
        <v>400</v>
      </c>
      <c r="D943" s="2" t="s">
        <v>54</v>
      </c>
      <c r="E943" s="2" t="s">
        <v>2416</v>
      </c>
      <c r="F943" s="2" t="n">
        <v>200</v>
      </c>
      <c r="G943" s="2" t="n">
        <v>600</v>
      </c>
      <c r="H943" s="2" t="s">
        <v>1689</v>
      </c>
      <c r="I943" s="2" t="n">
        <v>5</v>
      </c>
    </row>
    <row r="944" customFormat="false" ht="15" hidden="false" customHeight="false" outlineLevel="0" collapsed="false">
      <c r="A944" s="2" t="s">
        <v>930</v>
      </c>
      <c r="B944" s="2" t="s">
        <v>506</v>
      </c>
      <c r="C944" s="2" t="n">
        <v>300</v>
      </c>
      <c r="D944" s="2" t="s">
        <v>76</v>
      </c>
      <c r="E944" s="2" t="s">
        <v>2419</v>
      </c>
      <c r="F944" s="2" t="n">
        <v>150</v>
      </c>
      <c r="G944" s="2" t="n">
        <v>450</v>
      </c>
      <c r="H944" s="2" t="s">
        <v>1693</v>
      </c>
      <c r="I944" s="2" t="n">
        <v>6</v>
      </c>
    </row>
    <row r="945" customFormat="false" ht="15" hidden="false" customHeight="false" outlineLevel="0" collapsed="false">
      <c r="A945" s="2" t="s">
        <v>930</v>
      </c>
      <c r="B945" s="2" t="s">
        <v>413</v>
      </c>
      <c r="C945" s="2" t="n">
        <v>30</v>
      </c>
      <c r="D945" s="2" t="s">
        <v>54</v>
      </c>
      <c r="E945" s="2" t="s">
        <v>2462</v>
      </c>
      <c r="F945" s="2" t="n">
        <v>15</v>
      </c>
      <c r="G945" s="2" t="n">
        <v>45</v>
      </c>
      <c r="H945" s="2" t="s">
        <v>1689</v>
      </c>
      <c r="I945" s="2" t="n">
        <v>7</v>
      </c>
    </row>
    <row r="946" customFormat="false" ht="15" hidden="false" customHeight="false" outlineLevel="0" collapsed="false">
      <c r="A946" s="2" t="s">
        <v>930</v>
      </c>
      <c r="B946" s="2" t="s">
        <v>301</v>
      </c>
      <c r="C946" s="2" t="n">
        <v>5</v>
      </c>
      <c r="D946" s="2" t="s">
        <v>54</v>
      </c>
      <c r="E946" s="2" t="s">
        <v>2422</v>
      </c>
      <c r="F946" s="2" t="n">
        <v>2.5</v>
      </c>
      <c r="G946" s="2" t="n">
        <v>7.5</v>
      </c>
      <c r="H946" s="2" t="s">
        <v>1689</v>
      </c>
      <c r="I946" s="2" t="n">
        <v>8</v>
      </c>
    </row>
    <row r="947" customFormat="false" ht="15" hidden="false" customHeight="false" outlineLevel="0" collapsed="false">
      <c r="A947" s="2" t="s">
        <v>930</v>
      </c>
      <c r="B947" s="2" t="s">
        <v>480</v>
      </c>
      <c r="C947" s="2" t="n">
        <v>1</v>
      </c>
      <c r="D947" s="2" t="s">
        <v>54</v>
      </c>
      <c r="E947" s="2" t="s">
        <v>132</v>
      </c>
      <c r="F947" s="2" t="n">
        <v>0.5</v>
      </c>
      <c r="G947" s="2" t="n">
        <v>1.5</v>
      </c>
      <c r="H947" s="2" t="s">
        <v>1689</v>
      </c>
      <c r="I947" s="2" t="n">
        <v>9</v>
      </c>
    </row>
    <row r="948" customFormat="false" ht="15" hidden="false" customHeight="false" outlineLevel="0" collapsed="false">
      <c r="A948" s="2" t="s">
        <v>935</v>
      </c>
      <c r="B948" s="2" t="s">
        <v>552</v>
      </c>
      <c r="C948" s="2" t="n">
        <v>80</v>
      </c>
      <c r="D948" s="2" t="s">
        <v>54</v>
      </c>
      <c r="E948" s="2" t="s">
        <v>2463</v>
      </c>
      <c r="F948" s="2" t="n">
        <v>40</v>
      </c>
      <c r="G948" s="2" t="n">
        <v>120</v>
      </c>
      <c r="H948" s="2" t="s">
        <v>1693</v>
      </c>
      <c r="I948" s="2" t="n">
        <v>1</v>
      </c>
    </row>
    <row r="949" customFormat="false" ht="15" hidden="false" customHeight="false" outlineLevel="0" collapsed="false">
      <c r="A949" s="2" t="s">
        <v>935</v>
      </c>
      <c r="B949" s="2" t="s">
        <v>341</v>
      </c>
      <c r="C949" s="2" t="n">
        <v>60</v>
      </c>
      <c r="D949" s="2" t="s">
        <v>54</v>
      </c>
      <c r="E949" s="2" t="s">
        <v>1951</v>
      </c>
      <c r="F949" s="2" t="n">
        <v>30</v>
      </c>
      <c r="G949" s="2" t="n">
        <v>90</v>
      </c>
      <c r="H949" s="2" t="s">
        <v>1693</v>
      </c>
      <c r="I949" s="2" t="n">
        <v>2</v>
      </c>
    </row>
    <row r="950" customFormat="false" ht="15" hidden="false" customHeight="false" outlineLevel="0" collapsed="false">
      <c r="A950" s="2" t="s">
        <v>935</v>
      </c>
      <c r="B950" s="2" t="s">
        <v>401</v>
      </c>
      <c r="C950" s="2" t="n">
        <v>100</v>
      </c>
      <c r="D950" s="2" t="s">
        <v>54</v>
      </c>
      <c r="E950" s="2" t="s">
        <v>2464</v>
      </c>
      <c r="F950" s="2" t="n">
        <v>50</v>
      </c>
      <c r="G950" s="2" t="n">
        <v>150</v>
      </c>
      <c r="H950" s="2" t="s">
        <v>1693</v>
      </c>
      <c r="I950" s="2" t="n">
        <v>3</v>
      </c>
    </row>
    <row r="951" customFormat="false" ht="15" hidden="false" customHeight="false" outlineLevel="0" collapsed="false">
      <c r="A951" s="2" t="s">
        <v>935</v>
      </c>
      <c r="B951" s="2" t="s">
        <v>409</v>
      </c>
      <c r="C951" s="2" t="n">
        <v>75</v>
      </c>
      <c r="D951" s="2" t="s">
        <v>54</v>
      </c>
      <c r="E951" s="2" t="s">
        <v>1969</v>
      </c>
      <c r="F951" s="2" t="n">
        <v>37.5</v>
      </c>
      <c r="G951" s="2" t="n">
        <v>112.5</v>
      </c>
      <c r="H951" s="2" t="s">
        <v>1689</v>
      </c>
      <c r="I951" s="2" t="n">
        <v>4</v>
      </c>
    </row>
    <row r="952" customFormat="false" ht="15" hidden="false" customHeight="false" outlineLevel="0" collapsed="false">
      <c r="A952" s="2" t="s">
        <v>935</v>
      </c>
      <c r="B952" s="2" t="s">
        <v>312</v>
      </c>
      <c r="C952" s="2" t="n">
        <v>1</v>
      </c>
      <c r="D952" s="2" t="s">
        <v>1687</v>
      </c>
      <c r="E952" s="2" t="s">
        <v>2430</v>
      </c>
      <c r="F952" s="2"/>
      <c r="G952" s="2" t="n">
        <v>2</v>
      </c>
      <c r="H952" s="2" t="s">
        <v>1689</v>
      </c>
      <c r="I952" s="2" t="n">
        <v>5</v>
      </c>
    </row>
    <row r="953" customFormat="false" ht="15" hidden="false" customHeight="false" outlineLevel="0" collapsed="false">
      <c r="A953" s="2" t="s">
        <v>935</v>
      </c>
      <c r="B953" s="2" t="s">
        <v>287</v>
      </c>
      <c r="C953" s="2" t="n">
        <v>100</v>
      </c>
      <c r="D953" s="2" t="s">
        <v>54</v>
      </c>
      <c r="E953" s="2" t="s">
        <v>2465</v>
      </c>
      <c r="F953" s="2" t="n">
        <v>50</v>
      </c>
      <c r="G953" s="2" t="n">
        <v>150</v>
      </c>
      <c r="H953" s="2" t="s">
        <v>1689</v>
      </c>
      <c r="I953" s="2" t="n">
        <v>6</v>
      </c>
    </row>
    <row r="954" customFormat="false" ht="15" hidden="false" customHeight="false" outlineLevel="0" collapsed="false">
      <c r="A954" s="2" t="s">
        <v>935</v>
      </c>
      <c r="B954" s="2" t="s">
        <v>422</v>
      </c>
      <c r="C954" s="2" t="n">
        <v>400</v>
      </c>
      <c r="D954" s="2" t="s">
        <v>54</v>
      </c>
      <c r="E954" s="2" t="s">
        <v>2416</v>
      </c>
      <c r="F954" s="2" t="n">
        <v>200</v>
      </c>
      <c r="G954" s="2" t="n">
        <v>600</v>
      </c>
      <c r="H954" s="2" t="s">
        <v>1689</v>
      </c>
      <c r="I954" s="2" t="n">
        <v>7</v>
      </c>
    </row>
    <row r="955" customFormat="false" ht="15" hidden="false" customHeight="false" outlineLevel="0" collapsed="false">
      <c r="A955" s="2" t="s">
        <v>935</v>
      </c>
      <c r="B955" s="2" t="s">
        <v>506</v>
      </c>
      <c r="C955" s="2" t="n">
        <v>400</v>
      </c>
      <c r="D955" s="2" t="s">
        <v>76</v>
      </c>
      <c r="E955" s="2" t="s">
        <v>2466</v>
      </c>
      <c r="F955" s="2" t="n">
        <v>200</v>
      </c>
      <c r="G955" s="2" t="n">
        <v>600</v>
      </c>
      <c r="H955" s="2" t="s">
        <v>1693</v>
      </c>
      <c r="I955" s="2" t="n">
        <v>8</v>
      </c>
    </row>
    <row r="956" customFormat="false" ht="15" hidden="false" customHeight="false" outlineLevel="0" collapsed="false">
      <c r="A956" s="2" t="s">
        <v>935</v>
      </c>
      <c r="B956" s="2" t="s">
        <v>472</v>
      </c>
      <c r="C956" s="2" t="n">
        <v>1</v>
      </c>
      <c r="D956" s="2" t="s">
        <v>54</v>
      </c>
      <c r="E956" s="2" t="s">
        <v>2467</v>
      </c>
      <c r="F956" s="2" t="n">
        <v>0.5</v>
      </c>
      <c r="G956" s="2" t="n">
        <v>1.5</v>
      </c>
      <c r="H956" s="2" t="s">
        <v>1689</v>
      </c>
      <c r="I956" s="2" t="n">
        <v>9</v>
      </c>
    </row>
    <row r="957" customFormat="false" ht="15" hidden="false" customHeight="false" outlineLevel="0" collapsed="false">
      <c r="A957" s="2" t="s">
        <v>935</v>
      </c>
      <c r="B957" s="2" t="s">
        <v>411</v>
      </c>
      <c r="C957" s="2" t="n">
        <v>1</v>
      </c>
      <c r="D957" s="2" t="s">
        <v>1687</v>
      </c>
      <c r="E957" s="2" t="s">
        <v>2468</v>
      </c>
      <c r="F957" s="2"/>
      <c r="G957" s="2" t="n">
        <v>2</v>
      </c>
      <c r="H957" s="2" t="s">
        <v>1689</v>
      </c>
      <c r="I957" s="2" t="n">
        <v>10</v>
      </c>
    </row>
    <row r="958" customFormat="false" ht="15" hidden="false" customHeight="false" outlineLevel="0" collapsed="false">
      <c r="A958" s="2" t="s">
        <v>935</v>
      </c>
      <c r="B958" s="2" t="s">
        <v>166</v>
      </c>
      <c r="C958" s="2" t="n">
        <v>1</v>
      </c>
      <c r="D958" s="2" t="s">
        <v>1687</v>
      </c>
      <c r="E958" s="2" t="s">
        <v>2469</v>
      </c>
      <c r="F958" s="2"/>
      <c r="G958" s="2" t="n">
        <v>2</v>
      </c>
      <c r="H958" s="2" t="s">
        <v>1689</v>
      </c>
      <c r="I958" s="2" t="n">
        <v>11</v>
      </c>
    </row>
    <row r="959" customFormat="false" ht="15" hidden="false" customHeight="false" outlineLevel="0" collapsed="false">
      <c r="A959" s="2" t="s">
        <v>935</v>
      </c>
      <c r="B959" s="2" t="s">
        <v>480</v>
      </c>
      <c r="C959" s="2" t="n">
        <v>1</v>
      </c>
      <c r="D959" s="2" t="s">
        <v>54</v>
      </c>
      <c r="E959" s="2" t="s">
        <v>132</v>
      </c>
      <c r="F959" s="2" t="n">
        <v>0.5</v>
      </c>
      <c r="G959" s="2" t="n">
        <v>1.5</v>
      </c>
      <c r="H959" s="2" t="s">
        <v>1689</v>
      </c>
      <c r="I959" s="2" t="n">
        <v>12</v>
      </c>
    </row>
    <row r="960" customFormat="false" ht="15" hidden="false" customHeight="false" outlineLevel="0" collapsed="false">
      <c r="A960" s="2" t="s">
        <v>940</v>
      </c>
      <c r="B960" s="2" t="s">
        <v>221</v>
      </c>
      <c r="C960" s="2" t="n">
        <v>130</v>
      </c>
      <c r="D960" s="2" t="s">
        <v>54</v>
      </c>
      <c r="E960" s="2" t="s">
        <v>2470</v>
      </c>
      <c r="F960" s="2" t="n">
        <v>65</v>
      </c>
      <c r="G960" s="2" t="n">
        <v>195</v>
      </c>
      <c r="H960" s="2" t="s">
        <v>1693</v>
      </c>
      <c r="I960" s="2" t="n">
        <v>1</v>
      </c>
    </row>
    <row r="961" customFormat="false" ht="15" hidden="false" customHeight="false" outlineLevel="0" collapsed="false">
      <c r="A961" s="2" t="s">
        <v>940</v>
      </c>
      <c r="B961" s="2" t="s">
        <v>193</v>
      </c>
      <c r="C961" s="2" t="n">
        <v>25</v>
      </c>
      <c r="D961" s="2" t="s">
        <v>54</v>
      </c>
      <c r="E961" s="2" t="s">
        <v>2471</v>
      </c>
      <c r="F961" s="2" t="n">
        <v>12.5</v>
      </c>
      <c r="G961" s="2" t="n">
        <v>37.5</v>
      </c>
      <c r="H961" s="2" t="s">
        <v>1689</v>
      </c>
      <c r="I961" s="2" t="n">
        <v>2</v>
      </c>
    </row>
    <row r="962" customFormat="false" ht="15" hidden="false" customHeight="false" outlineLevel="0" collapsed="false">
      <c r="A962" s="2" t="s">
        <v>940</v>
      </c>
      <c r="B962" s="2" t="s">
        <v>440</v>
      </c>
      <c r="C962" s="2" t="n">
        <v>9</v>
      </c>
      <c r="D962" s="2" t="s">
        <v>54</v>
      </c>
      <c r="E962" s="2" t="s">
        <v>2472</v>
      </c>
      <c r="F962" s="2" t="n">
        <v>4.5</v>
      </c>
      <c r="G962" s="2" t="n">
        <v>13.5</v>
      </c>
      <c r="H962" s="2" t="s">
        <v>1689</v>
      </c>
      <c r="I962" s="2" t="n">
        <v>3</v>
      </c>
    </row>
    <row r="963" customFormat="false" ht="15" hidden="false" customHeight="false" outlineLevel="0" collapsed="false">
      <c r="A963" s="2" t="s">
        <v>940</v>
      </c>
      <c r="B963" s="2" t="s">
        <v>114</v>
      </c>
      <c r="C963" s="2" t="n">
        <v>1</v>
      </c>
      <c r="D963" s="2" t="s">
        <v>1687</v>
      </c>
      <c r="E963" s="2" t="s">
        <v>2473</v>
      </c>
      <c r="F963" s="2"/>
      <c r="G963" s="2" t="n">
        <v>2</v>
      </c>
      <c r="H963" s="2" t="s">
        <v>1693</v>
      </c>
      <c r="I963" s="2" t="n">
        <v>4</v>
      </c>
    </row>
    <row r="964" customFormat="false" ht="15" hidden="false" customHeight="false" outlineLevel="0" collapsed="false">
      <c r="A964" s="2" t="s">
        <v>940</v>
      </c>
      <c r="B964" s="2" t="s">
        <v>349</v>
      </c>
      <c r="C964" s="2" t="n">
        <v>1</v>
      </c>
      <c r="D964" s="2" t="s">
        <v>1687</v>
      </c>
      <c r="E964" s="2" t="s">
        <v>2474</v>
      </c>
      <c r="F964" s="2"/>
      <c r="G964" s="2" t="n">
        <v>2</v>
      </c>
      <c r="H964" s="2" t="s">
        <v>1689</v>
      </c>
      <c r="I964" s="2" t="n">
        <v>5</v>
      </c>
    </row>
    <row r="965" customFormat="false" ht="15" hidden="false" customHeight="false" outlineLevel="0" collapsed="false">
      <c r="A965" s="2" t="s">
        <v>940</v>
      </c>
      <c r="B965" s="2" t="s">
        <v>67</v>
      </c>
      <c r="C965" s="2" t="n">
        <v>45</v>
      </c>
      <c r="D965" s="2" t="s">
        <v>54</v>
      </c>
      <c r="E965" s="2" t="s">
        <v>2475</v>
      </c>
      <c r="F965" s="2" t="n">
        <v>22.5</v>
      </c>
      <c r="G965" s="2" t="n">
        <v>67.5</v>
      </c>
      <c r="H965" s="2" t="s">
        <v>1693</v>
      </c>
      <c r="I965" s="2" t="n">
        <v>6</v>
      </c>
    </row>
    <row r="966" customFormat="false" ht="15" hidden="false" customHeight="false" outlineLevel="0" collapsed="false">
      <c r="A966" s="2" t="s">
        <v>940</v>
      </c>
      <c r="B966" s="2" t="s">
        <v>268</v>
      </c>
      <c r="C966" s="2" t="n">
        <v>7</v>
      </c>
      <c r="D966" s="2" t="s">
        <v>54</v>
      </c>
      <c r="E966" s="2" t="s">
        <v>2476</v>
      </c>
      <c r="F966" s="2" t="n">
        <v>3.5</v>
      </c>
      <c r="G966" s="2" t="n">
        <v>10.5</v>
      </c>
      <c r="H966" s="2" t="s">
        <v>1693</v>
      </c>
      <c r="I966" s="2" t="n">
        <v>7</v>
      </c>
    </row>
    <row r="967" customFormat="false" ht="15" hidden="false" customHeight="false" outlineLevel="0" collapsed="false">
      <c r="A967" s="2" t="s">
        <v>940</v>
      </c>
      <c r="B967" s="2" t="s">
        <v>367</v>
      </c>
      <c r="C967" s="2" t="n">
        <v>1</v>
      </c>
      <c r="D967" s="2" t="s">
        <v>76</v>
      </c>
      <c r="E967" s="2" t="s">
        <v>2477</v>
      </c>
      <c r="F967" s="2"/>
      <c r="G967" s="2" t="n">
        <v>2</v>
      </c>
      <c r="H967" s="2" t="s">
        <v>1689</v>
      </c>
      <c r="I967" s="2" t="n">
        <v>8</v>
      </c>
    </row>
    <row r="968" customFormat="false" ht="15" hidden="false" customHeight="false" outlineLevel="0" collapsed="false">
      <c r="A968" s="2" t="s">
        <v>940</v>
      </c>
      <c r="B968" s="2" t="s">
        <v>312</v>
      </c>
      <c r="C968" s="2" t="n">
        <v>0.5</v>
      </c>
      <c r="D968" s="2" t="s">
        <v>1687</v>
      </c>
      <c r="E968" s="2" t="s">
        <v>2478</v>
      </c>
      <c r="F968" s="2"/>
      <c r="G968" s="2" t="n">
        <v>1.5</v>
      </c>
      <c r="H968" s="2" t="s">
        <v>1689</v>
      </c>
      <c r="I968" s="2" t="n">
        <v>9</v>
      </c>
    </row>
    <row r="969" customFormat="false" ht="15" hidden="false" customHeight="false" outlineLevel="0" collapsed="false">
      <c r="A969" s="2" t="s">
        <v>940</v>
      </c>
      <c r="B969" s="2" t="s">
        <v>420</v>
      </c>
      <c r="C969" s="2" t="n">
        <v>10</v>
      </c>
      <c r="D969" s="2" t="s">
        <v>54</v>
      </c>
      <c r="E969" s="2" t="s">
        <v>2479</v>
      </c>
      <c r="F969" s="2" t="n">
        <v>5</v>
      </c>
      <c r="G969" s="2" t="n">
        <v>15</v>
      </c>
      <c r="H969" s="2" t="s">
        <v>1693</v>
      </c>
      <c r="I969" s="2" t="n">
        <v>10</v>
      </c>
    </row>
    <row r="970" customFormat="false" ht="15" hidden="false" customHeight="false" outlineLevel="0" collapsed="false">
      <c r="A970" s="2" t="s">
        <v>940</v>
      </c>
      <c r="B970" s="2" t="s">
        <v>394</v>
      </c>
      <c r="C970" s="2" t="n">
        <v>40</v>
      </c>
      <c r="D970" s="2" t="s">
        <v>54</v>
      </c>
      <c r="E970" s="2" t="s">
        <v>2480</v>
      </c>
      <c r="F970" s="2" t="n">
        <v>20</v>
      </c>
      <c r="G970" s="2" t="n">
        <v>60</v>
      </c>
      <c r="H970" s="2" t="s">
        <v>1689</v>
      </c>
      <c r="I970" s="2" t="n">
        <v>11</v>
      </c>
    </row>
    <row r="971" customFormat="false" ht="15" hidden="false" customHeight="false" outlineLevel="0" collapsed="false">
      <c r="A971" s="2" t="s">
        <v>940</v>
      </c>
      <c r="B971" s="2" t="s">
        <v>377</v>
      </c>
      <c r="C971" s="2" t="n">
        <v>1</v>
      </c>
      <c r="D971" s="2" t="s">
        <v>54</v>
      </c>
      <c r="E971" s="2" t="s">
        <v>2481</v>
      </c>
      <c r="F971" s="2" t="n">
        <v>0.5</v>
      </c>
      <c r="G971" s="2" t="n">
        <v>1.5</v>
      </c>
      <c r="H971" s="2" t="s">
        <v>1700</v>
      </c>
      <c r="I971" s="2" t="n">
        <v>12</v>
      </c>
    </row>
    <row r="972" customFormat="false" ht="15" hidden="false" customHeight="false" outlineLevel="0" collapsed="false">
      <c r="A972" s="2" t="s">
        <v>940</v>
      </c>
      <c r="B972" s="2" t="s">
        <v>480</v>
      </c>
      <c r="C972" s="2" t="n">
        <v>1</v>
      </c>
      <c r="D972" s="2" t="s">
        <v>54</v>
      </c>
      <c r="E972" s="2" t="s">
        <v>132</v>
      </c>
      <c r="F972" s="2" t="n">
        <v>0.5</v>
      </c>
      <c r="G972" s="2" t="n">
        <v>1.5</v>
      </c>
      <c r="H972" s="2" t="s">
        <v>1689</v>
      </c>
      <c r="I972" s="2" t="n">
        <v>13</v>
      </c>
    </row>
    <row r="973" customFormat="false" ht="15" hidden="false" customHeight="false" outlineLevel="0" collapsed="false">
      <c r="A973" s="2" t="s">
        <v>944</v>
      </c>
      <c r="B973" s="2" t="s">
        <v>221</v>
      </c>
      <c r="C973" s="2" t="n">
        <v>150</v>
      </c>
      <c r="D973" s="2" t="s">
        <v>54</v>
      </c>
      <c r="E973" s="2" t="s">
        <v>2482</v>
      </c>
      <c r="F973" s="2" t="n">
        <v>75</v>
      </c>
      <c r="G973" s="2" t="n">
        <v>225</v>
      </c>
      <c r="H973" s="2" t="s">
        <v>1693</v>
      </c>
      <c r="I973" s="2" t="n">
        <v>1</v>
      </c>
    </row>
    <row r="974" customFormat="false" ht="15" hidden="false" customHeight="false" outlineLevel="0" collapsed="false">
      <c r="A974" s="2" t="s">
        <v>944</v>
      </c>
      <c r="B974" s="2" t="s">
        <v>163</v>
      </c>
      <c r="C974" s="2" t="n">
        <v>42</v>
      </c>
      <c r="D974" s="2" t="s">
        <v>54</v>
      </c>
      <c r="E974" s="2" t="s">
        <v>2483</v>
      </c>
      <c r="F974" s="2" t="n">
        <v>21</v>
      </c>
      <c r="G974" s="2" t="n">
        <v>63</v>
      </c>
      <c r="H974" s="2" t="s">
        <v>1689</v>
      </c>
      <c r="I974" s="2" t="n">
        <v>2</v>
      </c>
    </row>
    <row r="975" customFormat="false" ht="15" hidden="false" customHeight="false" outlineLevel="0" collapsed="false">
      <c r="A975" s="2" t="s">
        <v>944</v>
      </c>
      <c r="B975" s="2" t="s">
        <v>191</v>
      </c>
      <c r="C975" s="2" t="n">
        <v>1</v>
      </c>
      <c r="D975" s="2" t="s">
        <v>1687</v>
      </c>
      <c r="E975" s="2" t="s">
        <v>2484</v>
      </c>
      <c r="F975" s="2"/>
      <c r="G975" s="2" t="n">
        <v>2</v>
      </c>
      <c r="H975" s="2" t="s">
        <v>1689</v>
      </c>
      <c r="I975" s="2" t="n">
        <v>3</v>
      </c>
    </row>
    <row r="976" customFormat="false" ht="15" hidden="false" customHeight="false" outlineLevel="0" collapsed="false">
      <c r="A976" s="2" t="s">
        <v>944</v>
      </c>
      <c r="B976" s="2" t="s">
        <v>546</v>
      </c>
      <c r="C976" s="2" t="n">
        <v>60</v>
      </c>
      <c r="D976" s="2" t="s">
        <v>54</v>
      </c>
      <c r="E976" s="2" t="s">
        <v>2485</v>
      </c>
      <c r="F976" s="2" t="n">
        <v>30</v>
      </c>
      <c r="G976" s="2" t="n">
        <v>90</v>
      </c>
      <c r="H976" s="2" t="s">
        <v>1689</v>
      </c>
      <c r="I976" s="2" t="n">
        <v>4</v>
      </c>
    </row>
    <row r="977" customFormat="false" ht="15" hidden="false" customHeight="false" outlineLevel="0" collapsed="false">
      <c r="A977" s="2" t="s">
        <v>944</v>
      </c>
      <c r="B977" s="2" t="s">
        <v>210</v>
      </c>
      <c r="C977" s="2" t="n">
        <v>30</v>
      </c>
      <c r="D977" s="2" t="s">
        <v>54</v>
      </c>
      <c r="E977" s="2" t="s">
        <v>2486</v>
      </c>
      <c r="F977" s="2" t="n">
        <v>15</v>
      </c>
      <c r="G977" s="2" t="n">
        <v>45</v>
      </c>
      <c r="H977" s="2" t="s">
        <v>1689</v>
      </c>
      <c r="I977" s="2" t="n">
        <v>5</v>
      </c>
    </row>
    <row r="978" customFormat="false" ht="15" hidden="false" customHeight="false" outlineLevel="0" collapsed="false">
      <c r="A978" s="2" t="s">
        <v>944</v>
      </c>
      <c r="B978" s="2" t="s">
        <v>458</v>
      </c>
      <c r="C978" s="2" t="n">
        <v>37.5</v>
      </c>
      <c r="D978" s="2" t="s">
        <v>54</v>
      </c>
      <c r="E978" s="2" t="s">
        <v>2487</v>
      </c>
      <c r="F978" s="2" t="n">
        <v>18.75</v>
      </c>
      <c r="G978" s="2" t="n">
        <v>56.25</v>
      </c>
      <c r="H978" s="2" t="s">
        <v>1689</v>
      </c>
      <c r="I978" s="2" t="n">
        <v>6</v>
      </c>
    </row>
    <row r="979" customFormat="false" ht="15" hidden="false" customHeight="false" outlineLevel="0" collapsed="false">
      <c r="A979" s="2" t="s">
        <v>944</v>
      </c>
      <c r="B979" s="2" t="s">
        <v>67</v>
      </c>
      <c r="C979" s="2" t="n">
        <v>22.5</v>
      </c>
      <c r="D979" s="2" t="s">
        <v>54</v>
      </c>
      <c r="E979" s="2" t="s">
        <v>2488</v>
      </c>
      <c r="F979" s="2" t="n">
        <v>11.25</v>
      </c>
      <c r="G979" s="2" t="n">
        <v>33.75</v>
      </c>
      <c r="H979" s="2" t="s">
        <v>1693</v>
      </c>
      <c r="I979" s="2" t="n">
        <v>7</v>
      </c>
    </row>
    <row r="980" customFormat="false" ht="15" hidden="false" customHeight="false" outlineLevel="0" collapsed="false">
      <c r="A980" s="2" t="s">
        <v>944</v>
      </c>
      <c r="B980" s="2" t="s">
        <v>232</v>
      </c>
      <c r="C980" s="2" t="n">
        <v>5</v>
      </c>
      <c r="D980" s="2" t="s">
        <v>76</v>
      </c>
      <c r="E980" s="2" t="s">
        <v>2489</v>
      </c>
      <c r="F980" s="2" t="n">
        <v>2.5</v>
      </c>
      <c r="G980" s="2" t="n">
        <v>7.5</v>
      </c>
      <c r="H980" s="2" t="s">
        <v>1689</v>
      </c>
      <c r="I980" s="2" t="n">
        <v>8</v>
      </c>
    </row>
    <row r="981" customFormat="false" ht="15" hidden="false" customHeight="false" outlineLevel="0" collapsed="false">
      <c r="A981" s="2" t="s">
        <v>944</v>
      </c>
      <c r="B981" s="2" t="s">
        <v>480</v>
      </c>
      <c r="C981" s="2" t="n">
        <v>1</v>
      </c>
      <c r="D981" s="2" t="s">
        <v>54</v>
      </c>
      <c r="E981" s="2" t="s">
        <v>132</v>
      </c>
      <c r="F981" s="2" t="n">
        <v>0.5</v>
      </c>
      <c r="G981" s="2" t="n">
        <v>1.5</v>
      </c>
      <c r="H981" s="2" t="s">
        <v>1689</v>
      </c>
      <c r="I981" s="2" t="n">
        <v>9</v>
      </c>
    </row>
    <row r="982" customFormat="false" ht="15" hidden="false" customHeight="false" outlineLevel="0" collapsed="false">
      <c r="A982" s="2" t="s">
        <v>948</v>
      </c>
      <c r="B982" s="2" t="s">
        <v>221</v>
      </c>
      <c r="C982" s="2" t="n">
        <v>130</v>
      </c>
      <c r="D982" s="2" t="s">
        <v>54</v>
      </c>
      <c r="E982" s="2" t="s">
        <v>2490</v>
      </c>
      <c r="F982" s="2" t="n">
        <v>65</v>
      </c>
      <c r="G982" s="2" t="n">
        <v>195</v>
      </c>
      <c r="H982" s="2" t="s">
        <v>1693</v>
      </c>
      <c r="I982" s="2" t="n">
        <v>1</v>
      </c>
    </row>
    <row r="983" customFormat="false" ht="15" hidden="false" customHeight="false" outlineLevel="0" collapsed="false">
      <c r="A983" s="2" t="s">
        <v>948</v>
      </c>
      <c r="B983" s="2" t="s">
        <v>271</v>
      </c>
      <c r="C983" s="2" t="n">
        <v>1.25</v>
      </c>
      <c r="D983" s="2" t="s">
        <v>54</v>
      </c>
      <c r="E983" s="2" t="s">
        <v>2444</v>
      </c>
      <c r="F983" s="2" t="n">
        <v>0.62</v>
      </c>
      <c r="G983" s="2" t="n">
        <v>1.88</v>
      </c>
      <c r="H983" s="2" t="s">
        <v>1689</v>
      </c>
      <c r="I983" s="2" t="n">
        <v>2</v>
      </c>
    </row>
    <row r="984" customFormat="false" ht="15" hidden="false" customHeight="false" outlineLevel="0" collapsed="false">
      <c r="A984" s="2" t="s">
        <v>948</v>
      </c>
      <c r="B984" s="2" t="s">
        <v>271</v>
      </c>
      <c r="C984" s="2" t="n">
        <v>1.25</v>
      </c>
      <c r="D984" s="2" t="s">
        <v>54</v>
      </c>
      <c r="E984" s="2" t="s">
        <v>2491</v>
      </c>
      <c r="F984" s="2" t="n">
        <v>0.62</v>
      </c>
      <c r="G984" s="2" t="n">
        <v>1.88</v>
      </c>
      <c r="H984" s="2" t="s">
        <v>1689</v>
      </c>
      <c r="I984" s="2" t="n">
        <v>3</v>
      </c>
    </row>
    <row r="985" customFormat="false" ht="15" hidden="false" customHeight="false" outlineLevel="0" collapsed="false">
      <c r="A985" s="2" t="s">
        <v>948</v>
      </c>
      <c r="B985" s="2" t="s">
        <v>271</v>
      </c>
      <c r="C985" s="2" t="n">
        <v>1.25</v>
      </c>
      <c r="D985" s="2" t="s">
        <v>54</v>
      </c>
      <c r="E985" s="2" t="s">
        <v>2492</v>
      </c>
      <c r="F985" s="2" t="n">
        <v>0.62</v>
      </c>
      <c r="G985" s="2" t="n">
        <v>1.88</v>
      </c>
      <c r="H985" s="2" t="s">
        <v>1689</v>
      </c>
      <c r="I985" s="2" t="n">
        <v>4</v>
      </c>
    </row>
    <row r="986" customFormat="false" ht="15" hidden="false" customHeight="false" outlineLevel="0" collapsed="false">
      <c r="A986" s="2" t="s">
        <v>948</v>
      </c>
      <c r="B986" s="2" t="s">
        <v>349</v>
      </c>
      <c r="C986" s="2" t="n">
        <v>1</v>
      </c>
      <c r="D986" s="2" t="s">
        <v>1687</v>
      </c>
      <c r="E986" s="2" t="s">
        <v>2493</v>
      </c>
      <c r="F986" s="2"/>
      <c r="G986" s="2" t="n">
        <v>2</v>
      </c>
      <c r="H986" s="2" t="s">
        <v>1689</v>
      </c>
      <c r="I986" s="2" t="n">
        <v>5</v>
      </c>
    </row>
    <row r="987" customFormat="false" ht="15" hidden="false" customHeight="false" outlineLevel="0" collapsed="false">
      <c r="A987" s="2" t="s">
        <v>948</v>
      </c>
      <c r="B987" s="2" t="s">
        <v>177</v>
      </c>
      <c r="C987" s="2" t="n">
        <v>40</v>
      </c>
      <c r="D987" s="2" t="s">
        <v>54</v>
      </c>
      <c r="E987" s="2" t="s">
        <v>2494</v>
      </c>
      <c r="F987" s="2" t="n">
        <v>20</v>
      </c>
      <c r="G987" s="2" t="n">
        <v>60</v>
      </c>
      <c r="H987" s="2" t="s">
        <v>1689</v>
      </c>
      <c r="I987" s="2" t="n">
        <v>6</v>
      </c>
    </row>
    <row r="988" customFormat="false" ht="15" hidden="false" customHeight="false" outlineLevel="0" collapsed="false">
      <c r="A988" s="2" t="s">
        <v>948</v>
      </c>
      <c r="B988" s="2" t="s">
        <v>189</v>
      </c>
      <c r="C988" s="2" t="n">
        <v>60</v>
      </c>
      <c r="D988" s="2" t="s">
        <v>54</v>
      </c>
      <c r="E988" s="2" t="s">
        <v>2495</v>
      </c>
      <c r="F988" s="2" t="n">
        <v>30</v>
      </c>
      <c r="G988" s="2" t="n">
        <v>90</v>
      </c>
      <c r="H988" s="2" t="s">
        <v>1689</v>
      </c>
      <c r="I988" s="2" t="n">
        <v>7</v>
      </c>
    </row>
    <row r="989" customFormat="false" ht="15" hidden="false" customHeight="false" outlineLevel="0" collapsed="false">
      <c r="A989" s="2" t="s">
        <v>948</v>
      </c>
      <c r="B989" s="2" t="s">
        <v>524</v>
      </c>
      <c r="C989" s="2" t="n">
        <v>40</v>
      </c>
      <c r="D989" s="2" t="s">
        <v>54</v>
      </c>
      <c r="E989" s="2" t="s">
        <v>2496</v>
      </c>
      <c r="F989" s="2" t="n">
        <v>20</v>
      </c>
      <c r="G989" s="2" t="n">
        <v>60</v>
      </c>
      <c r="H989" s="2" t="s">
        <v>1689</v>
      </c>
      <c r="I989" s="2" t="n">
        <v>8</v>
      </c>
    </row>
    <row r="990" customFormat="false" ht="15" hidden="false" customHeight="false" outlineLevel="0" collapsed="false">
      <c r="A990" s="2" t="s">
        <v>948</v>
      </c>
      <c r="B990" s="2" t="s">
        <v>458</v>
      </c>
      <c r="C990" s="2" t="n">
        <v>37.5</v>
      </c>
      <c r="D990" s="2" t="s">
        <v>54</v>
      </c>
      <c r="E990" s="2" t="s">
        <v>2497</v>
      </c>
      <c r="F990" s="2" t="n">
        <v>18.75</v>
      </c>
      <c r="G990" s="2" t="n">
        <v>56.25</v>
      </c>
      <c r="H990" s="2" t="s">
        <v>1689</v>
      </c>
      <c r="I990" s="2" t="n">
        <v>9</v>
      </c>
    </row>
    <row r="991" customFormat="false" ht="15" hidden="false" customHeight="false" outlineLevel="0" collapsed="false">
      <c r="A991" s="2" t="s">
        <v>948</v>
      </c>
      <c r="B991" s="2" t="s">
        <v>301</v>
      </c>
      <c r="C991" s="2" t="n">
        <v>5</v>
      </c>
      <c r="D991" s="2" t="s">
        <v>54</v>
      </c>
      <c r="E991" s="2" t="s">
        <v>2498</v>
      </c>
      <c r="F991" s="2" t="n">
        <v>2.5</v>
      </c>
      <c r="G991" s="2" t="n">
        <v>7.5</v>
      </c>
      <c r="H991" s="2" t="s">
        <v>1689</v>
      </c>
      <c r="I991" s="2" t="n">
        <v>10</v>
      </c>
    </row>
    <row r="992" customFormat="false" ht="15" hidden="false" customHeight="false" outlineLevel="0" collapsed="false">
      <c r="A992" s="2" t="s">
        <v>948</v>
      </c>
      <c r="B992" s="2" t="s">
        <v>375</v>
      </c>
      <c r="C992" s="2" t="n">
        <v>0.5</v>
      </c>
      <c r="D992" s="2" t="s">
        <v>1687</v>
      </c>
      <c r="E992" s="2" t="s">
        <v>2499</v>
      </c>
      <c r="F992" s="2"/>
      <c r="G992" s="2" t="n">
        <v>1.5</v>
      </c>
      <c r="H992" s="2" t="s">
        <v>1689</v>
      </c>
      <c r="I992" s="2" t="n">
        <v>11</v>
      </c>
    </row>
    <row r="993" customFormat="false" ht="15" hidden="false" customHeight="false" outlineLevel="0" collapsed="false">
      <c r="A993" s="2" t="s">
        <v>948</v>
      </c>
      <c r="B993" s="2" t="s">
        <v>67</v>
      </c>
      <c r="C993" s="2" t="n">
        <v>30</v>
      </c>
      <c r="D993" s="2" t="s">
        <v>54</v>
      </c>
      <c r="E993" s="2" t="s">
        <v>2438</v>
      </c>
      <c r="F993" s="2" t="n">
        <v>15</v>
      </c>
      <c r="G993" s="2" t="n">
        <v>45</v>
      </c>
      <c r="H993" s="2" t="s">
        <v>1693</v>
      </c>
      <c r="I993" s="2" t="n">
        <v>12</v>
      </c>
    </row>
    <row r="994" customFormat="false" ht="15" hidden="false" customHeight="false" outlineLevel="0" collapsed="false">
      <c r="A994" s="2" t="s">
        <v>948</v>
      </c>
      <c r="B994" s="2" t="s">
        <v>462</v>
      </c>
      <c r="C994" s="2" t="n">
        <v>15</v>
      </c>
      <c r="D994" s="2" t="s">
        <v>54</v>
      </c>
      <c r="E994" s="2" t="s">
        <v>2500</v>
      </c>
      <c r="F994" s="2" t="n">
        <v>7.5</v>
      </c>
      <c r="G994" s="2" t="n">
        <v>22.5</v>
      </c>
      <c r="H994" s="2" t="s">
        <v>1693</v>
      </c>
      <c r="I994" s="2" t="n">
        <v>13</v>
      </c>
    </row>
    <row r="995" customFormat="false" ht="15" hidden="false" customHeight="false" outlineLevel="0" collapsed="false">
      <c r="A995" s="2" t="s">
        <v>948</v>
      </c>
      <c r="B995" s="2" t="s">
        <v>394</v>
      </c>
      <c r="C995" s="2" t="n">
        <v>20</v>
      </c>
      <c r="D995" s="2" t="s">
        <v>54</v>
      </c>
      <c r="E995" s="2" t="s">
        <v>2501</v>
      </c>
      <c r="F995" s="2" t="n">
        <v>10</v>
      </c>
      <c r="G995" s="2" t="n">
        <v>30</v>
      </c>
      <c r="H995" s="2" t="s">
        <v>1689</v>
      </c>
      <c r="I995" s="2" t="n">
        <v>14</v>
      </c>
    </row>
    <row r="996" customFormat="false" ht="15" hidden="false" customHeight="false" outlineLevel="0" collapsed="false">
      <c r="A996" s="2" t="s">
        <v>948</v>
      </c>
      <c r="B996" s="2" t="s">
        <v>480</v>
      </c>
      <c r="C996" s="2" t="n">
        <v>1</v>
      </c>
      <c r="D996" s="2" t="s">
        <v>54</v>
      </c>
      <c r="E996" s="2" t="s">
        <v>132</v>
      </c>
      <c r="F996" s="2" t="n">
        <v>0.5</v>
      </c>
      <c r="G996" s="2" t="n">
        <v>1.5</v>
      </c>
      <c r="H996" s="2" t="s">
        <v>1689</v>
      </c>
      <c r="I996" s="2" t="n">
        <v>15</v>
      </c>
    </row>
    <row r="997" customFormat="false" ht="15" hidden="false" customHeight="false" outlineLevel="0" collapsed="false">
      <c r="A997" s="2" t="s">
        <v>952</v>
      </c>
      <c r="B997" s="2" t="s">
        <v>221</v>
      </c>
      <c r="C997" s="2" t="n">
        <v>140</v>
      </c>
      <c r="D997" s="2" t="s">
        <v>54</v>
      </c>
      <c r="E997" s="2" t="s">
        <v>2502</v>
      </c>
      <c r="F997" s="2" t="n">
        <v>70</v>
      </c>
      <c r="G997" s="2" t="n">
        <v>210</v>
      </c>
      <c r="H997" s="2" t="s">
        <v>1693</v>
      </c>
      <c r="I997" s="2" t="n">
        <v>1</v>
      </c>
    </row>
    <row r="998" customFormat="false" ht="15" hidden="false" customHeight="false" outlineLevel="0" collapsed="false">
      <c r="A998" s="2" t="s">
        <v>952</v>
      </c>
      <c r="B998" s="2" t="s">
        <v>67</v>
      </c>
      <c r="C998" s="2" t="n">
        <v>30</v>
      </c>
      <c r="D998" s="2" t="s">
        <v>54</v>
      </c>
      <c r="E998" s="2" t="s">
        <v>2503</v>
      </c>
      <c r="F998" s="2" t="n">
        <v>15</v>
      </c>
      <c r="G998" s="2" t="n">
        <v>45</v>
      </c>
      <c r="H998" s="2" t="s">
        <v>1693</v>
      </c>
      <c r="I998" s="2" t="n">
        <v>2</v>
      </c>
    </row>
    <row r="999" customFormat="false" ht="15" hidden="false" customHeight="false" outlineLevel="0" collapsed="false">
      <c r="A999" s="2" t="s">
        <v>952</v>
      </c>
      <c r="B999" s="2" t="s">
        <v>262</v>
      </c>
      <c r="C999" s="2" t="n">
        <v>7.5</v>
      </c>
      <c r="D999" s="2" t="s">
        <v>54</v>
      </c>
      <c r="E999" s="2" t="s">
        <v>2504</v>
      </c>
      <c r="F999" s="2" t="n">
        <v>3.75</v>
      </c>
      <c r="G999" s="2" t="n">
        <v>11.25</v>
      </c>
      <c r="H999" s="2" t="s">
        <v>1689</v>
      </c>
      <c r="I999" s="2" t="n">
        <v>3</v>
      </c>
    </row>
    <row r="1000" customFormat="false" ht="15" hidden="false" customHeight="false" outlineLevel="0" collapsed="false">
      <c r="A1000" s="2" t="s">
        <v>952</v>
      </c>
      <c r="B1000" s="2" t="s">
        <v>365</v>
      </c>
      <c r="C1000" s="2" t="n">
        <v>0.5</v>
      </c>
      <c r="D1000" s="2" t="s">
        <v>1687</v>
      </c>
      <c r="E1000" s="2" t="s">
        <v>2505</v>
      </c>
      <c r="F1000" s="2"/>
      <c r="G1000" s="2" t="n">
        <v>1.5</v>
      </c>
      <c r="H1000" s="2" t="s">
        <v>1689</v>
      </c>
      <c r="I1000" s="2" t="n">
        <v>4</v>
      </c>
    </row>
    <row r="1001" customFormat="false" ht="15" hidden="false" customHeight="false" outlineLevel="0" collapsed="false">
      <c r="A1001" s="2" t="s">
        <v>952</v>
      </c>
      <c r="B1001" s="2" t="s">
        <v>436</v>
      </c>
      <c r="C1001" s="2" t="n">
        <v>1</v>
      </c>
      <c r="D1001" s="2" t="s">
        <v>1687</v>
      </c>
      <c r="E1001" s="2" t="s">
        <v>2506</v>
      </c>
      <c r="F1001" s="2"/>
      <c r="G1001" s="2" t="n">
        <v>2</v>
      </c>
      <c r="H1001" s="2" t="s">
        <v>1689</v>
      </c>
      <c r="I1001" s="2" t="n">
        <v>5</v>
      </c>
    </row>
    <row r="1002" customFormat="false" ht="15" hidden="false" customHeight="false" outlineLevel="0" collapsed="false">
      <c r="A1002" s="2" t="s">
        <v>952</v>
      </c>
      <c r="B1002" s="2" t="s">
        <v>382</v>
      </c>
      <c r="C1002" s="2" t="n">
        <v>21</v>
      </c>
      <c r="D1002" s="2" t="s">
        <v>54</v>
      </c>
      <c r="E1002" s="2" t="s">
        <v>2507</v>
      </c>
      <c r="F1002" s="2" t="n">
        <v>10.5</v>
      </c>
      <c r="G1002" s="2" t="n">
        <v>31.5</v>
      </c>
      <c r="H1002" s="2" t="s">
        <v>1689</v>
      </c>
      <c r="I1002" s="2" t="n">
        <v>6</v>
      </c>
    </row>
    <row r="1003" customFormat="false" ht="15" hidden="false" customHeight="false" outlineLevel="0" collapsed="false">
      <c r="A1003" s="2" t="s">
        <v>952</v>
      </c>
      <c r="B1003" s="2" t="s">
        <v>67</v>
      </c>
      <c r="C1003" s="2" t="n">
        <v>45</v>
      </c>
      <c r="D1003" s="2" t="s">
        <v>54</v>
      </c>
      <c r="E1003" s="2" t="s">
        <v>2508</v>
      </c>
      <c r="F1003" s="2" t="n">
        <v>22.5</v>
      </c>
      <c r="G1003" s="2" t="n">
        <v>67.5</v>
      </c>
      <c r="H1003" s="2" t="s">
        <v>1693</v>
      </c>
      <c r="I1003" s="2" t="n">
        <v>7</v>
      </c>
    </row>
    <row r="1004" customFormat="false" ht="15" hidden="false" customHeight="false" outlineLevel="0" collapsed="false">
      <c r="A1004" s="2" t="s">
        <v>952</v>
      </c>
      <c r="B1004" s="2" t="s">
        <v>260</v>
      </c>
      <c r="C1004" s="2" t="n">
        <v>40</v>
      </c>
      <c r="D1004" s="2" t="s">
        <v>54</v>
      </c>
      <c r="E1004" s="2" t="s">
        <v>2509</v>
      </c>
      <c r="F1004" s="2" t="n">
        <v>20</v>
      </c>
      <c r="G1004" s="2" t="n">
        <v>60</v>
      </c>
      <c r="H1004" s="2" t="s">
        <v>1689</v>
      </c>
      <c r="I1004" s="2" t="n">
        <v>8</v>
      </c>
    </row>
    <row r="1005" customFormat="false" ht="15" hidden="false" customHeight="false" outlineLevel="0" collapsed="false">
      <c r="A1005" s="2" t="s">
        <v>952</v>
      </c>
      <c r="B1005" s="2" t="s">
        <v>301</v>
      </c>
      <c r="C1005" s="2" t="n">
        <v>5</v>
      </c>
      <c r="D1005" s="2" t="s">
        <v>54</v>
      </c>
      <c r="E1005" s="2" t="s">
        <v>2510</v>
      </c>
      <c r="F1005" s="2" t="n">
        <v>2.5</v>
      </c>
      <c r="G1005" s="2" t="n">
        <v>7.5</v>
      </c>
      <c r="H1005" s="2" t="s">
        <v>1689</v>
      </c>
      <c r="I1005" s="2" t="n">
        <v>9</v>
      </c>
    </row>
    <row r="1006" customFormat="false" ht="15" hidden="false" customHeight="false" outlineLevel="0" collapsed="false">
      <c r="A1006" s="2" t="s">
        <v>952</v>
      </c>
      <c r="B1006" s="2" t="s">
        <v>394</v>
      </c>
      <c r="C1006" s="2" t="n">
        <v>20</v>
      </c>
      <c r="D1006" s="2" t="s">
        <v>54</v>
      </c>
      <c r="E1006" s="2" t="s">
        <v>2501</v>
      </c>
      <c r="F1006" s="2" t="n">
        <v>10</v>
      </c>
      <c r="G1006" s="2" t="n">
        <v>30</v>
      </c>
      <c r="H1006" s="2" t="s">
        <v>1689</v>
      </c>
      <c r="I1006" s="2" t="n">
        <v>10</v>
      </c>
    </row>
    <row r="1007" customFormat="false" ht="15" hidden="false" customHeight="false" outlineLevel="0" collapsed="false">
      <c r="A1007" s="2" t="s">
        <v>952</v>
      </c>
      <c r="B1007" s="2" t="s">
        <v>480</v>
      </c>
      <c r="C1007" s="2" t="n">
        <v>1</v>
      </c>
      <c r="D1007" s="2" t="s">
        <v>54</v>
      </c>
      <c r="E1007" s="2" t="s">
        <v>132</v>
      </c>
      <c r="F1007" s="2" t="n">
        <v>0.5</v>
      </c>
      <c r="G1007" s="2" t="n">
        <v>1.5</v>
      </c>
      <c r="H1007" s="2" t="s">
        <v>1689</v>
      </c>
      <c r="I1007" s="2" t="n">
        <v>11</v>
      </c>
    </row>
    <row r="1008" customFormat="false" ht="15" hidden="false" customHeight="false" outlineLevel="0" collapsed="false">
      <c r="A1008" s="2" t="s">
        <v>956</v>
      </c>
      <c r="B1008" s="2" t="s">
        <v>355</v>
      </c>
      <c r="C1008" s="2" t="n">
        <v>130</v>
      </c>
      <c r="D1008" s="2" t="s">
        <v>54</v>
      </c>
      <c r="E1008" s="2" t="s">
        <v>2511</v>
      </c>
      <c r="F1008" s="2" t="n">
        <v>65</v>
      </c>
      <c r="G1008" s="2" t="n">
        <v>195</v>
      </c>
      <c r="H1008" s="2" t="s">
        <v>1693</v>
      </c>
      <c r="I1008" s="2" t="n">
        <v>1</v>
      </c>
    </row>
    <row r="1009" customFormat="false" ht="15" hidden="false" customHeight="false" outlineLevel="0" collapsed="false">
      <c r="A1009" s="2" t="s">
        <v>956</v>
      </c>
      <c r="B1009" s="2" t="s">
        <v>129</v>
      </c>
      <c r="C1009" s="2" t="n">
        <v>4.5</v>
      </c>
      <c r="D1009" s="2" t="s">
        <v>54</v>
      </c>
      <c r="E1009" s="2" t="s">
        <v>2421</v>
      </c>
      <c r="F1009" s="2" t="n">
        <v>2.25</v>
      </c>
      <c r="G1009" s="2" t="n">
        <v>6.75</v>
      </c>
      <c r="H1009" s="2" t="s">
        <v>1700</v>
      </c>
      <c r="I1009" s="2" t="n">
        <v>2</v>
      </c>
    </row>
    <row r="1010" customFormat="false" ht="15" hidden="false" customHeight="false" outlineLevel="0" collapsed="false">
      <c r="A1010" s="2" t="s">
        <v>956</v>
      </c>
      <c r="B1010" s="2" t="s">
        <v>454</v>
      </c>
      <c r="C1010" s="2" t="n">
        <v>75</v>
      </c>
      <c r="D1010" s="2" t="s">
        <v>54</v>
      </c>
      <c r="E1010" s="2" t="s">
        <v>2512</v>
      </c>
      <c r="F1010" s="2" t="n">
        <v>37.5</v>
      </c>
      <c r="G1010" s="2" t="n">
        <v>112.5</v>
      </c>
      <c r="H1010" s="2" t="s">
        <v>1689</v>
      </c>
      <c r="I1010" s="2" t="n">
        <v>3</v>
      </c>
    </row>
    <row r="1011" customFormat="false" ht="15" hidden="false" customHeight="false" outlineLevel="0" collapsed="false">
      <c r="A1011" s="2" t="s">
        <v>956</v>
      </c>
      <c r="B1011" s="2" t="s">
        <v>409</v>
      </c>
      <c r="C1011" s="2" t="n">
        <v>75</v>
      </c>
      <c r="D1011" s="2" t="s">
        <v>54</v>
      </c>
      <c r="E1011" s="2" t="s">
        <v>2513</v>
      </c>
      <c r="F1011" s="2" t="n">
        <v>37.5</v>
      </c>
      <c r="G1011" s="2" t="n">
        <v>112.5</v>
      </c>
      <c r="H1011" s="2" t="s">
        <v>1689</v>
      </c>
      <c r="I1011" s="2" t="n">
        <v>4</v>
      </c>
    </row>
    <row r="1012" customFormat="false" ht="15" hidden="false" customHeight="false" outlineLevel="0" collapsed="false">
      <c r="A1012" s="2" t="s">
        <v>956</v>
      </c>
      <c r="B1012" s="2" t="s">
        <v>166</v>
      </c>
      <c r="C1012" s="2" t="n">
        <v>2.4</v>
      </c>
      <c r="D1012" s="2" t="s">
        <v>1687</v>
      </c>
      <c r="E1012" s="2" t="s">
        <v>2514</v>
      </c>
      <c r="F1012" s="2" t="n">
        <v>1.4</v>
      </c>
      <c r="G1012" s="2" t="n">
        <v>3.4</v>
      </c>
      <c r="H1012" s="2" t="s">
        <v>1689</v>
      </c>
      <c r="I1012" s="2" t="n">
        <v>5</v>
      </c>
    </row>
    <row r="1013" customFormat="false" ht="15" hidden="false" customHeight="false" outlineLevel="0" collapsed="false">
      <c r="A1013" s="2" t="s">
        <v>956</v>
      </c>
      <c r="B1013" s="2" t="s">
        <v>462</v>
      </c>
      <c r="C1013" s="2" t="n">
        <v>30</v>
      </c>
      <c r="D1013" s="2" t="s">
        <v>54</v>
      </c>
      <c r="E1013" s="2" t="s">
        <v>2515</v>
      </c>
      <c r="F1013" s="2" t="n">
        <v>15</v>
      </c>
      <c r="G1013" s="2" t="n">
        <v>45</v>
      </c>
      <c r="H1013" s="2" t="s">
        <v>1693</v>
      </c>
      <c r="I1013" s="2" t="n">
        <v>6</v>
      </c>
    </row>
    <row r="1014" customFormat="false" ht="15" hidden="false" customHeight="false" outlineLevel="0" collapsed="false">
      <c r="A1014" s="2" t="s">
        <v>956</v>
      </c>
      <c r="B1014" s="2" t="s">
        <v>480</v>
      </c>
      <c r="C1014" s="2" t="n">
        <v>1</v>
      </c>
      <c r="D1014" s="2" t="s">
        <v>54</v>
      </c>
      <c r="E1014" s="2" t="s">
        <v>132</v>
      </c>
      <c r="F1014" s="2" t="n">
        <v>0.5</v>
      </c>
      <c r="G1014" s="2" t="n">
        <v>1.5</v>
      </c>
      <c r="H1014" s="2" t="s">
        <v>1689</v>
      </c>
      <c r="I1014" s="2" t="n">
        <v>7</v>
      </c>
    </row>
    <row r="1015" customFormat="false" ht="15" hidden="false" customHeight="false" outlineLevel="0" collapsed="false">
      <c r="A1015" s="2" t="s">
        <v>960</v>
      </c>
      <c r="B1015" s="2" t="s">
        <v>353</v>
      </c>
      <c r="C1015" s="2" t="n">
        <v>130</v>
      </c>
      <c r="D1015" s="2" t="s">
        <v>54</v>
      </c>
      <c r="E1015" s="2" t="s">
        <v>2516</v>
      </c>
      <c r="F1015" s="2" t="n">
        <v>65</v>
      </c>
      <c r="G1015" s="2" t="n">
        <v>195</v>
      </c>
      <c r="H1015" s="2" t="s">
        <v>1693</v>
      </c>
      <c r="I1015" s="2" t="n">
        <v>1</v>
      </c>
    </row>
    <row r="1016" customFormat="false" ht="15" hidden="false" customHeight="false" outlineLevel="0" collapsed="false">
      <c r="A1016" s="2" t="s">
        <v>960</v>
      </c>
      <c r="B1016" s="2" t="s">
        <v>193</v>
      </c>
      <c r="C1016" s="2" t="n">
        <v>15</v>
      </c>
      <c r="D1016" s="2" t="s">
        <v>54</v>
      </c>
      <c r="E1016" s="2" t="s">
        <v>2461</v>
      </c>
      <c r="F1016" s="2" t="n">
        <v>7.5</v>
      </c>
      <c r="G1016" s="2" t="n">
        <v>22.5</v>
      </c>
      <c r="H1016" s="2" t="s">
        <v>1689</v>
      </c>
      <c r="I1016" s="2" t="n">
        <v>2</v>
      </c>
    </row>
    <row r="1017" customFormat="false" ht="15" hidden="false" customHeight="false" outlineLevel="0" collapsed="false">
      <c r="A1017" s="2" t="s">
        <v>960</v>
      </c>
      <c r="B1017" s="2" t="s">
        <v>312</v>
      </c>
      <c r="C1017" s="2" t="n">
        <v>0.5</v>
      </c>
      <c r="D1017" s="2" t="s">
        <v>1687</v>
      </c>
      <c r="E1017" s="2" t="s">
        <v>2478</v>
      </c>
      <c r="F1017" s="2"/>
      <c r="G1017" s="2" t="n">
        <v>1.5</v>
      </c>
      <c r="H1017" s="2" t="s">
        <v>1689</v>
      </c>
      <c r="I1017" s="2" t="n">
        <v>3</v>
      </c>
    </row>
    <row r="1018" customFormat="false" ht="15" hidden="false" customHeight="false" outlineLevel="0" collapsed="false">
      <c r="A1018" s="2" t="s">
        <v>960</v>
      </c>
      <c r="B1018" s="2" t="s">
        <v>271</v>
      </c>
      <c r="C1018" s="2" t="n">
        <v>2.5</v>
      </c>
      <c r="D1018" s="2" t="s">
        <v>54</v>
      </c>
      <c r="E1018" s="2" t="s">
        <v>2517</v>
      </c>
      <c r="F1018" s="2" t="n">
        <v>1.25</v>
      </c>
      <c r="G1018" s="2" t="n">
        <v>3.75</v>
      </c>
      <c r="H1018" s="2" t="s">
        <v>1689</v>
      </c>
      <c r="I1018" s="2" t="n">
        <v>4</v>
      </c>
    </row>
    <row r="1019" customFormat="false" ht="15" hidden="false" customHeight="false" outlineLevel="0" collapsed="false">
      <c r="A1019" s="2" t="s">
        <v>960</v>
      </c>
      <c r="B1019" s="2" t="s">
        <v>422</v>
      </c>
      <c r="C1019" s="2" t="n">
        <v>120</v>
      </c>
      <c r="D1019" s="2" t="s">
        <v>54</v>
      </c>
      <c r="E1019" s="2" t="s">
        <v>2518</v>
      </c>
      <c r="F1019" s="2" t="n">
        <v>60</v>
      </c>
      <c r="G1019" s="2" t="n">
        <v>180</v>
      </c>
      <c r="H1019" s="2" t="s">
        <v>1689</v>
      </c>
      <c r="I1019" s="2" t="n">
        <v>5</v>
      </c>
    </row>
    <row r="1020" customFormat="false" ht="15" hidden="false" customHeight="false" outlineLevel="0" collapsed="false">
      <c r="A1020" s="2" t="s">
        <v>960</v>
      </c>
      <c r="B1020" s="2" t="s">
        <v>312</v>
      </c>
      <c r="C1020" s="2" t="n">
        <v>0.5</v>
      </c>
      <c r="D1020" s="2" t="s">
        <v>1687</v>
      </c>
      <c r="E1020" s="2" t="s">
        <v>2519</v>
      </c>
      <c r="F1020" s="2"/>
      <c r="G1020" s="2" t="n">
        <v>1.5</v>
      </c>
      <c r="H1020" s="2" t="s">
        <v>1689</v>
      </c>
      <c r="I1020" s="2" t="n">
        <v>6</v>
      </c>
    </row>
    <row r="1021" customFormat="false" ht="15" hidden="false" customHeight="false" outlineLevel="0" collapsed="false">
      <c r="A1021" s="2" t="s">
        <v>960</v>
      </c>
      <c r="B1021" s="2" t="s">
        <v>301</v>
      </c>
      <c r="C1021" s="2" t="n">
        <v>5</v>
      </c>
      <c r="D1021" s="2" t="s">
        <v>54</v>
      </c>
      <c r="E1021" s="2" t="s">
        <v>2520</v>
      </c>
      <c r="F1021" s="2" t="n">
        <v>2.5</v>
      </c>
      <c r="G1021" s="2" t="n">
        <v>7.5</v>
      </c>
      <c r="H1021" s="2" t="s">
        <v>1689</v>
      </c>
      <c r="I1021" s="2" t="n">
        <v>7</v>
      </c>
    </row>
    <row r="1022" customFormat="false" ht="15" hidden="false" customHeight="false" outlineLevel="0" collapsed="false">
      <c r="A1022" s="2" t="s">
        <v>960</v>
      </c>
      <c r="B1022" s="2" t="s">
        <v>257</v>
      </c>
      <c r="C1022" s="2" t="n">
        <v>0.5</v>
      </c>
      <c r="D1022" s="2" t="s">
        <v>1687</v>
      </c>
      <c r="E1022" s="2" t="s">
        <v>2521</v>
      </c>
      <c r="F1022" s="2"/>
      <c r="G1022" s="2" t="n">
        <v>1.5</v>
      </c>
      <c r="H1022" s="2" t="s">
        <v>1689</v>
      </c>
      <c r="I1022" s="2" t="n">
        <v>8</v>
      </c>
    </row>
    <row r="1023" customFormat="false" ht="15" hidden="false" customHeight="false" outlineLevel="0" collapsed="false">
      <c r="A1023" s="2" t="s">
        <v>960</v>
      </c>
      <c r="B1023" s="2" t="s">
        <v>191</v>
      </c>
      <c r="C1023" s="2" t="n">
        <v>0.5</v>
      </c>
      <c r="D1023" s="2" t="s">
        <v>1687</v>
      </c>
      <c r="E1023" s="2" t="s">
        <v>2522</v>
      </c>
      <c r="F1023" s="2"/>
      <c r="G1023" s="2" t="n">
        <v>1.5</v>
      </c>
      <c r="H1023" s="2" t="s">
        <v>1689</v>
      </c>
      <c r="I1023" s="2" t="n">
        <v>9</v>
      </c>
    </row>
    <row r="1024" customFormat="false" ht="15" hidden="false" customHeight="false" outlineLevel="0" collapsed="false">
      <c r="A1024" s="2" t="s">
        <v>960</v>
      </c>
      <c r="B1024" s="2" t="s">
        <v>464</v>
      </c>
      <c r="C1024" s="2" t="n">
        <v>15</v>
      </c>
      <c r="D1024" s="2" t="s">
        <v>54</v>
      </c>
      <c r="E1024" s="2" t="s">
        <v>2523</v>
      </c>
      <c r="F1024" s="2" t="n">
        <v>7.5</v>
      </c>
      <c r="G1024" s="2" t="n">
        <v>22.5</v>
      </c>
      <c r="H1024" s="2" t="s">
        <v>1693</v>
      </c>
      <c r="I1024" s="2" t="n">
        <v>10</v>
      </c>
    </row>
    <row r="1025" customFormat="false" ht="15" hidden="false" customHeight="false" outlineLevel="0" collapsed="false">
      <c r="A1025" s="2" t="s">
        <v>960</v>
      </c>
      <c r="B1025" s="2" t="s">
        <v>377</v>
      </c>
      <c r="C1025" s="2" t="n">
        <v>1</v>
      </c>
      <c r="D1025" s="2" t="s">
        <v>54</v>
      </c>
      <c r="E1025" s="2" t="s">
        <v>2481</v>
      </c>
      <c r="F1025" s="2" t="n">
        <v>0.5</v>
      </c>
      <c r="G1025" s="2" t="n">
        <v>1.5</v>
      </c>
      <c r="H1025" s="2" t="s">
        <v>1700</v>
      </c>
      <c r="I1025" s="2" t="n">
        <v>11</v>
      </c>
    </row>
    <row r="1026" customFormat="false" ht="15" hidden="false" customHeight="false" outlineLevel="0" collapsed="false">
      <c r="A1026" s="2" t="s">
        <v>960</v>
      </c>
      <c r="B1026" s="2" t="s">
        <v>480</v>
      </c>
      <c r="C1026" s="2" t="n">
        <v>1</v>
      </c>
      <c r="D1026" s="2" t="s">
        <v>54</v>
      </c>
      <c r="E1026" s="2" t="s">
        <v>132</v>
      </c>
      <c r="F1026" s="2" t="n">
        <v>0.5</v>
      </c>
      <c r="G1026" s="2" t="n">
        <v>1.5</v>
      </c>
      <c r="H1026" s="2" t="s">
        <v>1689</v>
      </c>
      <c r="I1026" s="2" t="n">
        <v>12</v>
      </c>
    </row>
    <row r="1027" customFormat="false" ht="15" hidden="false" customHeight="false" outlineLevel="0" collapsed="false">
      <c r="A1027" s="2" t="s">
        <v>964</v>
      </c>
      <c r="B1027" s="2" t="s">
        <v>532</v>
      </c>
      <c r="C1027" s="2" t="n">
        <v>1</v>
      </c>
      <c r="D1027" s="2" t="s">
        <v>54</v>
      </c>
      <c r="E1027" s="2" t="s">
        <v>2524</v>
      </c>
      <c r="F1027" s="2" t="n">
        <v>0.5</v>
      </c>
      <c r="G1027" s="2" t="n">
        <v>1.5</v>
      </c>
      <c r="H1027" s="2" t="s">
        <v>1693</v>
      </c>
      <c r="I1027" s="2" t="n">
        <v>1</v>
      </c>
    </row>
    <row r="1028" customFormat="false" ht="15" hidden="false" customHeight="false" outlineLevel="0" collapsed="false">
      <c r="A1028" s="2" t="s">
        <v>964</v>
      </c>
      <c r="B1028" s="2" t="s">
        <v>67</v>
      </c>
      <c r="C1028" s="2" t="n">
        <v>30</v>
      </c>
      <c r="D1028" s="2" t="s">
        <v>54</v>
      </c>
      <c r="E1028" s="2" t="s">
        <v>2438</v>
      </c>
      <c r="F1028" s="2" t="n">
        <v>15</v>
      </c>
      <c r="G1028" s="2" t="n">
        <v>45</v>
      </c>
      <c r="H1028" s="2" t="s">
        <v>1693</v>
      </c>
      <c r="I1028" s="2" t="n">
        <v>2</v>
      </c>
    </row>
    <row r="1029" customFormat="false" ht="15" hidden="false" customHeight="false" outlineLevel="0" collapsed="false">
      <c r="A1029" s="2" t="s">
        <v>964</v>
      </c>
      <c r="B1029" s="2" t="s">
        <v>268</v>
      </c>
      <c r="C1029" s="2" t="n">
        <v>7</v>
      </c>
      <c r="D1029" s="2" t="s">
        <v>54</v>
      </c>
      <c r="E1029" s="2" t="s">
        <v>2476</v>
      </c>
      <c r="F1029" s="2" t="n">
        <v>3.5</v>
      </c>
      <c r="G1029" s="2" t="n">
        <v>10.5</v>
      </c>
      <c r="H1029" s="2" t="s">
        <v>1693</v>
      </c>
      <c r="I1029" s="2" t="n">
        <v>3</v>
      </c>
    </row>
    <row r="1030" customFormat="false" ht="15" hidden="false" customHeight="false" outlineLevel="0" collapsed="false">
      <c r="A1030" s="2" t="s">
        <v>964</v>
      </c>
      <c r="B1030" s="2" t="s">
        <v>500</v>
      </c>
      <c r="C1030" s="2" t="n">
        <v>1</v>
      </c>
      <c r="D1030" s="2" t="s">
        <v>1687</v>
      </c>
      <c r="E1030" s="2" t="s">
        <v>2525</v>
      </c>
      <c r="F1030" s="2"/>
      <c r="G1030" s="2" t="n">
        <v>2</v>
      </c>
      <c r="H1030" s="2" t="s">
        <v>1689</v>
      </c>
      <c r="I1030" s="2" t="n">
        <v>4</v>
      </c>
    </row>
    <row r="1031" customFormat="false" ht="15" hidden="false" customHeight="false" outlineLevel="0" collapsed="false">
      <c r="A1031" s="2" t="s">
        <v>964</v>
      </c>
      <c r="B1031" s="2" t="s">
        <v>516</v>
      </c>
      <c r="C1031" s="2" t="n">
        <v>20</v>
      </c>
      <c r="D1031" s="2" t="s">
        <v>54</v>
      </c>
      <c r="E1031" s="2" t="s">
        <v>2526</v>
      </c>
      <c r="F1031" s="2" t="n">
        <v>10</v>
      </c>
      <c r="G1031" s="2" t="n">
        <v>30</v>
      </c>
      <c r="H1031" s="2" t="s">
        <v>1689</v>
      </c>
      <c r="I1031" s="2" t="n">
        <v>5</v>
      </c>
    </row>
    <row r="1032" customFormat="false" ht="15" hidden="false" customHeight="false" outlineLevel="0" collapsed="false">
      <c r="A1032" s="2" t="s">
        <v>964</v>
      </c>
      <c r="B1032" s="2" t="s">
        <v>556</v>
      </c>
      <c r="C1032" s="2" t="n">
        <v>2</v>
      </c>
      <c r="D1032" s="2" t="s">
        <v>1687</v>
      </c>
      <c r="E1032" s="2" t="s">
        <v>2423</v>
      </c>
      <c r="F1032" s="2" t="n">
        <v>1</v>
      </c>
      <c r="G1032" s="2" t="n">
        <v>3</v>
      </c>
      <c r="H1032" s="2" t="s">
        <v>1689</v>
      </c>
      <c r="I1032" s="2" t="n">
        <v>6</v>
      </c>
    </row>
    <row r="1033" customFormat="false" ht="15" hidden="false" customHeight="false" outlineLevel="0" collapsed="false">
      <c r="A1033" s="2" t="s">
        <v>964</v>
      </c>
      <c r="B1033" s="2" t="s">
        <v>462</v>
      </c>
      <c r="C1033" s="2" t="n">
        <v>25</v>
      </c>
      <c r="D1033" s="2" t="s">
        <v>54</v>
      </c>
      <c r="E1033" s="2" t="s">
        <v>2527</v>
      </c>
      <c r="F1033" s="2" t="n">
        <v>12.5</v>
      </c>
      <c r="G1033" s="2" t="n">
        <v>37.5</v>
      </c>
      <c r="H1033" s="2" t="s">
        <v>1693</v>
      </c>
      <c r="I1033" s="2" t="n">
        <v>7</v>
      </c>
    </row>
    <row r="1034" customFormat="false" ht="15" hidden="false" customHeight="false" outlineLevel="0" collapsed="false">
      <c r="A1034" s="2" t="s">
        <v>964</v>
      </c>
      <c r="B1034" s="2" t="s">
        <v>480</v>
      </c>
      <c r="C1034" s="2" t="n">
        <v>1</v>
      </c>
      <c r="D1034" s="2" t="s">
        <v>54</v>
      </c>
      <c r="E1034" s="2" t="s">
        <v>132</v>
      </c>
      <c r="F1034" s="2" t="n">
        <v>0.5</v>
      </c>
      <c r="G1034" s="2" t="n">
        <v>1.5</v>
      </c>
      <c r="H1034" s="2" t="s">
        <v>1689</v>
      </c>
      <c r="I1034" s="2" t="n">
        <v>8</v>
      </c>
    </row>
    <row r="1035" customFormat="false" ht="15" hidden="false" customHeight="false" outlineLevel="0" collapsed="false">
      <c r="A1035" s="2" t="s">
        <v>968</v>
      </c>
      <c r="B1035" s="2" t="s">
        <v>552</v>
      </c>
      <c r="C1035" s="2" t="n">
        <v>130</v>
      </c>
      <c r="D1035" s="2" t="s">
        <v>54</v>
      </c>
      <c r="E1035" s="2" t="s">
        <v>2528</v>
      </c>
      <c r="F1035" s="2" t="n">
        <v>65</v>
      </c>
      <c r="G1035" s="2" t="n">
        <v>195</v>
      </c>
      <c r="H1035" s="2" t="s">
        <v>1693</v>
      </c>
      <c r="I1035" s="2" t="n">
        <v>1</v>
      </c>
    </row>
    <row r="1036" customFormat="false" ht="15" hidden="false" customHeight="false" outlineLevel="0" collapsed="false">
      <c r="A1036" s="2" t="s">
        <v>968</v>
      </c>
      <c r="B1036" s="2" t="s">
        <v>440</v>
      </c>
      <c r="C1036" s="2" t="n">
        <v>9</v>
      </c>
      <c r="D1036" s="2" t="s">
        <v>54</v>
      </c>
      <c r="E1036" s="2" t="s">
        <v>2472</v>
      </c>
      <c r="F1036" s="2" t="n">
        <v>4.5</v>
      </c>
      <c r="G1036" s="2" t="n">
        <v>13.5</v>
      </c>
      <c r="H1036" s="2" t="s">
        <v>1689</v>
      </c>
      <c r="I1036" s="2" t="n">
        <v>2</v>
      </c>
    </row>
    <row r="1037" customFormat="false" ht="15" hidden="false" customHeight="false" outlineLevel="0" collapsed="false">
      <c r="A1037" s="2" t="s">
        <v>968</v>
      </c>
      <c r="B1037" s="2" t="s">
        <v>114</v>
      </c>
      <c r="C1037" s="2" t="n">
        <v>1</v>
      </c>
      <c r="D1037" s="2" t="s">
        <v>1687</v>
      </c>
      <c r="E1037" s="2" t="s">
        <v>2473</v>
      </c>
      <c r="F1037" s="2"/>
      <c r="G1037" s="2" t="n">
        <v>2</v>
      </c>
      <c r="H1037" s="2" t="s">
        <v>1693</v>
      </c>
      <c r="I1037" s="2" t="n">
        <v>3</v>
      </c>
    </row>
    <row r="1038" customFormat="false" ht="15" hidden="false" customHeight="false" outlineLevel="0" collapsed="false">
      <c r="A1038" s="2" t="s">
        <v>968</v>
      </c>
      <c r="B1038" s="2" t="s">
        <v>193</v>
      </c>
      <c r="C1038" s="2" t="n">
        <v>25</v>
      </c>
      <c r="D1038" s="2" t="s">
        <v>54</v>
      </c>
      <c r="E1038" s="2" t="s">
        <v>2471</v>
      </c>
      <c r="F1038" s="2" t="n">
        <v>12.5</v>
      </c>
      <c r="G1038" s="2" t="n">
        <v>37.5</v>
      </c>
      <c r="H1038" s="2" t="s">
        <v>1689</v>
      </c>
      <c r="I1038" s="2" t="n">
        <v>4</v>
      </c>
    </row>
    <row r="1039" customFormat="false" ht="15" hidden="false" customHeight="false" outlineLevel="0" collapsed="false">
      <c r="A1039" s="2" t="s">
        <v>968</v>
      </c>
      <c r="B1039" s="2" t="s">
        <v>191</v>
      </c>
      <c r="C1039" s="2" t="n">
        <v>1</v>
      </c>
      <c r="D1039" s="2" t="s">
        <v>1687</v>
      </c>
      <c r="E1039" s="2" t="s">
        <v>2529</v>
      </c>
      <c r="F1039" s="2"/>
      <c r="G1039" s="2" t="n">
        <v>2</v>
      </c>
      <c r="H1039" s="2" t="s">
        <v>1689</v>
      </c>
      <c r="I1039" s="2" t="n">
        <v>5</v>
      </c>
    </row>
    <row r="1040" customFormat="false" ht="15" hidden="false" customHeight="false" outlineLevel="0" collapsed="false">
      <c r="A1040" s="2" t="s">
        <v>968</v>
      </c>
      <c r="B1040" s="2" t="s">
        <v>67</v>
      </c>
      <c r="C1040" s="2" t="n">
        <v>30</v>
      </c>
      <c r="D1040" s="2" t="s">
        <v>54</v>
      </c>
      <c r="E1040" s="2" t="s">
        <v>2438</v>
      </c>
      <c r="F1040" s="2" t="n">
        <v>15</v>
      </c>
      <c r="G1040" s="2" t="n">
        <v>45</v>
      </c>
      <c r="H1040" s="2" t="s">
        <v>1693</v>
      </c>
      <c r="I1040" s="2" t="n">
        <v>6</v>
      </c>
    </row>
    <row r="1041" customFormat="false" ht="15" hidden="false" customHeight="false" outlineLevel="0" collapsed="false">
      <c r="A1041" s="2" t="s">
        <v>968</v>
      </c>
      <c r="B1041" s="2" t="s">
        <v>314</v>
      </c>
      <c r="C1041" s="2" t="n">
        <v>5</v>
      </c>
      <c r="D1041" s="2" t="s">
        <v>54</v>
      </c>
      <c r="E1041" s="2" t="s">
        <v>2530</v>
      </c>
      <c r="F1041" s="2" t="n">
        <v>2.5</v>
      </c>
      <c r="G1041" s="2" t="n">
        <v>7.5</v>
      </c>
      <c r="H1041" s="2" t="s">
        <v>1689</v>
      </c>
      <c r="I1041" s="2" t="n">
        <v>7</v>
      </c>
    </row>
    <row r="1042" customFormat="false" ht="15" hidden="false" customHeight="false" outlineLevel="0" collapsed="false">
      <c r="A1042" s="2" t="s">
        <v>968</v>
      </c>
      <c r="B1042" s="2" t="s">
        <v>208</v>
      </c>
      <c r="C1042" s="2" t="n">
        <v>5</v>
      </c>
      <c r="D1042" s="2" t="s">
        <v>54</v>
      </c>
      <c r="E1042" s="2" t="s">
        <v>2531</v>
      </c>
      <c r="F1042" s="2" t="n">
        <v>2.5</v>
      </c>
      <c r="G1042" s="2" t="n">
        <v>7.5</v>
      </c>
      <c r="H1042" s="2" t="s">
        <v>1689</v>
      </c>
      <c r="I1042" s="2" t="n">
        <v>8</v>
      </c>
    </row>
    <row r="1043" customFormat="false" ht="15" hidden="false" customHeight="false" outlineLevel="0" collapsed="false">
      <c r="A1043" s="2" t="s">
        <v>968</v>
      </c>
      <c r="B1043" s="2" t="s">
        <v>365</v>
      </c>
      <c r="C1043" s="2" t="n">
        <v>0.5</v>
      </c>
      <c r="D1043" s="2" t="s">
        <v>1687</v>
      </c>
      <c r="E1043" s="2" t="s">
        <v>2505</v>
      </c>
      <c r="F1043" s="2"/>
      <c r="G1043" s="2" t="n">
        <v>1.5</v>
      </c>
      <c r="H1043" s="2" t="s">
        <v>1689</v>
      </c>
      <c r="I1043" s="2" t="n">
        <v>9</v>
      </c>
    </row>
    <row r="1044" customFormat="false" ht="15" hidden="false" customHeight="false" outlineLevel="0" collapsed="false">
      <c r="A1044" s="2" t="s">
        <v>968</v>
      </c>
      <c r="B1044" s="2" t="s">
        <v>394</v>
      </c>
      <c r="C1044" s="2" t="n">
        <v>20</v>
      </c>
      <c r="D1044" s="2" t="s">
        <v>54</v>
      </c>
      <c r="E1044" s="2" t="s">
        <v>2501</v>
      </c>
      <c r="F1044" s="2" t="n">
        <v>10</v>
      </c>
      <c r="G1044" s="2" t="n">
        <v>30</v>
      </c>
      <c r="H1044" s="2" t="s">
        <v>1689</v>
      </c>
      <c r="I1044" s="2" t="n">
        <v>10</v>
      </c>
    </row>
    <row r="1045" customFormat="false" ht="15" hidden="false" customHeight="false" outlineLevel="0" collapsed="false">
      <c r="A1045" s="2" t="s">
        <v>968</v>
      </c>
      <c r="B1045" s="2" t="s">
        <v>377</v>
      </c>
      <c r="C1045" s="2" t="n">
        <v>1</v>
      </c>
      <c r="D1045" s="2" t="s">
        <v>54</v>
      </c>
      <c r="E1045" s="2" t="s">
        <v>2481</v>
      </c>
      <c r="F1045" s="2" t="n">
        <v>0.5</v>
      </c>
      <c r="G1045" s="2" t="n">
        <v>1.5</v>
      </c>
      <c r="H1045" s="2" t="s">
        <v>1700</v>
      </c>
      <c r="I1045" s="2" t="n">
        <v>11</v>
      </c>
    </row>
    <row r="1046" customFormat="false" ht="15" hidden="false" customHeight="false" outlineLevel="0" collapsed="false">
      <c r="A1046" s="2" t="s">
        <v>968</v>
      </c>
      <c r="B1046" s="2" t="s">
        <v>480</v>
      </c>
      <c r="C1046" s="2" t="n">
        <v>1</v>
      </c>
      <c r="D1046" s="2" t="s">
        <v>54</v>
      </c>
      <c r="E1046" s="2" t="s">
        <v>132</v>
      </c>
      <c r="F1046" s="2" t="n">
        <v>0.5</v>
      </c>
      <c r="G1046" s="2" t="n">
        <v>1.5</v>
      </c>
      <c r="H1046" s="2" t="s">
        <v>1689</v>
      </c>
      <c r="I1046" s="2" t="n">
        <v>12</v>
      </c>
    </row>
    <row r="1047" customFormat="false" ht="15" hidden="false" customHeight="false" outlineLevel="0" collapsed="false">
      <c r="A1047" s="2" t="s">
        <v>972</v>
      </c>
      <c r="B1047" s="2" t="s">
        <v>221</v>
      </c>
      <c r="C1047" s="2" t="n">
        <v>140</v>
      </c>
      <c r="D1047" s="2" t="s">
        <v>54</v>
      </c>
      <c r="E1047" s="2" t="s">
        <v>2502</v>
      </c>
      <c r="F1047" s="2" t="n">
        <v>70</v>
      </c>
      <c r="G1047" s="2" t="n">
        <v>210</v>
      </c>
      <c r="H1047" s="2" t="s">
        <v>1693</v>
      </c>
      <c r="I1047" s="2" t="n">
        <v>1</v>
      </c>
    </row>
    <row r="1048" customFormat="false" ht="15" hidden="false" customHeight="false" outlineLevel="0" collapsed="false">
      <c r="A1048" s="2" t="s">
        <v>972</v>
      </c>
      <c r="B1048" s="2" t="s">
        <v>271</v>
      </c>
      <c r="C1048" s="2" t="n">
        <v>2.5</v>
      </c>
      <c r="D1048" s="2" t="s">
        <v>54</v>
      </c>
      <c r="E1048" s="2" t="s">
        <v>2517</v>
      </c>
      <c r="F1048" s="2" t="n">
        <v>1.25</v>
      </c>
      <c r="G1048" s="2" t="n">
        <v>3.75</v>
      </c>
      <c r="H1048" s="2" t="s">
        <v>1689</v>
      </c>
      <c r="I1048" s="2" t="n">
        <v>2</v>
      </c>
    </row>
    <row r="1049" customFormat="false" ht="15" hidden="false" customHeight="false" outlineLevel="0" collapsed="false">
      <c r="A1049" s="2" t="s">
        <v>972</v>
      </c>
      <c r="B1049" s="2" t="s">
        <v>365</v>
      </c>
      <c r="C1049" s="2" t="n">
        <v>0.5</v>
      </c>
      <c r="D1049" s="2" t="s">
        <v>1687</v>
      </c>
      <c r="E1049" s="2" t="s">
        <v>2505</v>
      </c>
      <c r="F1049" s="2"/>
      <c r="G1049" s="2" t="n">
        <v>1.5</v>
      </c>
      <c r="H1049" s="2" t="s">
        <v>1689</v>
      </c>
      <c r="I1049" s="2" t="n">
        <v>3</v>
      </c>
    </row>
    <row r="1050" customFormat="false" ht="15" hidden="false" customHeight="false" outlineLevel="0" collapsed="false">
      <c r="A1050" s="2" t="s">
        <v>972</v>
      </c>
      <c r="B1050" s="2" t="s">
        <v>312</v>
      </c>
      <c r="C1050" s="2" t="n">
        <v>0.5</v>
      </c>
      <c r="D1050" s="2" t="s">
        <v>1687</v>
      </c>
      <c r="E1050" s="2" t="s">
        <v>2478</v>
      </c>
      <c r="F1050" s="2"/>
      <c r="G1050" s="2" t="n">
        <v>1.5</v>
      </c>
      <c r="H1050" s="2" t="s">
        <v>1689</v>
      </c>
      <c r="I1050" s="2" t="n">
        <v>4</v>
      </c>
    </row>
    <row r="1051" customFormat="false" ht="15" hidden="false" customHeight="false" outlineLevel="0" collapsed="false">
      <c r="A1051" s="2" t="s">
        <v>972</v>
      </c>
      <c r="B1051" s="2" t="s">
        <v>436</v>
      </c>
      <c r="C1051" s="2" t="n">
        <v>1</v>
      </c>
      <c r="D1051" s="2" t="s">
        <v>1687</v>
      </c>
      <c r="E1051" s="2" t="s">
        <v>2506</v>
      </c>
      <c r="F1051" s="2"/>
      <c r="G1051" s="2" t="n">
        <v>2</v>
      </c>
      <c r="H1051" s="2" t="s">
        <v>1689</v>
      </c>
      <c r="I1051" s="2" t="n">
        <v>5</v>
      </c>
    </row>
    <row r="1052" customFormat="false" ht="15" hidden="false" customHeight="false" outlineLevel="0" collapsed="false">
      <c r="A1052" s="2" t="s">
        <v>972</v>
      </c>
      <c r="B1052" s="2" t="s">
        <v>334</v>
      </c>
      <c r="C1052" s="2" t="n">
        <v>30</v>
      </c>
      <c r="D1052" s="2" t="s">
        <v>54</v>
      </c>
      <c r="E1052" s="2" t="s">
        <v>2532</v>
      </c>
      <c r="F1052" s="2" t="n">
        <v>15</v>
      </c>
      <c r="G1052" s="2" t="n">
        <v>45</v>
      </c>
      <c r="H1052" s="2" t="s">
        <v>1700</v>
      </c>
      <c r="I1052" s="2" t="n">
        <v>6</v>
      </c>
    </row>
    <row r="1053" customFormat="false" ht="15" hidden="false" customHeight="false" outlineLevel="0" collapsed="false">
      <c r="A1053" s="2" t="s">
        <v>972</v>
      </c>
      <c r="B1053" s="2" t="s">
        <v>260</v>
      </c>
      <c r="C1053" s="2" t="n">
        <v>40</v>
      </c>
      <c r="D1053" s="2" t="s">
        <v>54</v>
      </c>
      <c r="E1053" s="2" t="s">
        <v>2533</v>
      </c>
      <c r="F1053" s="2" t="n">
        <v>20</v>
      </c>
      <c r="G1053" s="2" t="n">
        <v>60</v>
      </c>
      <c r="H1053" s="2" t="s">
        <v>1689</v>
      </c>
      <c r="I1053" s="2" t="n">
        <v>7</v>
      </c>
    </row>
    <row r="1054" customFormat="false" ht="15" hidden="false" customHeight="false" outlineLevel="0" collapsed="false">
      <c r="A1054" s="2" t="s">
        <v>972</v>
      </c>
      <c r="B1054" s="2" t="s">
        <v>524</v>
      </c>
      <c r="C1054" s="2" t="n">
        <v>40</v>
      </c>
      <c r="D1054" s="2" t="s">
        <v>54</v>
      </c>
      <c r="E1054" s="2" t="s">
        <v>2534</v>
      </c>
      <c r="F1054" s="2" t="n">
        <v>20</v>
      </c>
      <c r="G1054" s="2" t="n">
        <v>60</v>
      </c>
      <c r="H1054" s="2" t="s">
        <v>1689</v>
      </c>
      <c r="I1054" s="2" t="n">
        <v>8</v>
      </c>
    </row>
    <row r="1055" customFormat="false" ht="15" hidden="false" customHeight="false" outlineLevel="0" collapsed="false">
      <c r="A1055" s="2" t="s">
        <v>972</v>
      </c>
      <c r="B1055" s="2" t="s">
        <v>458</v>
      </c>
      <c r="C1055" s="2" t="n">
        <v>37.5</v>
      </c>
      <c r="D1055" s="2" t="s">
        <v>54</v>
      </c>
      <c r="E1055" s="2" t="s">
        <v>2487</v>
      </c>
      <c r="F1055" s="2" t="n">
        <v>18.75</v>
      </c>
      <c r="G1055" s="2" t="n">
        <v>56.25</v>
      </c>
      <c r="H1055" s="2" t="s">
        <v>1689</v>
      </c>
      <c r="I1055" s="2" t="n">
        <v>9</v>
      </c>
    </row>
    <row r="1056" customFormat="false" ht="15" hidden="false" customHeight="false" outlineLevel="0" collapsed="false">
      <c r="A1056" s="2" t="s">
        <v>972</v>
      </c>
      <c r="B1056" s="2" t="s">
        <v>289</v>
      </c>
      <c r="C1056" s="2" t="n">
        <v>10</v>
      </c>
      <c r="D1056" s="2" t="s">
        <v>54</v>
      </c>
      <c r="E1056" s="2" t="s">
        <v>2535</v>
      </c>
      <c r="F1056" s="2" t="n">
        <v>5</v>
      </c>
      <c r="G1056" s="2" t="n">
        <v>15</v>
      </c>
      <c r="H1056" s="2" t="s">
        <v>1700</v>
      </c>
      <c r="I1056" s="2" t="n">
        <v>10</v>
      </c>
    </row>
    <row r="1057" customFormat="false" ht="15" hidden="false" customHeight="false" outlineLevel="0" collapsed="false">
      <c r="A1057" s="2" t="s">
        <v>972</v>
      </c>
      <c r="B1057" s="2" t="s">
        <v>480</v>
      </c>
      <c r="C1057" s="2" t="n">
        <v>1</v>
      </c>
      <c r="D1057" s="2" t="s">
        <v>54</v>
      </c>
      <c r="E1057" s="2" t="s">
        <v>132</v>
      </c>
      <c r="F1057" s="2" t="n">
        <v>0.5</v>
      </c>
      <c r="G1057" s="2" t="n">
        <v>1.5</v>
      </c>
      <c r="H1057" s="2" t="s">
        <v>1689</v>
      </c>
      <c r="I1057" s="2" t="n">
        <v>11</v>
      </c>
    </row>
    <row r="1058" customFormat="false" ht="15" hidden="false" customHeight="false" outlineLevel="0" collapsed="false">
      <c r="A1058" s="2" t="s">
        <v>976</v>
      </c>
      <c r="B1058" s="2" t="s">
        <v>221</v>
      </c>
      <c r="C1058" s="2" t="n">
        <v>140</v>
      </c>
      <c r="D1058" s="2" t="s">
        <v>54</v>
      </c>
      <c r="E1058" s="2" t="s">
        <v>2502</v>
      </c>
      <c r="F1058" s="2" t="n">
        <v>70</v>
      </c>
      <c r="G1058" s="2" t="n">
        <v>210</v>
      </c>
      <c r="H1058" s="2" t="s">
        <v>1693</v>
      </c>
      <c r="I1058" s="2" t="n">
        <v>1</v>
      </c>
    </row>
    <row r="1059" customFormat="false" ht="15" hidden="false" customHeight="false" outlineLevel="0" collapsed="false">
      <c r="A1059" s="2" t="s">
        <v>976</v>
      </c>
      <c r="B1059" s="2" t="s">
        <v>496</v>
      </c>
      <c r="C1059" s="2" t="n">
        <v>15</v>
      </c>
      <c r="D1059" s="2" t="s">
        <v>76</v>
      </c>
      <c r="E1059" s="2" t="s">
        <v>2536</v>
      </c>
      <c r="F1059" s="2" t="n">
        <v>7.5</v>
      </c>
      <c r="G1059" s="2" t="n">
        <v>22.5</v>
      </c>
      <c r="H1059" s="2" t="s">
        <v>1693</v>
      </c>
      <c r="I1059" s="2" t="n">
        <v>2</v>
      </c>
    </row>
    <row r="1060" customFormat="false" ht="15" hidden="false" customHeight="false" outlineLevel="0" collapsed="false">
      <c r="A1060" s="2" t="s">
        <v>976</v>
      </c>
      <c r="B1060" s="2" t="s">
        <v>466</v>
      </c>
      <c r="C1060" s="2" t="n">
        <v>5</v>
      </c>
      <c r="D1060" s="2" t="s">
        <v>76</v>
      </c>
      <c r="E1060" s="2" t="s">
        <v>2537</v>
      </c>
      <c r="F1060" s="2" t="n">
        <v>2.5</v>
      </c>
      <c r="G1060" s="2" t="n">
        <v>7.5</v>
      </c>
      <c r="H1060" s="2" t="s">
        <v>1689</v>
      </c>
      <c r="I1060" s="2" t="n">
        <v>3</v>
      </c>
    </row>
    <row r="1061" customFormat="false" ht="15" hidden="false" customHeight="false" outlineLevel="0" collapsed="false">
      <c r="A1061" s="2" t="s">
        <v>976</v>
      </c>
      <c r="B1061" s="2" t="s">
        <v>91</v>
      </c>
      <c r="C1061" s="2" t="n">
        <v>3.5</v>
      </c>
      <c r="D1061" s="2" t="s">
        <v>54</v>
      </c>
      <c r="E1061" s="2" t="s">
        <v>2538</v>
      </c>
      <c r="F1061" s="2" t="n">
        <v>1.75</v>
      </c>
      <c r="G1061" s="2" t="n">
        <v>5.25</v>
      </c>
      <c r="H1061" s="2" t="s">
        <v>1689</v>
      </c>
      <c r="I1061" s="2" t="n">
        <v>4</v>
      </c>
    </row>
    <row r="1062" customFormat="false" ht="15" hidden="false" customHeight="false" outlineLevel="0" collapsed="false">
      <c r="A1062" s="2" t="s">
        <v>976</v>
      </c>
      <c r="B1062" s="2" t="s">
        <v>312</v>
      </c>
      <c r="C1062" s="2" t="n">
        <v>0.5</v>
      </c>
      <c r="D1062" s="2" t="s">
        <v>1687</v>
      </c>
      <c r="E1062" s="2" t="s">
        <v>2478</v>
      </c>
      <c r="F1062" s="2"/>
      <c r="G1062" s="2" t="n">
        <v>1.5</v>
      </c>
      <c r="H1062" s="2" t="s">
        <v>1689</v>
      </c>
      <c r="I1062" s="2" t="n">
        <v>5</v>
      </c>
    </row>
    <row r="1063" customFormat="false" ht="15" hidden="false" customHeight="false" outlineLevel="0" collapsed="false">
      <c r="A1063" s="2" t="s">
        <v>976</v>
      </c>
      <c r="B1063" s="2" t="s">
        <v>299</v>
      </c>
      <c r="C1063" s="2" t="n">
        <v>0.5</v>
      </c>
      <c r="D1063" s="2" t="s">
        <v>54</v>
      </c>
      <c r="E1063" s="2" t="s">
        <v>2539</v>
      </c>
      <c r="F1063" s="2"/>
      <c r="G1063" s="2" t="n">
        <v>1.5</v>
      </c>
      <c r="H1063" s="2" t="s">
        <v>1689</v>
      </c>
      <c r="I1063" s="2" t="n">
        <v>6</v>
      </c>
    </row>
    <row r="1064" customFormat="false" ht="15" hidden="false" customHeight="false" outlineLevel="0" collapsed="false">
      <c r="A1064" s="2" t="s">
        <v>976</v>
      </c>
      <c r="B1064" s="2" t="s">
        <v>486</v>
      </c>
      <c r="C1064" s="2" t="n">
        <v>2.25</v>
      </c>
      <c r="D1064" s="2" t="s">
        <v>54</v>
      </c>
      <c r="E1064" s="2" t="s">
        <v>2448</v>
      </c>
      <c r="F1064" s="2" t="n">
        <v>1.12</v>
      </c>
      <c r="G1064" s="2" t="n">
        <v>3.38</v>
      </c>
      <c r="H1064" s="2" t="s">
        <v>1700</v>
      </c>
      <c r="I1064" s="2" t="n">
        <v>7</v>
      </c>
    </row>
    <row r="1065" customFormat="false" ht="15" hidden="false" customHeight="false" outlineLevel="0" collapsed="false">
      <c r="A1065" s="2" t="s">
        <v>976</v>
      </c>
      <c r="B1065" s="2" t="s">
        <v>349</v>
      </c>
      <c r="C1065" s="2" t="n">
        <v>1</v>
      </c>
      <c r="D1065" s="2" t="s">
        <v>1687</v>
      </c>
      <c r="E1065" s="2" t="s">
        <v>2474</v>
      </c>
      <c r="F1065" s="2"/>
      <c r="G1065" s="2" t="n">
        <v>2</v>
      </c>
      <c r="H1065" s="2" t="s">
        <v>1689</v>
      </c>
      <c r="I1065" s="2" t="n">
        <v>8</v>
      </c>
    </row>
    <row r="1066" customFormat="false" ht="15" hidden="false" customHeight="false" outlineLevel="0" collapsed="false">
      <c r="A1066" s="2" t="s">
        <v>976</v>
      </c>
      <c r="B1066" s="2" t="s">
        <v>260</v>
      </c>
      <c r="C1066" s="2" t="n">
        <v>50</v>
      </c>
      <c r="D1066" s="2" t="s">
        <v>54</v>
      </c>
      <c r="E1066" s="2" t="s">
        <v>2540</v>
      </c>
      <c r="F1066" s="2" t="n">
        <v>25</v>
      </c>
      <c r="G1066" s="2" t="n">
        <v>75</v>
      </c>
      <c r="H1066" s="2" t="s">
        <v>1689</v>
      </c>
      <c r="I1066" s="2" t="n">
        <v>9</v>
      </c>
    </row>
    <row r="1067" customFormat="false" ht="15" hidden="false" customHeight="false" outlineLevel="0" collapsed="false">
      <c r="A1067" s="2" t="s">
        <v>976</v>
      </c>
      <c r="B1067" s="2" t="s">
        <v>500</v>
      </c>
      <c r="C1067" s="2" t="n">
        <v>1</v>
      </c>
      <c r="D1067" s="2" t="s">
        <v>1687</v>
      </c>
      <c r="E1067" s="2" t="s">
        <v>2525</v>
      </c>
      <c r="F1067" s="2"/>
      <c r="G1067" s="2" t="n">
        <v>2</v>
      </c>
      <c r="H1067" s="2" t="s">
        <v>1689</v>
      </c>
      <c r="I1067" s="2" t="n">
        <v>10</v>
      </c>
    </row>
    <row r="1068" customFormat="false" ht="15" hidden="false" customHeight="false" outlineLevel="0" collapsed="false">
      <c r="A1068" s="2" t="s">
        <v>976</v>
      </c>
      <c r="B1068" s="2" t="s">
        <v>488</v>
      </c>
      <c r="C1068" s="2" t="n">
        <v>5</v>
      </c>
      <c r="D1068" s="2" t="s">
        <v>54</v>
      </c>
      <c r="E1068" s="2" t="s">
        <v>2458</v>
      </c>
      <c r="F1068" s="2" t="n">
        <v>2.5</v>
      </c>
      <c r="G1068" s="2" t="n">
        <v>7.5</v>
      </c>
      <c r="H1068" s="2" t="s">
        <v>1700</v>
      </c>
      <c r="I1068" s="2" t="n">
        <v>11</v>
      </c>
    </row>
    <row r="1069" customFormat="false" ht="15" hidden="false" customHeight="false" outlineLevel="0" collapsed="false">
      <c r="A1069" s="2" t="s">
        <v>976</v>
      </c>
      <c r="B1069" s="2" t="s">
        <v>480</v>
      </c>
      <c r="C1069" s="2" t="n">
        <v>1</v>
      </c>
      <c r="D1069" s="2" t="s">
        <v>54</v>
      </c>
      <c r="E1069" s="2" t="s">
        <v>132</v>
      </c>
      <c r="F1069" s="2" t="n">
        <v>0.5</v>
      </c>
      <c r="G1069" s="2" t="n">
        <v>1.5</v>
      </c>
      <c r="H1069" s="2" t="s">
        <v>1689</v>
      </c>
      <c r="I1069" s="2" t="n">
        <v>12</v>
      </c>
    </row>
    <row r="1070" customFormat="false" ht="15" hidden="false" customHeight="false" outlineLevel="0" collapsed="false">
      <c r="A1070" s="2" t="s">
        <v>980</v>
      </c>
      <c r="B1070" s="2" t="s">
        <v>221</v>
      </c>
      <c r="C1070" s="2" t="n">
        <v>140</v>
      </c>
      <c r="D1070" s="2" t="s">
        <v>54</v>
      </c>
      <c r="E1070" s="2" t="s">
        <v>2502</v>
      </c>
      <c r="F1070" s="2" t="n">
        <v>70</v>
      </c>
      <c r="G1070" s="2" t="n">
        <v>210</v>
      </c>
      <c r="H1070" s="2" t="s">
        <v>1693</v>
      </c>
      <c r="I1070" s="2" t="n">
        <v>1</v>
      </c>
    </row>
    <row r="1071" customFormat="false" ht="15" hidden="false" customHeight="false" outlineLevel="0" collapsed="false">
      <c r="A1071" s="2" t="s">
        <v>980</v>
      </c>
      <c r="B1071" s="2" t="s">
        <v>271</v>
      </c>
      <c r="C1071" s="2" t="n">
        <v>2.5</v>
      </c>
      <c r="D1071" s="2" t="s">
        <v>54</v>
      </c>
      <c r="E1071" s="2" t="s">
        <v>2541</v>
      </c>
      <c r="F1071" s="2" t="n">
        <v>1.25</v>
      </c>
      <c r="G1071" s="2" t="n">
        <v>3.75</v>
      </c>
      <c r="H1071" s="2" t="s">
        <v>1689</v>
      </c>
      <c r="I1071" s="2" t="n">
        <v>2</v>
      </c>
    </row>
    <row r="1072" customFormat="false" ht="15" hidden="false" customHeight="false" outlineLevel="0" collapsed="false">
      <c r="A1072" s="2" t="s">
        <v>980</v>
      </c>
      <c r="B1072" s="2" t="s">
        <v>271</v>
      </c>
      <c r="C1072" s="2" t="n">
        <v>2.5</v>
      </c>
      <c r="D1072" s="2" t="s">
        <v>54</v>
      </c>
      <c r="E1072" s="2" t="s">
        <v>2542</v>
      </c>
      <c r="F1072" s="2" t="n">
        <v>1.25</v>
      </c>
      <c r="G1072" s="2" t="n">
        <v>3.75</v>
      </c>
      <c r="H1072" s="2" t="s">
        <v>1689</v>
      </c>
      <c r="I1072" s="2" t="n">
        <v>3</v>
      </c>
    </row>
    <row r="1073" customFormat="false" ht="15" hidden="false" customHeight="false" outlineLevel="0" collapsed="false">
      <c r="A1073" s="2" t="s">
        <v>980</v>
      </c>
      <c r="B1073" s="2" t="s">
        <v>271</v>
      </c>
      <c r="C1073" s="2" t="n">
        <v>1.25</v>
      </c>
      <c r="D1073" s="2" t="s">
        <v>54</v>
      </c>
      <c r="E1073" s="2" t="s">
        <v>2543</v>
      </c>
      <c r="F1073" s="2" t="n">
        <v>0.62</v>
      </c>
      <c r="G1073" s="2" t="n">
        <v>1.88</v>
      </c>
      <c r="H1073" s="2" t="s">
        <v>1689</v>
      </c>
      <c r="I1073" s="2" t="n">
        <v>4</v>
      </c>
    </row>
    <row r="1074" customFormat="false" ht="15" hidden="false" customHeight="false" outlineLevel="0" collapsed="false">
      <c r="A1074" s="2" t="s">
        <v>980</v>
      </c>
      <c r="B1074" s="2" t="s">
        <v>312</v>
      </c>
      <c r="C1074" s="2" t="n">
        <v>0.5</v>
      </c>
      <c r="D1074" s="2" t="s">
        <v>1687</v>
      </c>
      <c r="E1074" s="2" t="s">
        <v>2478</v>
      </c>
      <c r="F1074" s="2"/>
      <c r="G1074" s="2" t="n">
        <v>1.5</v>
      </c>
      <c r="H1074" s="2" t="s">
        <v>1689</v>
      </c>
      <c r="I1074" s="2" t="n">
        <v>5</v>
      </c>
    </row>
    <row r="1075" customFormat="false" ht="15" hidden="false" customHeight="false" outlineLevel="0" collapsed="false">
      <c r="A1075" s="2" t="s">
        <v>980</v>
      </c>
      <c r="B1075" s="2" t="s">
        <v>365</v>
      </c>
      <c r="C1075" s="2" t="n">
        <v>0.5</v>
      </c>
      <c r="D1075" s="2" t="s">
        <v>1687</v>
      </c>
      <c r="E1075" s="2" t="s">
        <v>2505</v>
      </c>
      <c r="F1075" s="2"/>
      <c r="G1075" s="2" t="n">
        <v>1.5</v>
      </c>
      <c r="H1075" s="2" t="s">
        <v>1689</v>
      </c>
      <c r="I1075" s="2" t="n">
        <v>6</v>
      </c>
    </row>
    <row r="1076" customFormat="false" ht="15" hidden="false" customHeight="false" outlineLevel="0" collapsed="false">
      <c r="A1076" s="2" t="s">
        <v>980</v>
      </c>
      <c r="B1076" s="2" t="s">
        <v>558</v>
      </c>
      <c r="C1076" s="2" t="n">
        <v>1</v>
      </c>
      <c r="D1076" s="2" t="s">
        <v>1687</v>
      </c>
      <c r="E1076" s="2" t="s">
        <v>2544</v>
      </c>
      <c r="F1076" s="2"/>
      <c r="G1076" s="2" t="n">
        <v>2</v>
      </c>
      <c r="H1076" s="2" t="s">
        <v>1689</v>
      </c>
      <c r="I1076" s="2" t="n">
        <v>7</v>
      </c>
    </row>
    <row r="1077" customFormat="false" ht="15" hidden="false" customHeight="false" outlineLevel="0" collapsed="false">
      <c r="A1077" s="2" t="s">
        <v>980</v>
      </c>
      <c r="B1077" s="2" t="s">
        <v>67</v>
      </c>
      <c r="C1077" s="2" t="n">
        <v>45</v>
      </c>
      <c r="D1077" s="2" t="s">
        <v>54</v>
      </c>
      <c r="E1077" s="2" t="s">
        <v>2475</v>
      </c>
      <c r="F1077" s="2" t="n">
        <v>22.5</v>
      </c>
      <c r="G1077" s="2" t="n">
        <v>67.5</v>
      </c>
      <c r="H1077" s="2" t="s">
        <v>1693</v>
      </c>
      <c r="I1077" s="2" t="n">
        <v>8</v>
      </c>
    </row>
    <row r="1078" customFormat="false" ht="15" hidden="false" customHeight="false" outlineLevel="0" collapsed="false">
      <c r="A1078" s="2" t="s">
        <v>980</v>
      </c>
      <c r="B1078" s="2" t="s">
        <v>312</v>
      </c>
      <c r="C1078" s="2" t="n">
        <v>0.5</v>
      </c>
      <c r="D1078" s="2" t="s">
        <v>1687</v>
      </c>
      <c r="E1078" s="2" t="s">
        <v>2519</v>
      </c>
      <c r="F1078" s="2"/>
      <c r="G1078" s="2" t="n">
        <v>1.5</v>
      </c>
      <c r="H1078" s="2" t="s">
        <v>1689</v>
      </c>
      <c r="I1078" s="2" t="n">
        <v>9</v>
      </c>
    </row>
    <row r="1079" customFormat="false" ht="15" hidden="false" customHeight="false" outlineLevel="0" collapsed="false">
      <c r="A1079" s="2" t="s">
        <v>980</v>
      </c>
      <c r="B1079" s="2" t="s">
        <v>546</v>
      </c>
      <c r="C1079" s="2" t="n">
        <v>30</v>
      </c>
      <c r="D1079" s="2" t="s">
        <v>54</v>
      </c>
      <c r="E1079" s="2" t="s">
        <v>2545</v>
      </c>
      <c r="F1079" s="2" t="n">
        <v>15</v>
      </c>
      <c r="G1079" s="2" t="n">
        <v>45</v>
      </c>
      <c r="H1079" s="2" t="s">
        <v>1689</v>
      </c>
      <c r="I1079" s="2" t="n">
        <v>10</v>
      </c>
    </row>
    <row r="1080" customFormat="false" ht="15" hidden="false" customHeight="false" outlineLevel="0" collapsed="false">
      <c r="A1080" s="2" t="s">
        <v>980</v>
      </c>
      <c r="B1080" s="2" t="s">
        <v>524</v>
      </c>
      <c r="C1080" s="2" t="n">
        <v>20</v>
      </c>
      <c r="D1080" s="2" t="s">
        <v>54</v>
      </c>
      <c r="E1080" s="2" t="s">
        <v>2546</v>
      </c>
      <c r="F1080" s="2" t="n">
        <v>10</v>
      </c>
      <c r="G1080" s="2" t="n">
        <v>30</v>
      </c>
      <c r="H1080" s="2" t="s">
        <v>1689</v>
      </c>
      <c r="I1080" s="2" t="n">
        <v>11</v>
      </c>
    </row>
    <row r="1081" customFormat="false" ht="15" hidden="false" customHeight="false" outlineLevel="0" collapsed="false">
      <c r="A1081" s="2" t="s">
        <v>980</v>
      </c>
      <c r="B1081" s="2" t="s">
        <v>394</v>
      </c>
      <c r="C1081" s="2" t="n">
        <v>20</v>
      </c>
      <c r="D1081" s="2" t="s">
        <v>54</v>
      </c>
      <c r="E1081" s="2" t="s">
        <v>2501</v>
      </c>
      <c r="F1081" s="2" t="n">
        <v>10</v>
      </c>
      <c r="G1081" s="2" t="n">
        <v>30</v>
      </c>
      <c r="H1081" s="2" t="s">
        <v>1689</v>
      </c>
      <c r="I1081" s="2" t="n">
        <v>12</v>
      </c>
    </row>
    <row r="1082" customFormat="false" ht="15" hidden="false" customHeight="false" outlineLevel="0" collapsed="false">
      <c r="A1082" s="2" t="s">
        <v>980</v>
      </c>
      <c r="B1082" s="2" t="s">
        <v>480</v>
      </c>
      <c r="C1082" s="2" t="n">
        <v>1</v>
      </c>
      <c r="D1082" s="2" t="s">
        <v>54</v>
      </c>
      <c r="E1082" s="2" t="s">
        <v>132</v>
      </c>
      <c r="F1082" s="2" t="n">
        <v>0.5</v>
      </c>
      <c r="G1082" s="2" t="n">
        <v>1.5</v>
      </c>
      <c r="H1082" s="2" t="s">
        <v>1689</v>
      </c>
      <c r="I1082" s="2" t="n">
        <v>13</v>
      </c>
    </row>
    <row r="1083" customFormat="false" ht="15" hidden="false" customHeight="false" outlineLevel="0" collapsed="false">
      <c r="A1083" s="2" t="s">
        <v>984</v>
      </c>
      <c r="B1083" s="2" t="s">
        <v>221</v>
      </c>
      <c r="C1083" s="2" t="n">
        <v>140</v>
      </c>
      <c r="D1083" s="2" t="s">
        <v>54</v>
      </c>
      <c r="E1083" s="2" t="s">
        <v>2502</v>
      </c>
      <c r="F1083" s="2" t="n">
        <v>70</v>
      </c>
      <c r="G1083" s="2" t="n">
        <v>210</v>
      </c>
      <c r="H1083" s="2" t="s">
        <v>1693</v>
      </c>
      <c r="I1083" s="2" t="n">
        <v>1</v>
      </c>
    </row>
    <row r="1084" customFormat="false" ht="15" hidden="false" customHeight="false" outlineLevel="0" collapsed="false">
      <c r="A1084" s="2" t="s">
        <v>984</v>
      </c>
      <c r="B1084" s="2" t="s">
        <v>430</v>
      </c>
      <c r="C1084" s="2" t="n">
        <v>15</v>
      </c>
      <c r="D1084" s="2" t="s">
        <v>54</v>
      </c>
      <c r="E1084" s="2" t="s">
        <v>2547</v>
      </c>
      <c r="F1084" s="2" t="n">
        <v>7.5</v>
      </c>
      <c r="G1084" s="2" t="n">
        <v>22.5</v>
      </c>
      <c r="H1084" s="2" t="s">
        <v>1689</v>
      </c>
      <c r="I1084" s="2" t="n">
        <v>2</v>
      </c>
    </row>
    <row r="1085" customFormat="false" ht="15" hidden="false" customHeight="false" outlineLevel="0" collapsed="false">
      <c r="A1085" s="2" t="s">
        <v>984</v>
      </c>
      <c r="B1085" s="2" t="s">
        <v>327</v>
      </c>
      <c r="C1085" s="2" t="n">
        <v>30</v>
      </c>
      <c r="D1085" s="2" t="s">
        <v>54</v>
      </c>
      <c r="E1085" s="2" t="s">
        <v>2548</v>
      </c>
      <c r="F1085" s="2" t="n">
        <v>15</v>
      </c>
      <c r="G1085" s="2" t="n">
        <v>45</v>
      </c>
      <c r="H1085" s="2" t="s">
        <v>1700</v>
      </c>
      <c r="I1085" s="2" t="n">
        <v>3</v>
      </c>
    </row>
    <row r="1086" customFormat="false" ht="15" hidden="false" customHeight="false" outlineLevel="0" collapsed="false">
      <c r="A1086" s="2" t="s">
        <v>984</v>
      </c>
      <c r="B1086" s="2" t="s">
        <v>191</v>
      </c>
      <c r="C1086" s="2" t="n">
        <v>1</v>
      </c>
      <c r="D1086" s="2" t="s">
        <v>1687</v>
      </c>
      <c r="E1086" s="2" t="s">
        <v>2484</v>
      </c>
      <c r="F1086" s="2"/>
      <c r="G1086" s="2" t="n">
        <v>2</v>
      </c>
      <c r="H1086" s="2" t="s">
        <v>1689</v>
      </c>
      <c r="I1086" s="2" t="n">
        <v>4</v>
      </c>
    </row>
    <row r="1087" customFormat="false" ht="15" hidden="false" customHeight="false" outlineLevel="0" collapsed="false">
      <c r="A1087" s="2" t="s">
        <v>984</v>
      </c>
      <c r="B1087" s="2" t="s">
        <v>470</v>
      </c>
      <c r="C1087" s="2" t="n">
        <v>20</v>
      </c>
      <c r="D1087" s="2" t="s">
        <v>54</v>
      </c>
      <c r="E1087" s="2" t="s">
        <v>2549</v>
      </c>
      <c r="F1087" s="2" t="n">
        <v>10</v>
      </c>
      <c r="G1087" s="2" t="n">
        <v>30</v>
      </c>
      <c r="H1087" s="2" t="s">
        <v>1693</v>
      </c>
      <c r="I1087" s="2" t="n">
        <v>5</v>
      </c>
    </row>
    <row r="1088" customFormat="false" ht="15" hidden="false" customHeight="false" outlineLevel="0" collapsed="false">
      <c r="A1088" s="2" t="s">
        <v>984</v>
      </c>
      <c r="B1088" s="2" t="s">
        <v>454</v>
      </c>
      <c r="C1088" s="2" t="n">
        <v>37.5</v>
      </c>
      <c r="D1088" s="2" t="s">
        <v>54</v>
      </c>
      <c r="E1088" s="2" t="s">
        <v>2550</v>
      </c>
      <c r="F1088" s="2" t="n">
        <v>18.75</v>
      </c>
      <c r="G1088" s="2" t="n">
        <v>56.25</v>
      </c>
      <c r="H1088" s="2" t="s">
        <v>1689</v>
      </c>
      <c r="I1088" s="2" t="n">
        <v>6</v>
      </c>
    </row>
    <row r="1089" customFormat="false" ht="15" hidden="false" customHeight="false" outlineLevel="0" collapsed="false">
      <c r="A1089" s="2" t="s">
        <v>984</v>
      </c>
      <c r="B1089" s="2" t="s">
        <v>480</v>
      </c>
      <c r="C1089" s="2" t="n">
        <v>1</v>
      </c>
      <c r="D1089" s="2" t="s">
        <v>54</v>
      </c>
      <c r="E1089" s="2" t="s">
        <v>132</v>
      </c>
      <c r="F1089" s="2" t="n">
        <v>0.5</v>
      </c>
      <c r="G1089" s="2" t="n">
        <v>1.5</v>
      </c>
      <c r="H1089" s="2" t="s">
        <v>1689</v>
      </c>
      <c r="I1089" s="2" t="n">
        <v>7</v>
      </c>
    </row>
    <row r="1090" customFormat="false" ht="15" hidden="false" customHeight="false" outlineLevel="0" collapsed="false">
      <c r="A1090" s="2" t="s">
        <v>988</v>
      </c>
      <c r="B1090" s="2" t="s">
        <v>221</v>
      </c>
      <c r="C1090" s="2" t="n">
        <v>130</v>
      </c>
      <c r="D1090" s="2" t="s">
        <v>54</v>
      </c>
      <c r="E1090" s="2" t="s">
        <v>2470</v>
      </c>
      <c r="F1090" s="2" t="n">
        <v>65</v>
      </c>
      <c r="G1090" s="2" t="n">
        <v>195</v>
      </c>
      <c r="H1090" s="2" t="s">
        <v>1693</v>
      </c>
      <c r="I1090" s="2" t="n">
        <v>1</v>
      </c>
    </row>
    <row r="1091" customFormat="false" ht="15" hidden="false" customHeight="false" outlineLevel="0" collapsed="false">
      <c r="A1091" s="2" t="s">
        <v>988</v>
      </c>
      <c r="B1091" s="2" t="s">
        <v>440</v>
      </c>
      <c r="C1091" s="2" t="n">
        <v>9</v>
      </c>
      <c r="D1091" s="2" t="s">
        <v>54</v>
      </c>
      <c r="E1091" s="2" t="s">
        <v>2472</v>
      </c>
      <c r="F1091" s="2" t="n">
        <v>4.5</v>
      </c>
      <c r="G1091" s="2" t="n">
        <v>13.5</v>
      </c>
      <c r="H1091" s="2" t="s">
        <v>1689</v>
      </c>
      <c r="I1091" s="2" t="n">
        <v>2</v>
      </c>
    </row>
    <row r="1092" customFormat="false" ht="15" hidden="false" customHeight="false" outlineLevel="0" collapsed="false">
      <c r="A1092" s="2" t="s">
        <v>988</v>
      </c>
      <c r="B1092" s="2" t="s">
        <v>114</v>
      </c>
      <c r="C1092" s="2" t="n">
        <v>1</v>
      </c>
      <c r="D1092" s="2" t="s">
        <v>1687</v>
      </c>
      <c r="E1092" s="2" t="s">
        <v>2473</v>
      </c>
      <c r="F1092" s="2"/>
      <c r="G1092" s="2" t="n">
        <v>2</v>
      </c>
      <c r="H1092" s="2" t="s">
        <v>1693</v>
      </c>
      <c r="I1092" s="2" t="n">
        <v>3</v>
      </c>
    </row>
    <row r="1093" customFormat="false" ht="15" hidden="false" customHeight="false" outlineLevel="0" collapsed="false">
      <c r="A1093" s="2" t="s">
        <v>988</v>
      </c>
      <c r="B1093" s="2" t="s">
        <v>193</v>
      </c>
      <c r="C1093" s="2" t="n">
        <v>25</v>
      </c>
      <c r="D1093" s="2" t="s">
        <v>54</v>
      </c>
      <c r="E1093" s="2" t="s">
        <v>2471</v>
      </c>
      <c r="F1093" s="2" t="n">
        <v>12.5</v>
      </c>
      <c r="G1093" s="2" t="n">
        <v>37.5</v>
      </c>
      <c r="H1093" s="2" t="s">
        <v>1689</v>
      </c>
      <c r="I1093" s="2" t="n">
        <v>4</v>
      </c>
    </row>
    <row r="1094" customFormat="false" ht="15" hidden="false" customHeight="false" outlineLevel="0" collapsed="false">
      <c r="A1094" s="2" t="s">
        <v>988</v>
      </c>
      <c r="B1094" s="2" t="s">
        <v>191</v>
      </c>
      <c r="C1094" s="2" t="n">
        <v>1</v>
      </c>
      <c r="D1094" s="2" t="s">
        <v>1687</v>
      </c>
      <c r="E1094" s="2" t="s">
        <v>2551</v>
      </c>
      <c r="F1094" s="2"/>
      <c r="G1094" s="2" t="n">
        <v>2</v>
      </c>
      <c r="H1094" s="2" t="s">
        <v>1689</v>
      </c>
      <c r="I1094" s="2" t="n">
        <v>5</v>
      </c>
    </row>
    <row r="1095" customFormat="false" ht="15" hidden="false" customHeight="false" outlineLevel="0" collapsed="false">
      <c r="A1095" s="2" t="s">
        <v>988</v>
      </c>
      <c r="B1095" s="2" t="s">
        <v>546</v>
      </c>
      <c r="C1095" s="2" t="n">
        <v>50</v>
      </c>
      <c r="D1095" s="2" t="s">
        <v>54</v>
      </c>
      <c r="E1095" s="2" t="s">
        <v>2552</v>
      </c>
      <c r="F1095" s="2" t="n">
        <v>25</v>
      </c>
      <c r="G1095" s="2" t="n">
        <v>75</v>
      </c>
      <c r="H1095" s="2" t="s">
        <v>1689</v>
      </c>
      <c r="I1095" s="2" t="n">
        <v>6</v>
      </c>
    </row>
    <row r="1096" customFormat="false" ht="15" hidden="false" customHeight="false" outlineLevel="0" collapsed="false">
      <c r="A1096" s="2" t="s">
        <v>988</v>
      </c>
      <c r="B1096" s="2" t="s">
        <v>67</v>
      </c>
      <c r="C1096" s="2" t="n">
        <v>22.5</v>
      </c>
      <c r="D1096" s="2" t="s">
        <v>54</v>
      </c>
      <c r="E1096" s="2" t="s">
        <v>2488</v>
      </c>
      <c r="F1096" s="2" t="n">
        <v>11.25</v>
      </c>
      <c r="G1096" s="2" t="n">
        <v>33.75</v>
      </c>
      <c r="H1096" s="2" t="s">
        <v>1693</v>
      </c>
      <c r="I1096" s="2" t="n">
        <v>7</v>
      </c>
    </row>
    <row r="1097" customFormat="false" ht="15" hidden="false" customHeight="false" outlineLevel="0" collapsed="false">
      <c r="A1097" s="2" t="s">
        <v>988</v>
      </c>
      <c r="B1097" s="2" t="s">
        <v>232</v>
      </c>
      <c r="C1097" s="2" t="n">
        <v>5</v>
      </c>
      <c r="D1097" s="2" t="s">
        <v>76</v>
      </c>
      <c r="E1097" s="2" t="s">
        <v>2489</v>
      </c>
      <c r="F1097" s="2" t="n">
        <v>2.5</v>
      </c>
      <c r="G1097" s="2" t="n">
        <v>7.5</v>
      </c>
      <c r="H1097" s="2" t="s">
        <v>1689</v>
      </c>
      <c r="I1097" s="2" t="n">
        <v>8</v>
      </c>
    </row>
    <row r="1098" customFormat="false" ht="15" hidden="false" customHeight="false" outlineLevel="0" collapsed="false">
      <c r="A1098" s="2" t="s">
        <v>988</v>
      </c>
      <c r="B1098" s="2" t="s">
        <v>314</v>
      </c>
      <c r="C1098" s="2" t="n">
        <v>2</v>
      </c>
      <c r="D1098" s="2" t="s">
        <v>54</v>
      </c>
      <c r="E1098" s="2" t="s">
        <v>2553</v>
      </c>
      <c r="F1098" s="2" t="n">
        <v>1</v>
      </c>
      <c r="G1098" s="2" t="n">
        <v>3</v>
      </c>
      <c r="H1098" s="2" t="s">
        <v>1689</v>
      </c>
      <c r="I1098" s="2" t="n">
        <v>9</v>
      </c>
    </row>
    <row r="1099" customFormat="false" ht="15" hidden="false" customHeight="false" outlineLevel="0" collapsed="false">
      <c r="A1099" s="2" t="s">
        <v>988</v>
      </c>
      <c r="B1099" s="2" t="s">
        <v>377</v>
      </c>
      <c r="C1099" s="2" t="n">
        <v>1</v>
      </c>
      <c r="D1099" s="2" t="s">
        <v>54</v>
      </c>
      <c r="E1099" s="2" t="s">
        <v>2481</v>
      </c>
      <c r="F1099" s="2" t="n">
        <v>0.5</v>
      </c>
      <c r="G1099" s="2" t="n">
        <v>1.5</v>
      </c>
      <c r="H1099" s="2" t="s">
        <v>1700</v>
      </c>
      <c r="I1099" s="2" t="n">
        <v>10</v>
      </c>
    </row>
    <row r="1100" customFormat="false" ht="15" hidden="false" customHeight="false" outlineLevel="0" collapsed="false">
      <c r="A1100" s="2" t="s">
        <v>988</v>
      </c>
      <c r="B1100" s="2" t="s">
        <v>480</v>
      </c>
      <c r="C1100" s="2" t="n">
        <v>1</v>
      </c>
      <c r="D1100" s="2" t="s">
        <v>54</v>
      </c>
      <c r="E1100" s="2" t="s">
        <v>132</v>
      </c>
      <c r="F1100" s="2" t="n">
        <v>0.5</v>
      </c>
      <c r="G1100" s="2" t="n">
        <v>1.5</v>
      </c>
      <c r="H1100" s="2" t="s">
        <v>1689</v>
      </c>
      <c r="I1100" s="2" t="n">
        <v>11</v>
      </c>
    </row>
    <row r="1101" customFormat="false" ht="15" hidden="false" customHeight="false" outlineLevel="0" collapsed="false">
      <c r="A1101" s="2" t="s">
        <v>992</v>
      </c>
      <c r="B1101" s="2" t="s">
        <v>530</v>
      </c>
      <c r="C1101" s="2" t="n">
        <v>130</v>
      </c>
      <c r="D1101" s="2" t="s">
        <v>54</v>
      </c>
      <c r="E1101" s="2" t="s">
        <v>2554</v>
      </c>
      <c r="F1101" s="2" t="n">
        <v>65</v>
      </c>
      <c r="G1101" s="2" t="n">
        <v>195</v>
      </c>
      <c r="H1101" s="2" t="s">
        <v>1693</v>
      </c>
      <c r="I1101" s="2" t="n">
        <v>1</v>
      </c>
    </row>
    <row r="1102" customFormat="false" ht="15" hidden="false" customHeight="false" outlineLevel="0" collapsed="false">
      <c r="A1102" s="2" t="s">
        <v>992</v>
      </c>
      <c r="B1102" s="2" t="s">
        <v>129</v>
      </c>
      <c r="C1102" s="2" t="n">
        <v>2.25</v>
      </c>
      <c r="D1102" s="2" t="s">
        <v>54</v>
      </c>
      <c r="E1102" s="2" t="s">
        <v>2555</v>
      </c>
      <c r="F1102" s="2" t="n">
        <v>1.12</v>
      </c>
      <c r="G1102" s="2" t="n">
        <v>3.38</v>
      </c>
      <c r="H1102" s="2" t="s">
        <v>1700</v>
      </c>
      <c r="I1102" s="2" t="n">
        <v>2</v>
      </c>
    </row>
    <row r="1103" customFormat="false" ht="15" hidden="false" customHeight="false" outlineLevel="0" collapsed="false">
      <c r="A1103" s="2" t="s">
        <v>992</v>
      </c>
      <c r="B1103" s="2" t="s">
        <v>243</v>
      </c>
      <c r="C1103" s="2" t="n">
        <v>2</v>
      </c>
      <c r="D1103" s="2" t="s">
        <v>1687</v>
      </c>
      <c r="E1103" s="2" t="s">
        <v>2556</v>
      </c>
      <c r="F1103" s="2" t="n">
        <v>1</v>
      </c>
      <c r="G1103" s="2" t="n">
        <v>3</v>
      </c>
      <c r="H1103" s="2" t="s">
        <v>1689</v>
      </c>
      <c r="I1103" s="2" t="n">
        <v>3</v>
      </c>
    </row>
    <row r="1104" customFormat="false" ht="15" hidden="false" customHeight="false" outlineLevel="0" collapsed="false">
      <c r="A1104" s="2" t="s">
        <v>992</v>
      </c>
      <c r="B1104" s="2" t="s">
        <v>377</v>
      </c>
      <c r="C1104" s="2" t="n">
        <v>1</v>
      </c>
      <c r="D1104" s="2" t="s">
        <v>54</v>
      </c>
      <c r="E1104" s="2" t="s">
        <v>2481</v>
      </c>
      <c r="F1104" s="2" t="n">
        <v>0.5</v>
      </c>
      <c r="G1104" s="2" t="n">
        <v>1.5</v>
      </c>
      <c r="H1104" s="2" t="s">
        <v>1700</v>
      </c>
      <c r="I1104" s="2" t="n">
        <v>4</v>
      </c>
    </row>
    <row r="1105" customFormat="false" ht="15" hidden="false" customHeight="false" outlineLevel="0" collapsed="false">
      <c r="A1105" s="2" t="s">
        <v>992</v>
      </c>
      <c r="B1105" s="2" t="s">
        <v>524</v>
      </c>
      <c r="C1105" s="2" t="n">
        <v>40</v>
      </c>
      <c r="D1105" s="2" t="s">
        <v>54</v>
      </c>
      <c r="E1105" s="2" t="s">
        <v>2496</v>
      </c>
      <c r="F1105" s="2" t="n">
        <v>20</v>
      </c>
      <c r="G1105" s="2" t="n">
        <v>60</v>
      </c>
      <c r="H1105" s="2" t="s">
        <v>1689</v>
      </c>
      <c r="I1105" s="2" t="n">
        <v>5</v>
      </c>
    </row>
    <row r="1106" customFormat="false" ht="15" hidden="false" customHeight="false" outlineLevel="0" collapsed="false">
      <c r="A1106" s="2" t="s">
        <v>992</v>
      </c>
      <c r="B1106" s="2" t="s">
        <v>458</v>
      </c>
      <c r="C1106" s="2" t="n">
        <v>37.5</v>
      </c>
      <c r="D1106" s="2" t="s">
        <v>54</v>
      </c>
      <c r="E1106" s="2" t="s">
        <v>2557</v>
      </c>
      <c r="F1106" s="2" t="n">
        <v>18.75</v>
      </c>
      <c r="G1106" s="2" t="n">
        <v>56.25</v>
      </c>
      <c r="H1106" s="2" t="s">
        <v>1689</v>
      </c>
      <c r="I1106" s="2" t="n">
        <v>6</v>
      </c>
    </row>
    <row r="1107" customFormat="false" ht="15" hidden="false" customHeight="false" outlineLevel="0" collapsed="false">
      <c r="A1107" s="2" t="s">
        <v>992</v>
      </c>
      <c r="B1107" s="2" t="s">
        <v>375</v>
      </c>
      <c r="C1107" s="2" t="n">
        <v>0.5</v>
      </c>
      <c r="D1107" s="2" t="s">
        <v>1687</v>
      </c>
      <c r="E1107" s="2" t="s">
        <v>2499</v>
      </c>
      <c r="F1107" s="2"/>
      <c r="G1107" s="2" t="n">
        <v>1.5</v>
      </c>
      <c r="H1107" s="2" t="s">
        <v>1689</v>
      </c>
      <c r="I1107" s="2" t="n">
        <v>7</v>
      </c>
    </row>
    <row r="1108" customFormat="false" ht="15" hidden="false" customHeight="false" outlineLevel="0" collapsed="false">
      <c r="A1108" s="2" t="s">
        <v>992</v>
      </c>
      <c r="B1108" s="2" t="s">
        <v>301</v>
      </c>
      <c r="C1108" s="2" t="n">
        <v>5</v>
      </c>
      <c r="D1108" s="2" t="s">
        <v>54</v>
      </c>
      <c r="E1108" s="2" t="s">
        <v>2498</v>
      </c>
      <c r="F1108" s="2" t="n">
        <v>2.5</v>
      </c>
      <c r="G1108" s="2" t="n">
        <v>7.5</v>
      </c>
      <c r="H1108" s="2" t="s">
        <v>1689</v>
      </c>
      <c r="I1108" s="2" t="n">
        <v>8</v>
      </c>
    </row>
    <row r="1109" customFormat="false" ht="15" hidden="false" customHeight="false" outlineLevel="0" collapsed="false">
      <c r="A1109" s="2" t="s">
        <v>992</v>
      </c>
      <c r="B1109" s="2" t="s">
        <v>117</v>
      </c>
      <c r="C1109" s="2" t="n">
        <v>0.25</v>
      </c>
      <c r="D1109" s="2" t="s">
        <v>1687</v>
      </c>
      <c r="E1109" s="2" t="s">
        <v>2558</v>
      </c>
      <c r="F1109" s="2"/>
      <c r="G1109" s="2" t="n">
        <v>1.25</v>
      </c>
      <c r="H1109" s="2" t="s">
        <v>1700</v>
      </c>
      <c r="I1109" s="2" t="n">
        <v>9</v>
      </c>
    </row>
    <row r="1110" customFormat="false" ht="15" hidden="false" customHeight="false" outlineLevel="0" collapsed="false">
      <c r="A1110" s="2" t="s">
        <v>992</v>
      </c>
      <c r="B1110" s="2" t="s">
        <v>546</v>
      </c>
      <c r="C1110" s="2" t="n">
        <v>30</v>
      </c>
      <c r="D1110" s="2" t="s">
        <v>54</v>
      </c>
      <c r="E1110" s="2" t="s">
        <v>2559</v>
      </c>
      <c r="F1110" s="2" t="n">
        <v>15</v>
      </c>
      <c r="G1110" s="2" t="n">
        <v>45</v>
      </c>
      <c r="H1110" s="2" t="s">
        <v>1689</v>
      </c>
      <c r="I1110" s="2" t="n">
        <v>10</v>
      </c>
    </row>
    <row r="1111" customFormat="false" ht="15" hidden="false" customHeight="false" outlineLevel="0" collapsed="false">
      <c r="A1111" s="2" t="s">
        <v>992</v>
      </c>
      <c r="B1111" s="2" t="s">
        <v>480</v>
      </c>
      <c r="C1111" s="2" t="n">
        <v>1</v>
      </c>
      <c r="D1111" s="2" t="s">
        <v>54</v>
      </c>
      <c r="E1111" s="2" t="s">
        <v>132</v>
      </c>
      <c r="F1111" s="2" t="n">
        <v>0.5</v>
      </c>
      <c r="G1111" s="2" t="n">
        <v>1.5</v>
      </c>
      <c r="H1111" s="2" t="s">
        <v>1689</v>
      </c>
      <c r="I1111" s="2" t="n">
        <v>11</v>
      </c>
    </row>
    <row r="1112" customFormat="false" ht="15" hidden="false" customHeight="false" outlineLevel="0" collapsed="false">
      <c r="A1112" s="2" t="s">
        <v>996</v>
      </c>
      <c r="B1112" s="2" t="s">
        <v>341</v>
      </c>
      <c r="C1112" s="2" t="n">
        <v>160</v>
      </c>
      <c r="D1112" s="2" t="s">
        <v>54</v>
      </c>
      <c r="E1112" s="2" t="s">
        <v>2560</v>
      </c>
      <c r="F1112" s="2" t="n">
        <v>80</v>
      </c>
      <c r="G1112" s="2" t="n">
        <v>240</v>
      </c>
      <c r="H1112" s="2" t="s">
        <v>1693</v>
      </c>
      <c r="I1112" s="2" t="n">
        <v>1</v>
      </c>
    </row>
    <row r="1113" customFormat="false" ht="15" hidden="false" customHeight="false" outlineLevel="0" collapsed="false">
      <c r="A1113" s="2" t="s">
        <v>996</v>
      </c>
      <c r="B1113" s="2" t="s">
        <v>129</v>
      </c>
      <c r="C1113" s="2" t="n">
        <v>4.5</v>
      </c>
      <c r="D1113" s="2" t="s">
        <v>54</v>
      </c>
      <c r="E1113" s="2" t="s">
        <v>2421</v>
      </c>
      <c r="F1113" s="2" t="n">
        <v>2.25</v>
      </c>
      <c r="G1113" s="2" t="n">
        <v>6.75</v>
      </c>
      <c r="H1113" s="2" t="s">
        <v>1700</v>
      </c>
      <c r="I1113" s="2" t="n">
        <v>2</v>
      </c>
    </row>
    <row r="1114" customFormat="false" ht="15" hidden="false" customHeight="false" outlineLevel="0" collapsed="false">
      <c r="A1114" s="2" t="s">
        <v>996</v>
      </c>
      <c r="B1114" s="2" t="s">
        <v>271</v>
      </c>
      <c r="C1114" s="2" t="n">
        <v>1.25</v>
      </c>
      <c r="D1114" s="2" t="s">
        <v>54</v>
      </c>
      <c r="E1114" s="2" t="s">
        <v>2491</v>
      </c>
      <c r="F1114" s="2" t="n">
        <v>0.62</v>
      </c>
      <c r="G1114" s="2" t="n">
        <v>1.88</v>
      </c>
      <c r="H1114" s="2" t="s">
        <v>1689</v>
      </c>
      <c r="I1114" s="2" t="n">
        <v>3</v>
      </c>
    </row>
    <row r="1115" customFormat="false" ht="15" hidden="false" customHeight="false" outlineLevel="0" collapsed="false">
      <c r="A1115" s="2" t="s">
        <v>996</v>
      </c>
      <c r="B1115" s="2" t="s">
        <v>312</v>
      </c>
      <c r="C1115" s="2" t="n">
        <v>0.5</v>
      </c>
      <c r="D1115" s="2" t="s">
        <v>1687</v>
      </c>
      <c r="E1115" s="2" t="s">
        <v>2478</v>
      </c>
      <c r="F1115" s="2"/>
      <c r="G1115" s="2" t="n">
        <v>1.5</v>
      </c>
      <c r="H1115" s="2" t="s">
        <v>1689</v>
      </c>
      <c r="I1115" s="2" t="n">
        <v>4</v>
      </c>
    </row>
    <row r="1116" customFormat="false" ht="15" hidden="false" customHeight="false" outlineLevel="0" collapsed="false">
      <c r="A1116" s="2" t="s">
        <v>996</v>
      </c>
      <c r="B1116" s="2" t="s">
        <v>243</v>
      </c>
      <c r="C1116" s="2" t="n">
        <v>2</v>
      </c>
      <c r="D1116" s="2" t="s">
        <v>1687</v>
      </c>
      <c r="E1116" s="2" t="s">
        <v>2561</v>
      </c>
      <c r="F1116" s="2" t="n">
        <v>1</v>
      </c>
      <c r="G1116" s="2" t="n">
        <v>3</v>
      </c>
      <c r="H1116" s="2" t="s">
        <v>1689</v>
      </c>
      <c r="I1116" s="2" t="n">
        <v>5</v>
      </c>
    </row>
    <row r="1117" customFormat="false" ht="15" hidden="false" customHeight="false" outlineLevel="0" collapsed="false">
      <c r="A1117" s="2" t="s">
        <v>996</v>
      </c>
      <c r="B1117" s="2" t="s">
        <v>546</v>
      </c>
      <c r="C1117" s="2" t="n">
        <v>50</v>
      </c>
      <c r="D1117" s="2" t="s">
        <v>54</v>
      </c>
      <c r="E1117" s="2" t="s">
        <v>2552</v>
      </c>
      <c r="F1117" s="2" t="n">
        <v>25</v>
      </c>
      <c r="G1117" s="2" t="n">
        <v>75</v>
      </c>
      <c r="H1117" s="2" t="s">
        <v>1689</v>
      </c>
      <c r="I1117" s="2" t="n">
        <v>6</v>
      </c>
    </row>
    <row r="1118" customFormat="false" ht="15" hidden="false" customHeight="false" outlineLevel="0" collapsed="false">
      <c r="A1118" s="2" t="s">
        <v>996</v>
      </c>
      <c r="B1118" s="2" t="s">
        <v>67</v>
      </c>
      <c r="C1118" s="2" t="n">
        <v>15</v>
      </c>
      <c r="D1118" s="2" t="s">
        <v>54</v>
      </c>
      <c r="E1118" s="2" t="s">
        <v>2562</v>
      </c>
      <c r="F1118" s="2" t="n">
        <v>7.5</v>
      </c>
      <c r="G1118" s="2" t="n">
        <v>22.5</v>
      </c>
      <c r="H1118" s="2" t="s">
        <v>1693</v>
      </c>
      <c r="I1118" s="2" t="n">
        <v>7</v>
      </c>
    </row>
    <row r="1119" customFormat="false" ht="15" hidden="false" customHeight="false" outlineLevel="0" collapsed="false">
      <c r="A1119" s="2" t="s">
        <v>996</v>
      </c>
      <c r="B1119" s="2" t="s">
        <v>375</v>
      </c>
      <c r="C1119" s="2" t="n">
        <v>0.5</v>
      </c>
      <c r="D1119" s="2" t="s">
        <v>1687</v>
      </c>
      <c r="E1119" s="2" t="s">
        <v>2499</v>
      </c>
      <c r="F1119" s="2"/>
      <c r="G1119" s="2" t="n">
        <v>1.5</v>
      </c>
      <c r="H1119" s="2" t="s">
        <v>1689</v>
      </c>
      <c r="I1119" s="2" t="n">
        <v>8</v>
      </c>
    </row>
    <row r="1120" customFormat="false" ht="15" hidden="false" customHeight="false" outlineLevel="0" collapsed="false">
      <c r="A1120" s="2" t="s">
        <v>996</v>
      </c>
      <c r="B1120" s="2" t="s">
        <v>301</v>
      </c>
      <c r="C1120" s="2" t="n">
        <v>5</v>
      </c>
      <c r="D1120" s="2" t="s">
        <v>54</v>
      </c>
      <c r="E1120" s="2" t="s">
        <v>2498</v>
      </c>
      <c r="F1120" s="2" t="n">
        <v>2.5</v>
      </c>
      <c r="G1120" s="2" t="n">
        <v>7.5</v>
      </c>
      <c r="H1120" s="2" t="s">
        <v>1689</v>
      </c>
      <c r="I1120" s="2" t="n">
        <v>9</v>
      </c>
    </row>
    <row r="1121" customFormat="false" ht="15" hidden="false" customHeight="false" outlineLevel="0" collapsed="false">
      <c r="A1121" s="2" t="s">
        <v>996</v>
      </c>
      <c r="B1121" s="2" t="s">
        <v>480</v>
      </c>
      <c r="C1121" s="2" t="n">
        <v>1</v>
      </c>
      <c r="D1121" s="2" t="s">
        <v>54</v>
      </c>
      <c r="E1121" s="2" t="s">
        <v>132</v>
      </c>
      <c r="F1121" s="2" t="n">
        <v>0.5</v>
      </c>
      <c r="G1121" s="2" t="n">
        <v>1.5</v>
      </c>
      <c r="H1121" s="2" t="s">
        <v>1689</v>
      </c>
      <c r="I1121" s="2" t="n">
        <v>10</v>
      </c>
    </row>
    <row r="1122" customFormat="false" ht="15" hidden="false" customHeight="false" outlineLevel="0" collapsed="false">
      <c r="A1122" s="2" t="s">
        <v>1000</v>
      </c>
      <c r="B1122" s="2" t="s">
        <v>221</v>
      </c>
      <c r="C1122" s="2" t="n">
        <v>130</v>
      </c>
      <c r="D1122" s="2" t="s">
        <v>54</v>
      </c>
      <c r="E1122" s="2" t="s">
        <v>2490</v>
      </c>
      <c r="F1122" s="2" t="n">
        <v>65</v>
      </c>
      <c r="G1122" s="2" t="n">
        <v>195</v>
      </c>
      <c r="H1122" s="2" t="s">
        <v>1693</v>
      </c>
      <c r="I1122" s="2" t="n">
        <v>1</v>
      </c>
    </row>
    <row r="1123" customFormat="false" ht="15" hidden="false" customHeight="false" outlineLevel="0" collapsed="false">
      <c r="A1123" s="2" t="s">
        <v>1000</v>
      </c>
      <c r="B1123" s="2" t="s">
        <v>394</v>
      </c>
      <c r="C1123" s="2" t="n">
        <v>100</v>
      </c>
      <c r="D1123" s="2" t="s">
        <v>54</v>
      </c>
      <c r="E1123" s="2" t="s">
        <v>2563</v>
      </c>
      <c r="F1123" s="2" t="n">
        <v>50</v>
      </c>
      <c r="G1123" s="2" t="n">
        <v>150</v>
      </c>
      <c r="H1123" s="2" t="s">
        <v>1689</v>
      </c>
      <c r="I1123" s="2" t="n">
        <v>2</v>
      </c>
    </row>
    <row r="1124" customFormat="false" ht="15" hidden="false" customHeight="false" outlineLevel="0" collapsed="false">
      <c r="A1124" s="2" t="s">
        <v>1000</v>
      </c>
      <c r="B1124" s="2" t="s">
        <v>556</v>
      </c>
      <c r="C1124" s="2" t="n">
        <v>0.375</v>
      </c>
      <c r="D1124" s="2" t="s">
        <v>1687</v>
      </c>
      <c r="E1124" s="2" t="s">
        <v>2564</v>
      </c>
      <c r="F1124" s="2"/>
      <c r="G1124" s="2" t="n">
        <v>1.375</v>
      </c>
      <c r="H1124" s="2" t="s">
        <v>1689</v>
      </c>
      <c r="I1124" s="2" t="n">
        <v>3</v>
      </c>
    </row>
    <row r="1125" customFormat="false" ht="15" hidden="false" customHeight="false" outlineLevel="0" collapsed="false">
      <c r="A1125" s="2" t="s">
        <v>1000</v>
      </c>
      <c r="B1125" s="2" t="s">
        <v>420</v>
      </c>
      <c r="C1125" s="2" t="n">
        <v>10</v>
      </c>
      <c r="D1125" s="2" t="s">
        <v>54</v>
      </c>
      <c r="E1125" s="2" t="s">
        <v>2565</v>
      </c>
      <c r="F1125" s="2" t="n">
        <v>5</v>
      </c>
      <c r="G1125" s="2" t="n">
        <v>15</v>
      </c>
      <c r="H1125" s="2" t="s">
        <v>1693</v>
      </c>
      <c r="I1125" s="2" t="n">
        <v>4</v>
      </c>
    </row>
    <row r="1126" customFormat="false" ht="15" hidden="false" customHeight="false" outlineLevel="0" collapsed="false">
      <c r="A1126" s="2" t="s">
        <v>1000</v>
      </c>
      <c r="B1126" s="2" t="s">
        <v>67</v>
      </c>
      <c r="C1126" s="2" t="n">
        <v>30</v>
      </c>
      <c r="D1126" s="2" t="s">
        <v>54</v>
      </c>
      <c r="E1126" s="2" t="s">
        <v>2438</v>
      </c>
      <c r="F1126" s="2" t="n">
        <v>15</v>
      </c>
      <c r="G1126" s="2" t="n">
        <v>45</v>
      </c>
      <c r="H1126" s="2" t="s">
        <v>1693</v>
      </c>
      <c r="I1126" s="2" t="n">
        <v>5</v>
      </c>
    </row>
    <row r="1127" customFormat="false" ht="15" hidden="false" customHeight="false" outlineLevel="0" collapsed="false">
      <c r="A1127" s="2" t="s">
        <v>1000</v>
      </c>
      <c r="B1127" s="2" t="s">
        <v>367</v>
      </c>
      <c r="C1127" s="2" t="n">
        <v>1</v>
      </c>
      <c r="D1127" s="2" t="s">
        <v>76</v>
      </c>
      <c r="E1127" s="2" t="s">
        <v>2477</v>
      </c>
      <c r="F1127" s="2"/>
      <c r="G1127" s="2" t="n">
        <v>2</v>
      </c>
      <c r="H1127" s="2" t="s">
        <v>1689</v>
      </c>
      <c r="I1127" s="2" t="n">
        <v>6</v>
      </c>
    </row>
    <row r="1128" customFormat="false" ht="15" hidden="false" customHeight="false" outlineLevel="0" collapsed="false">
      <c r="A1128" s="2" t="s">
        <v>1000</v>
      </c>
      <c r="B1128" s="2" t="s">
        <v>268</v>
      </c>
      <c r="C1128" s="2" t="n">
        <v>3.5</v>
      </c>
      <c r="D1128" s="2" t="s">
        <v>54</v>
      </c>
      <c r="E1128" s="2" t="s">
        <v>2566</v>
      </c>
      <c r="F1128" s="2" t="n">
        <v>1.75</v>
      </c>
      <c r="G1128" s="2" t="n">
        <v>5.25</v>
      </c>
      <c r="H1128" s="2" t="s">
        <v>1693</v>
      </c>
      <c r="I1128" s="2" t="n">
        <v>7</v>
      </c>
    </row>
    <row r="1129" customFormat="false" ht="15" hidden="false" customHeight="false" outlineLevel="0" collapsed="false">
      <c r="A1129" s="2" t="s">
        <v>1000</v>
      </c>
      <c r="B1129" s="2" t="s">
        <v>157</v>
      </c>
      <c r="C1129" s="2" t="n">
        <v>1</v>
      </c>
      <c r="D1129" s="2" t="s">
        <v>1687</v>
      </c>
      <c r="E1129" s="2" t="s">
        <v>2567</v>
      </c>
      <c r="F1129" s="2"/>
      <c r="G1129" s="2" t="n">
        <v>2</v>
      </c>
      <c r="H1129" s="2" t="s">
        <v>1693</v>
      </c>
      <c r="I1129" s="2" t="n">
        <v>8</v>
      </c>
    </row>
    <row r="1130" customFormat="false" ht="15" hidden="false" customHeight="false" outlineLevel="0" collapsed="false">
      <c r="A1130" s="2" t="s">
        <v>1000</v>
      </c>
      <c r="B1130" s="2" t="s">
        <v>312</v>
      </c>
      <c r="C1130" s="2" t="n">
        <v>0.5</v>
      </c>
      <c r="D1130" s="2" t="s">
        <v>1687</v>
      </c>
      <c r="E1130" s="2" t="s">
        <v>2568</v>
      </c>
      <c r="F1130" s="2"/>
      <c r="G1130" s="2" t="n">
        <v>1.5</v>
      </c>
      <c r="H1130" s="2" t="s">
        <v>1689</v>
      </c>
      <c r="I1130" s="2" t="n">
        <v>9</v>
      </c>
    </row>
    <row r="1131" customFormat="false" ht="15" hidden="false" customHeight="false" outlineLevel="0" collapsed="false">
      <c r="A1131" s="2" t="s">
        <v>1000</v>
      </c>
      <c r="B1131" s="2" t="s">
        <v>420</v>
      </c>
      <c r="C1131" s="2" t="n">
        <v>5</v>
      </c>
      <c r="D1131" s="2" t="s">
        <v>54</v>
      </c>
      <c r="E1131" s="2" t="s">
        <v>2569</v>
      </c>
      <c r="F1131" s="2" t="n">
        <v>2.5</v>
      </c>
      <c r="G1131" s="2" t="n">
        <v>7.5</v>
      </c>
      <c r="H1131" s="2" t="s">
        <v>1693</v>
      </c>
      <c r="I1131" s="2" t="n">
        <v>10</v>
      </c>
    </row>
    <row r="1132" customFormat="false" ht="15" hidden="false" customHeight="false" outlineLevel="0" collapsed="false">
      <c r="A1132" s="2" t="s">
        <v>1000</v>
      </c>
      <c r="B1132" s="2" t="s">
        <v>480</v>
      </c>
      <c r="C1132" s="2" t="n">
        <v>1</v>
      </c>
      <c r="D1132" s="2" t="s">
        <v>54</v>
      </c>
      <c r="E1132" s="2" t="s">
        <v>132</v>
      </c>
      <c r="F1132" s="2" t="n">
        <v>0.5</v>
      </c>
      <c r="G1132" s="2" t="n">
        <v>1.5</v>
      </c>
      <c r="H1132" s="2" t="s">
        <v>1689</v>
      </c>
      <c r="I1132" s="2" t="n">
        <v>11</v>
      </c>
    </row>
    <row r="1133" customFormat="false" ht="15" hidden="false" customHeight="false" outlineLevel="0" collapsed="false">
      <c r="A1133" s="2" t="s">
        <v>1004</v>
      </c>
      <c r="B1133" s="2" t="s">
        <v>221</v>
      </c>
      <c r="C1133" s="2" t="n">
        <v>120</v>
      </c>
      <c r="D1133" s="2" t="s">
        <v>54</v>
      </c>
      <c r="E1133" s="2" t="s">
        <v>2425</v>
      </c>
      <c r="F1133" s="2" t="n">
        <v>60</v>
      </c>
      <c r="G1133" s="2" t="n">
        <v>180</v>
      </c>
      <c r="H1133" s="2" t="s">
        <v>1693</v>
      </c>
      <c r="I1133" s="2" t="n">
        <v>1</v>
      </c>
    </row>
    <row r="1134" customFormat="false" ht="15" hidden="false" customHeight="false" outlineLevel="0" collapsed="false">
      <c r="A1134" s="2" t="s">
        <v>1004</v>
      </c>
      <c r="B1134" s="2" t="s">
        <v>424</v>
      </c>
      <c r="C1134" s="2" t="n">
        <v>60</v>
      </c>
      <c r="D1134" s="2" t="s">
        <v>54</v>
      </c>
      <c r="E1134" s="2" t="s">
        <v>2570</v>
      </c>
      <c r="F1134" s="2" t="n">
        <v>30</v>
      </c>
      <c r="G1134" s="2" t="n">
        <v>90</v>
      </c>
      <c r="H1134" s="2" t="s">
        <v>1689</v>
      </c>
      <c r="I1134" s="2" t="n">
        <v>2</v>
      </c>
    </row>
    <row r="1135" customFormat="false" ht="15" hidden="false" customHeight="false" outlineLevel="0" collapsed="false">
      <c r="A1135" s="2" t="s">
        <v>1004</v>
      </c>
      <c r="B1135" s="2" t="s">
        <v>394</v>
      </c>
      <c r="C1135" s="2" t="n">
        <v>50</v>
      </c>
      <c r="D1135" s="2" t="s">
        <v>54</v>
      </c>
      <c r="E1135" s="2" t="s">
        <v>2571</v>
      </c>
      <c r="F1135" s="2" t="n">
        <v>25</v>
      </c>
      <c r="G1135" s="2" t="n">
        <v>75</v>
      </c>
      <c r="H1135" s="2" t="s">
        <v>1689</v>
      </c>
      <c r="I1135" s="2" t="n">
        <v>3</v>
      </c>
    </row>
    <row r="1136" customFormat="false" ht="15" hidden="false" customHeight="false" outlineLevel="0" collapsed="false">
      <c r="A1136" s="2" t="s">
        <v>1004</v>
      </c>
      <c r="B1136" s="2" t="s">
        <v>420</v>
      </c>
      <c r="C1136" s="2" t="n">
        <v>8</v>
      </c>
      <c r="D1136" s="2" t="s">
        <v>54</v>
      </c>
      <c r="E1136" s="2" t="s">
        <v>2572</v>
      </c>
      <c r="F1136" s="2" t="n">
        <v>4</v>
      </c>
      <c r="G1136" s="2" t="n">
        <v>12</v>
      </c>
      <c r="H1136" s="2" t="s">
        <v>1693</v>
      </c>
      <c r="I1136" s="2" t="n">
        <v>4</v>
      </c>
    </row>
    <row r="1137" customFormat="false" ht="15" hidden="false" customHeight="false" outlineLevel="0" collapsed="false">
      <c r="A1137" s="2" t="s">
        <v>1004</v>
      </c>
      <c r="B1137" s="2" t="s">
        <v>67</v>
      </c>
      <c r="C1137" s="2" t="n">
        <v>30</v>
      </c>
      <c r="D1137" s="2" t="s">
        <v>54</v>
      </c>
      <c r="E1137" s="2" t="s">
        <v>2438</v>
      </c>
      <c r="F1137" s="2" t="n">
        <v>15</v>
      </c>
      <c r="G1137" s="2" t="n">
        <v>45</v>
      </c>
      <c r="H1137" s="2" t="s">
        <v>1693</v>
      </c>
      <c r="I1137" s="2" t="n">
        <v>5</v>
      </c>
    </row>
    <row r="1138" customFormat="false" ht="15" hidden="false" customHeight="false" outlineLevel="0" collapsed="false">
      <c r="A1138" s="2" t="s">
        <v>1004</v>
      </c>
      <c r="B1138" s="2" t="s">
        <v>367</v>
      </c>
      <c r="C1138" s="2" t="n">
        <v>1</v>
      </c>
      <c r="D1138" s="2" t="s">
        <v>76</v>
      </c>
      <c r="E1138" s="2" t="s">
        <v>2477</v>
      </c>
      <c r="F1138" s="2"/>
      <c r="G1138" s="2" t="n">
        <v>2</v>
      </c>
      <c r="H1138" s="2" t="s">
        <v>1689</v>
      </c>
      <c r="I1138" s="2" t="n">
        <v>6</v>
      </c>
    </row>
    <row r="1139" customFormat="false" ht="15" hidden="false" customHeight="false" outlineLevel="0" collapsed="false">
      <c r="A1139" s="2" t="s">
        <v>1004</v>
      </c>
      <c r="B1139" s="2" t="s">
        <v>268</v>
      </c>
      <c r="C1139" s="2" t="n">
        <v>3.5</v>
      </c>
      <c r="D1139" s="2" t="s">
        <v>54</v>
      </c>
      <c r="E1139" s="2" t="s">
        <v>2566</v>
      </c>
      <c r="F1139" s="2" t="n">
        <v>1.75</v>
      </c>
      <c r="G1139" s="2" t="n">
        <v>5.25</v>
      </c>
      <c r="H1139" s="2" t="s">
        <v>1693</v>
      </c>
      <c r="I1139" s="2" t="n">
        <v>7</v>
      </c>
    </row>
    <row r="1140" customFormat="false" ht="15" hidden="false" customHeight="false" outlineLevel="0" collapsed="false">
      <c r="A1140" s="2" t="s">
        <v>1004</v>
      </c>
      <c r="B1140" s="2" t="s">
        <v>157</v>
      </c>
      <c r="C1140" s="2" t="n">
        <v>1</v>
      </c>
      <c r="D1140" s="2" t="s">
        <v>1687</v>
      </c>
      <c r="E1140" s="2" t="s">
        <v>2567</v>
      </c>
      <c r="F1140" s="2"/>
      <c r="G1140" s="2" t="n">
        <v>2</v>
      </c>
      <c r="H1140" s="2" t="s">
        <v>1693</v>
      </c>
      <c r="I1140" s="2" t="n">
        <v>8</v>
      </c>
    </row>
    <row r="1141" customFormat="false" ht="15" hidden="false" customHeight="false" outlineLevel="0" collapsed="false">
      <c r="A1141" s="2" t="s">
        <v>1004</v>
      </c>
      <c r="B1141" s="2" t="s">
        <v>312</v>
      </c>
      <c r="C1141" s="2" t="n">
        <v>0.5</v>
      </c>
      <c r="D1141" s="2" t="s">
        <v>1687</v>
      </c>
      <c r="E1141" s="2" t="s">
        <v>2568</v>
      </c>
      <c r="F1141" s="2"/>
      <c r="G1141" s="2" t="n">
        <v>1.5</v>
      </c>
      <c r="H1141" s="2" t="s">
        <v>1689</v>
      </c>
      <c r="I1141" s="2" t="n">
        <v>9</v>
      </c>
    </row>
    <row r="1142" customFormat="false" ht="15" hidden="false" customHeight="false" outlineLevel="0" collapsed="false">
      <c r="A1142" s="2" t="s">
        <v>1004</v>
      </c>
      <c r="B1142" s="2" t="s">
        <v>219</v>
      </c>
      <c r="C1142" s="2" t="n">
        <v>90</v>
      </c>
      <c r="D1142" s="2" t="s">
        <v>54</v>
      </c>
      <c r="E1142" s="2" t="s">
        <v>2573</v>
      </c>
      <c r="F1142" s="2" t="n">
        <v>45</v>
      </c>
      <c r="G1142" s="2" t="n">
        <v>135</v>
      </c>
      <c r="H1142" s="2" t="s">
        <v>1689</v>
      </c>
      <c r="I1142" s="2" t="n">
        <v>10</v>
      </c>
    </row>
    <row r="1143" customFormat="false" ht="15" hidden="false" customHeight="false" outlineLevel="0" collapsed="false">
      <c r="A1143" s="2" t="s">
        <v>1004</v>
      </c>
      <c r="B1143" s="2" t="s">
        <v>480</v>
      </c>
      <c r="C1143" s="2" t="n">
        <v>1</v>
      </c>
      <c r="D1143" s="2" t="s">
        <v>54</v>
      </c>
      <c r="E1143" s="2" t="s">
        <v>132</v>
      </c>
      <c r="F1143" s="2" t="n">
        <v>0.5</v>
      </c>
      <c r="G1143" s="2" t="n">
        <v>1.5</v>
      </c>
      <c r="H1143" s="2" t="s">
        <v>1689</v>
      </c>
      <c r="I1143" s="2" t="n">
        <v>11</v>
      </c>
    </row>
    <row r="1144" customFormat="false" ht="15" hidden="false" customHeight="false" outlineLevel="0" collapsed="false">
      <c r="A1144" s="2" t="s">
        <v>1008</v>
      </c>
      <c r="B1144" s="2" t="s">
        <v>221</v>
      </c>
      <c r="C1144" s="2" t="n">
        <v>130</v>
      </c>
      <c r="D1144" s="2" t="s">
        <v>54</v>
      </c>
      <c r="E1144" s="2" t="s">
        <v>2574</v>
      </c>
      <c r="F1144" s="2" t="n">
        <v>65</v>
      </c>
      <c r="G1144" s="2" t="n">
        <v>195</v>
      </c>
      <c r="H1144" s="2" t="s">
        <v>1693</v>
      </c>
      <c r="I1144" s="2" t="n">
        <v>1</v>
      </c>
    </row>
    <row r="1145" customFormat="false" ht="15" hidden="false" customHeight="false" outlineLevel="0" collapsed="false">
      <c r="A1145" s="2" t="s">
        <v>1008</v>
      </c>
      <c r="B1145" s="2" t="s">
        <v>262</v>
      </c>
      <c r="C1145" s="2" t="n">
        <v>2.5</v>
      </c>
      <c r="D1145" s="2" t="s">
        <v>54</v>
      </c>
      <c r="E1145" s="2" t="s">
        <v>2575</v>
      </c>
      <c r="F1145" s="2" t="n">
        <v>1.25</v>
      </c>
      <c r="G1145" s="2" t="n">
        <v>3.75</v>
      </c>
      <c r="H1145" s="2" t="s">
        <v>1689</v>
      </c>
      <c r="I1145" s="2" t="n">
        <v>2</v>
      </c>
    </row>
    <row r="1146" customFormat="false" ht="15" hidden="false" customHeight="false" outlineLevel="0" collapsed="false">
      <c r="A1146" s="2" t="s">
        <v>1008</v>
      </c>
      <c r="B1146" s="2" t="s">
        <v>454</v>
      </c>
      <c r="C1146" s="2" t="n">
        <v>75</v>
      </c>
      <c r="D1146" s="2" t="s">
        <v>54</v>
      </c>
      <c r="E1146" s="2" t="s">
        <v>2576</v>
      </c>
      <c r="F1146" s="2" t="n">
        <v>37.5</v>
      </c>
      <c r="G1146" s="2" t="n">
        <v>112.5</v>
      </c>
      <c r="H1146" s="2" t="s">
        <v>1689</v>
      </c>
      <c r="I1146" s="2" t="n">
        <v>3</v>
      </c>
    </row>
    <row r="1147" customFormat="false" ht="15" hidden="false" customHeight="false" outlineLevel="0" collapsed="false">
      <c r="A1147" s="2" t="s">
        <v>1008</v>
      </c>
      <c r="B1147" s="2" t="s">
        <v>454</v>
      </c>
      <c r="C1147" s="2" t="n">
        <v>75</v>
      </c>
      <c r="D1147" s="2" t="s">
        <v>54</v>
      </c>
      <c r="E1147" s="2" t="s">
        <v>2577</v>
      </c>
      <c r="F1147" s="2" t="n">
        <v>37.5</v>
      </c>
      <c r="G1147" s="2" t="n">
        <v>112.5</v>
      </c>
      <c r="H1147" s="2" t="s">
        <v>1689</v>
      </c>
      <c r="I1147" s="2" t="n">
        <v>4</v>
      </c>
    </row>
    <row r="1148" customFormat="false" ht="15" hidden="false" customHeight="false" outlineLevel="0" collapsed="false">
      <c r="A1148" s="2" t="s">
        <v>1008</v>
      </c>
      <c r="B1148" s="2" t="s">
        <v>458</v>
      </c>
      <c r="C1148" s="2" t="n">
        <v>75</v>
      </c>
      <c r="D1148" s="2" t="s">
        <v>54</v>
      </c>
      <c r="E1148" s="2" t="s">
        <v>2578</v>
      </c>
      <c r="F1148" s="2" t="n">
        <v>37.5</v>
      </c>
      <c r="G1148" s="2" t="n">
        <v>112.5</v>
      </c>
      <c r="H1148" s="2" t="s">
        <v>1689</v>
      </c>
      <c r="I1148" s="2" t="n">
        <v>5</v>
      </c>
    </row>
    <row r="1149" customFormat="false" ht="15" hidden="false" customHeight="false" outlineLevel="0" collapsed="false">
      <c r="A1149" s="2" t="s">
        <v>1008</v>
      </c>
      <c r="B1149" s="2" t="s">
        <v>168</v>
      </c>
      <c r="C1149" s="2" t="n">
        <v>25</v>
      </c>
      <c r="D1149" s="2" t="s">
        <v>54</v>
      </c>
      <c r="E1149" s="2" t="s">
        <v>2579</v>
      </c>
      <c r="F1149" s="2" t="n">
        <v>12.5</v>
      </c>
      <c r="G1149" s="2" t="n">
        <v>37.5</v>
      </c>
      <c r="H1149" s="2" t="s">
        <v>1689</v>
      </c>
      <c r="I1149" s="2" t="n">
        <v>6</v>
      </c>
    </row>
    <row r="1150" customFormat="false" ht="15" hidden="false" customHeight="false" outlineLevel="0" collapsed="false">
      <c r="A1150" s="2" t="s">
        <v>1008</v>
      </c>
      <c r="B1150" s="2" t="s">
        <v>394</v>
      </c>
      <c r="C1150" s="2" t="n">
        <v>50</v>
      </c>
      <c r="D1150" s="2" t="s">
        <v>54</v>
      </c>
      <c r="E1150" s="2" t="s">
        <v>2580</v>
      </c>
      <c r="F1150" s="2" t="n">
        <v>25</v>
      </c>
      <c r="G1150" s="2" t="n">
        <v>75</v>
      </c>
      <c r="H1150" s="2" t="s">
        <v>1689</v>
      </c>
      <c r="I1150" s="2" t="n">
        <v>7</v>
      </c>
    </row>
    <row r="1151" customFormat="false" ht="15" hidden="false" customHeight="false" outlineLevel="0" collapsed="false">
      <c r="A1151" s="2" t="s">
        <v>1008</v>
      </c>
      <c r="B1151" s="2" t="s">
        <v>219</v>
      </c>
      <c r="C1151" s="2" t="n">
        <v>90</v>
      </c>
      <c r="D1151" s="2" t="s">
        <v>54</v>
      </c>
      <c r="E1151" s="2" t="s">
        <v>2581</v>
      </c>
      <c r="F1151" s="2" t="n">
        <v>45</v>
      </c>
      <c r="G1151" s="2" t="n">
        <v>135</v>
      </c>
      <c r="H1151" s="2" t="s">
        <v>1689</v>
      </c>
      <c r="I1151" s="2" t="n">
        <v>8</v>
      </c>
    </row>
    <row r="1152" customFormat="false" ht="15" hidden="false" customHeight="false" outlineLevel="0" collapsed="false">
      <c r="A1152" s="2" t="s">
        <v>1008</v>
      </c>
      <c r="B1152" s="2" t="s">
        <v>301</v>
      </c>
      <c r="C1152" s="2" t="n">
        <v>15</v>
      </c>
      <c r="D1152" s="2" t="s">
        <v>54</v>
      </c>
      <c r="E1152" s="2" t="s">
        <v>2582</v>
      </c>
      <c r="F1152" s="2" t="n">
        <v>7.5</v>
      </c>
      <c r="G1152" s="2" t="n">
        <v>22.5</v>
      </c>
      <c r="H1152" s="2" t="s">
        <v>1689</v>
      </c>
      <c r="I1152" s="2" t="n">
        <v>9</v>
      </c>
    </row>
    <row r="1153" customFormat="false" ht="15" hidden="false" customHeight="false" outlineLevel="0" collapsed="false">
      <c r="A1153" s="2" t="s">
        <v>1008</v>
      </c>
      <c r="B1153" s="2" t="s">
        <v>375</v>
      </c>
      <c r="C1153" s="2" t="n">
        <v>0.5</v>
      </c>
      <c r="D1153" s="2" t="s">
        <v>1687</v>
      </c>
      <c r="E1153" s="2" t="s">
        <v>1970</v>
      </c>
      <c r="F1153" s="2"/>
      <c r="G1153" s="2" t="n">
        <v>1.5</v>
      </c>
      <c r="H1153" s="2" t="s">
        <v>1689</v>
      </c>
      <c r="I1153" s="2" t="n">
        <v>10</v>
      </c>
    </row>
    <row r="1154" customFormat="false" ht="15" hidden="false" customHeight="false" outlineLevel="0" collapsed="false">
      <c r="A1154" s="2" t="s">
        <v>1008</v>
      </c>
      <c r="B1154" s="2" t="s">
        <v>480</v>
      </c>
      <c r="C1154" s="2" t="n">
        <v>1</v>
      </c>
      <c r="D1154" s="2" t="s">
        <v>54</v>
      </c>
      <c r="E1154" s="2" t="s">
        <v>132</v>
      </c>
      <c r="F1154" s="2" t="n">
        <v>0.5</v>
      </c>
      <c r="G1154" s="2" t="n">
        <v>1.5</v>
      </c>
      <c r="H1154" s="2" t="s">
        <v>1689</v>
      </c>
      <c r="I1154" s="2" t="n">
        <v>11</v>
      </c>
    </row>
    <row r="1155" customFormat="false" ht="15" hidden="false" customHeight="false" outlineLevel="0" collapsed="false">
      <c r="A1155" s="2" t="s">
        <v>1012</v>
      </c>
      <c r="B1155" s="2" t="s">
        <v>550</v>
      </c>
      <c r="C1155" s="2" t="n">
        <v>80</v>
      </c>
      <c r="D1155" s="2" t="s">
        <v>54</v>
      </c>
      <c r="E1155" s="2" t="s">
        <v>2583</v>
      </c>
      <c r="F1155" s="2" t="n">
        <v>40</v>
      </c>
      <c r="G1155" s="2" t="n">
        <v>120</v>
      </c>
      <c r="H1155" s="2" t="s">
        <v>1693</v>
      </c>
      <c r="I1155" s="2" t="n">
        <v>1</v>
      </c>
    </row>
    <row r="1156" customFormat="false" ht="15" hidden="false" customHeight="false" outlineLevel="0" collapsed="false">
      <c r="A1156" s="2" t="s">
        <v>1012</v>
      </c>
      <c r="B1156" s="2" t="s">
        <v>341</v>
      </c>
      <c r="C1156" s="2" t="n">
        <v>80</v>
      </c>
      <c r="D1156" s="2" t="s">
        <v>54</v>
      </c>
      <c r="E1156" s="2" t="s">
        <v>2584</v>
      </c>
      <c r="F1156" s="2" t="n">
        <v>40</v>
      </c>
      <c r="G1156" s="2" t="n">
        <v>120</v>
      </c>
      <c r="H1156" s="2" t="s">
        <v>1693</v>
      </c>
      <c r="I1156" s="2" t="n">
        <v>2</v>
      </c>
    </row>
    <row r="1157" customFormat="false" ht="15" hidden="false" customHeight="false" outlineLevel="0" collapsed="false">
      <c r="A1157" s="2" t="s">
        <v>1012</v>
      </c>
      <c r="B1157" s="2" t="s">
        <v>446</v>
      </c>
      <c r="C1157" s="2" t="n">
        <v>50</v>
      </c>
      <c r="D1157" s="2" t="s">
        <v>54</v>
      </c>
      <c r="E1157" s="2" t="s">
        <v>2585</v>
      </c>
      <c r="F1157" s="2" t="n">
        <v>25</v>
      </c>
      <c r="G1157" s="2" t="n">
        <v>75</v>
      </c>
      <c r="H1157" s="2" t="s">
        <v>1689</v>
      </c>
      <c r="I1157" s="2" t="n">
        <v>3</v>
      </c>
    </row>
    <row r="1158" customFormat="false" ht="15" hidden="false" customHeight="false" outlineLevel="0" collapsed="false">
      <c r="A1158" s="2" t="s">
        <v>1012</v>
      </c>
      <c r="B1158" s="2" t="s">
        <v>117</v>
      </c>
      <c r="C1158" s="2" t="n">
        <v>0.25</v>
      </c>
      <c r="D1158" s="2" t="s">
        <v>1687</v>
      </c>
      <c r="E1158" s="2" t="s">
        <v>2586</v>
      </c>
      <c r="F1158" s="2"/>
      <c r="G1158" s="2" t="n">
        <v>1.25</v>
      </c>
      <c r="H1158" s="2" t="s">
        <v>1700</v>
      </c>
      <c r="I1158" s="2" t="n">
        <v>4</v>
      </c>
    </row>
    <row r="1159" customFormat="false" ht="15" hidden="false" customHeight="false" outlineLevel="0" collapsed="false">
      <c r="A1159" s="2" t="s">
        <v>1012</v>
      </c>
      <c r="B1159" s="2" t="s">
        <v>394</v>
      </c>
      <c r="C1159" s="2" t="n">
        <v>60</v>
      </c>
      <c r="D1159" s="2" t="s">
        <v>54</v>
      </c>
      <c r="E1159" s="2" t="s">
        <v>2587</v>
      </c>
      <c r="F1159" s="2" t="n">
        <v>30</v>
      </c>
      <c r="G1159" s="2" t="n">
        <v>90</v>
      </c>
      <c r="H1159" s="2" t="s">
        <v>1689</v>
      </c>
      <c r="I1159" s="2" t="n">
        <v>5</v>
      </c>
    </row>
    <row r="1160" customFormat="false" ht="15" hidden="false" customHeight="false" outlineLevel="0" collapsed="false">
      <c r="A1160" s="2" t="s">
        <v>1012</v>
      </c>
      <c r="B1160" s="2" t="s">
        <v>219</v>
      </c>
      <c r="C1160" s="2" t="n">
        <v>90</v>
      </c>
      <c r="D1160" s="2" t="s">
        <v>54</v>
      </c>
      <c r="E1160" s="2" t="s">
        <v>2573</v>
      </c>
      <c r="F1160" s="2" t="n">
        <v>45</v>
      </c>
      <c r="G1160" s="2" t="n">
        <v>135</v>
      </c>
      <c r="H1160" s="2" t="s">
        <v>1689</v>
      </c>
      <c r="I1160" s="2" t="n">
        <v>6</v>
      </c>
    </row>
    <row r="1161" customFormat="false" ht="15" hidden="false" customHeight="false" outlineLevel="0" collapsed="false">
      <c r="A1161" s="2" t="s">
        <v>1012</v>
      </c>
      <c r="B1161" s="2" t="s">
        <v>260</v>
      </c>
      <c r="C1161" s="2" t="n">
        <v>5</v>
      </c>
      <c r="D1161" s="2" t="s">
        <v>54</v>
      </c>
      <c r="E1161" s="2" t="s">
        <v>2588</v>
      </c>
      <c r="F1161" s="2" t="n">
        <v>2.5</v>
      </c>
      <c r="G1161" s="2" t="n">
        <v>7.5</v>
      </c>
      <c r="H1161" s="2" t="s">
        <v>1689</v>
      </c>
      <c r="I1161" s="2" t="n">
        <v>7</v>
      </c>
    </row>
    <row r="1162" customFormat="false" ht="15" hidden="false" customHeight="false" outlineLevel="0" collapsed="false">
      <c r="A1162" s="2" t="s">
        <v>1012</v>
      </c>
      <c r="B1162" s="2" t="s">
        <v>129</v>
      </c>
      <c r="C1162" s="2" t="n">
        <v>4.5</v>
      </c>
      <c r="D1162" s="2" t="s">
        <v>54</v>
      </c>
      <c r="E1162" s="2" t="s">
        <v>2421</v>
      </c>
      <c r="F1162" s="2" t="n">
        <v>2.25</v>
      </c>
      <c r="G1162" s="2" t="n">
        <v>6.75</v>
      </c>
      <c r="H1162" s="2" t="s">
        <v>1700</v>
      </c>
      <c r="I1162" s="2" t="n">
        <v>8</v>
      </c>
    </row>
    <row r="1163" customFormat="false" ht="15" hidden="false" customHeight="false" outlineLevel="0" collapsed="false">
      <c r="A1163" s="2" t="s">
        <v>1012</v>
      </c>
      <c r="B1163" s="2" t="s">
        <v>375</v>
      </c>
      <c r="C1163" s="2" t="n">
        <v>0.5</v>
      </c>
      <c r="D1163" s="2" t="s">
        <v>1687</v>
      </c>
      <c r="E1163" s="2" t="s">
        <v>2589</v>
      </c>
      <c r="F1163" s="2"/>
      <c r="G1163" s="2" t="n">
        <v>1.5</v>
      </c>
      <c r="H1163" s="2" t="s">
        <v>1689</v>
      </c>
      <c r="I1163" s="2" t="n">
        <v>9</v>
      </c>
    </row>
    <row r="1164" customFormat="false" ht="15" hidden="false" customHeight="false" outlineLevel="0" collapsed="false">
      <c r="A1164" s="2" t="s">
        <v>1012</v>
      </c>
      <c r="B1164" s="2" t="s">
        <v>301</v>
      </c>
      <c r="C1164" s="2" t="n">
        <v>15</v>
      </c>
      <c r="D1164" s="2" t="s">
        <v>54</v>
      </c>
      <c r="E1164" s="2" t="s">
        <v>2590</v>
      </c>
      <c r="F1164" s="2" t="n">
        <v>7.5</v>
      </c>
      <c r="G1164" s="2" t="n">
        <v>22.5</v>
      </c>
      <c r="H1164" s="2" t="s">
        <v>1689</v>
      </c>
      <c r="I1164" s="2" t="n">
        <v>10</v>
      </c>
    </row>
    <row r="1165" customFormat="false" ht="15" hidden="false" customHeight="false" outlineLevel="0" collapsed="false">
      <c r="A1165" s="2" t="s">
        <v>1012</v>
      </c>
      <c r="B1165" s="2" t="s">
        <v>480</v>
      </c>
      <c r="C1165" s="2" t="n">
        <v>1</v>
      </c>
      <c r="D1165" s="2" t="s">
        <v>54</v>
      </c>
      <c r="E1165" s="2" t="s">
        <v>132</v>
      </c>
      <c r="F1165" s="2" t="n">
        <v>0.5</v>
      </c>
      <c r="G1165" s="2" t="n">
        <v>1.5</v>
      </c>
      <c r="H1165" s="2" t="s">
        <v>1689</v>
      </c>
      <c r="I1165" s="2" t="n">
        <v>11</v>
      </c>
    </row>
    <row r="1166" customFormat="false" ht="15" hidden="false" customHeight="false" outlineLevel="0" collapsed="false">
      <c r="A1166" s="2" t="s">
        <v>1016</v>
      </c>
      <c r="B1166" s="2" t="s">
        <v>355</v>
      </c>
      <c r="C1166" s="2" t="n">
        <v>150</v>
      </c>
      <c r="D1166" s="2" t="s">
        <v>54</v>
      </c>
      <c r="E1166" s="2" t="s">
        <v>2591</v>
      </c>
      <c r="F1166" s="2" t="n">
        <v>75</v>
      </c>
      <c r="G1166" s="2" t="n">
        <v>225</v>
      </c>
      <c r="H1166" s="2" t="s">
        <v>1693</v>
      </c>
      <c r="I1166" s="2" t="n">
        <v>1</v>
      </c>
    </row>
    <row r="1167" customFormat="false" ht="15" hidden="false" customHeight="false" outlineLevel="0" collapsed="false">
      <c r="A1167" s="2" t="s">
        <v>1016</v>
      </c>
      <c r="B1167" s="2" t="s">
        <v>556</v>
      </c>
      <c r="C1167" s="2" t="n">
        <v>0.625</v>
      </c>
      <c r="D1167" s="2" t="s">
        <v>1687</v>
      </c>
      <c r="E1167" s="2" t="s">
        <v>2592</v>
      </c>
      <c r="F1167" s="2"/>
      <c r="G1167" s="2" t="n">
        <v>1.625</v>
      </c>
      <c r="H1167" s="2" t="s">
        <v>1689</v>
      </c>
      <c r="I1167" s="2" t="n">
        <v>2</v>
      </c>
    </row>
    <row r="1168" customFormat="false" ht="15" hidden="false" customHeight="false" outlineLevel="0" collapsed="false">
      <c r="A1168" s="2" t="s">
        <v>1016</v>
      </c>
      <c r="B1168" s="2" t="s">
        <v>394</v>
      </c>
      <c r="C1168" s="2" t="n">
        <v>60</v>
      </c>
      <c r="D1168" s="2" t="s">
        <v>54</v>
      </c>
      <c r="E1168" s="2" t="s">
        <v>2587</v>
      </c>
      <c r="F1168" s="2" t="n">
        <v>30</v>
      </c>
      <c r="G1168" s="2" t="n">
        <v>90</v>
      </c>
      <c r="H1168" s="2" t="s">
        <v>1689</v>
      </c>
      <c r="I1168" s="2" t="n">
        <v>3</v>
      </c>
    </row>
    <row r="1169" customFormat="false" ht="15" hidden="false" customHeight="false" outlineLevel="0" collapsed="false">
      <c r="A1169" s="2" t="s">
        <v>1016</v>
      </c>
      <c r="B1169" s="2" t="s">
        <v>219</v>
      </c>
      <c r="C1169" s="2" t="n">
        <v>90</v>
      </c>
      <c r="D1169" s="2" t="s">
        <v>54</v>
      </c>
      <c r="E1169" s="2" t="s">
        <v>2573</v>
      </c>
      <c r="F1169" s="2" t="n">
        <v>45</v>
      </c>
      <c r="G1169" s="2" t="n">
        <v>135</v>
      </c>
      <c r="H1169" s="2" t="s">
        <v>1689</v>
      </c>
      <c r="I1169" s="2" t="n">
        <v>4</v>
      </c>
    </row>
    <row r="1170" customFormat="false" ht="15" hidden="false" customHeight="false" outlineLevel="0" collapsed="false">
      <c r="A1170" s="2" t="s">
        <v>1016</v>
      </c>
      <c r="B1170" s="2" t="s">
        <v>458</v>
      </c>
      <c r="C1170" s="2" t="n">
        <v>37.5</v>
      </c>
      <c r="D1170" s="2" t="s">
        <v>54</v>
      </c>
      <c r="E1170" s="2" t="s">
        <v>2593</v>
      </c>
      <c r="F1170" s="2" t="n">
        <v>18.75</v>
      </c>
      <c r="G1170" s="2" t="n">
        <v>56.25</v>
      </c>
      <c r="H1170" s="2" t="s">
        <v>1689</v>
      </c>
      <c r="I1170" s="2" t="n">
        <v>5</v>
      </c>
    </row>
    <row r="1171" customFormat="false" ht="15" hidden="false" customHeight="false" outlineLevel="0" collapsed="false">
      <c r="A1171" s="2" t="s">
        <v>1016</v>
      </c>
      <c r="B1171" s="2" t="s">
        <v>301</v>
      </c>
      <c r="C1171" s="2" t="n">
        <v>15</v>
      </c>
      <c r="D1171" s="2" t="s">
        <v>54</v>
      </c>
      <c r="E1171" s="2" t="s">
        <v>2594</v>
      </c>
      <c r="F1171" s="2" t="n">
        <v>7.5</v>
      </c>
      <c r="G1171" s="2" t="n">
        <v>22.5</v>
      </c>
      <c r="H1171" s="2" t="s">
        <v>1689</v>
      </c>
      <c r="I1171" s="2" t="n">
        <v>6</v>
      </c>
    </row>
    <row r="1172" customFormat="false" ht="15" hidden="false" customHeight="false" outlineLevel="0" collapsed="false">
      <c r="A1172" s="2" t="s">
        <v>1016</v>
      </c>
      <c r="B1172" s="2" t="s">
        <v>312</v>
      </c>
      <c r="C1172" s="2" t="n">
        <v>1</v>
      </c>
      <c r="D1172" s="2" t="s">
        <v>1687</v>
      </c>
      <c r="E1172" s="2" t="s">
        <v>2595</v>
      </c>
      <c r="F1172" s="2"/>
      <c r="G1172" s="2" t="n">
        <v>2</v>
      </c>
      <c r="H1172" s="2" t="s">
        <v>1689</v>
      </c>
      <c r="I1172" s="2" t="n">
        <v>7</v>
      </c>
    </row>
    <row r="1173" customFormat="false" ht="15" hidden="false" customHeight="false" outlineLevel="0" collapsed="false">
      <c r="A1173" s="2" t="s">
        <v>1016</v>
      </c>
      <c r="B1173" s="2" t="s">
        <v>232</v>
      </c>
      <c r="C1173" s="2" t="n">
        <v>15</v>
      </c>
      <c r="D1173" s="2" t="s">
        <v>76</v>
      </c>
      <c r="E1173" s="2" t="s">
        <v>2596</v>
      </c>
      <c r="F1173" s="2" t="n">
        <v>7.5</v>
      </c>
      <c r="G1173" s="2" t="n">
        <v>22.5</v>
      </c>
      <c r="H1173" s="2" t="s">
        <v>1689</v>
      </c>
      <c r="I1173" s="2" t="n">
        <v>8</v>
      </c>
    </row>
    <row r="1174" customFormat="false" ht="15" hidden="false" customHeight="false" outlineLevel="0" collapsed="false">
      <c r="A1174" s="2" t="s">
        <v>1016</v>
      </c>
      <c r="B1174" s="2" t="s">
        <v>375</v>
      </c>
      <c r="C1174" s="2" t="n">
        <v>0.5</v>
      </c>
      <c r="D1174" s="2" t="s">
        <v>1687</v>
      </c>
      <c r="E1174" s="2" t="s">
        <v>2589</v>
      </c>
      <c r="F1174" s="2"/>
      <c r="G1174" s="2" t="n">
        <v>1.5</v>
      </c>
      <c r="H1174" s="2" t="s">
        <v>1689</v>
      </c>
      <c r="I1174" s="2" t="n">
        <v>9</v>
      </c>
    </row>
    <row r="1175" customFormat="false" ht="15" hidden="false" customHeight="false" outlineLevel="0" collapsed="false">
      <c r="A1175" s="2" t="s">
        <v>1016</v>
      </c>
      <c r="B1175" s="2" t="s">
        <v>271</v>
      </c>
      <c r="C1175" s="2" t="n">
        <v>0.625</v>
      </c>
      <c r="D1175" s="2" t="s">
        <v>54</v>
      </c>
      <c r="E1175" s="2" t="s">
        <v>2597</v>
      </c>
      <c r="F1175" s="2" t="n">
        <v>0.31</v>
      </c>
      <c r="G1175" s="2" t="n">
        <v>0.94</v>
      </c>
      <c r="H1175" s="2" t="s">
        <v>1689</v>
      </c>
      <c r="I1175" s="2" t="n">
        <v>10</v>
      </c>
    </row>
    <row r="1176" customFormat="false" ht="15" hidden="false" customHeight="false" outlineLevel="0" collapsed="false">
      <c r="A1176" s="2" t="s">
        <v>1016</v>
      </c>
      <c r="B1176" s="2" t="s">
        <v>271</v>
      </c>
      <c r="C1176" s="2" t="n">
        <v>1.25</v>
      </c>
      <c r="D1176" s="2" t="s">
        <v>54</v>
      </c>
      <c r="E1176" s="2" t="s">
        <v>2598</v>
      </c>
      <c r="F1176" s="2" t="n">
        <v>0.62</v>
      </c>
      <c r="G1176" s="2" t="n">
        <v>1.88</v>
      </c>
      <c r="H1176" s="2" t="s">
        <v>1689</v>
      </c>
      <c r="I1176" s="2" t="n">
        <v>11</v>
      </c>
    </row>
    <row r="1177" customFormat="false" ht="15" hidden="false" customHeight="false" outlineLevel="0" collapsed="false">
      <c r="A1177" s="2" t="s">
        <v>1016</v>
      </c>
      <c r="B1177" s="2" t="s">
        <v>480</v>
      </c>
      <c r="C1177" s="2" t="n">
        <v>1</v>
      </c>
      <c r="D1177" s="2" t="s">
        <v>54</v>
      </c>
      <c r="E1177" s="2" t="s">
        <v>132</v>
      </c>
      <c r="F1177" s="2" t="n">
        <v>0.5</v>
      </c>
      <c r="G1177" s="2" t="n">
        <v>1.5</v>
      </c>
      <c r="H1177" s="2" t="s">
        <v>1689</v>
      </c>
      <c r="I1177" s="2" t="n">
        <v>12</v>
      </c>
    </row>
    <row r="1178" customFormat="false" ht="15" hidden="false" customHeight="false" outlineLevel="0" collapsed="false">
      <c r="A1178" s="2" t="s">
        <v>1020</v>
      </c>
      <c r="B1178" s="2" t="s">
        <v>185</v>
      </c>
      <c r="C1178" s="2" t="n">
        <v>150</v>
      </c>
      <c r="D1178" s="2" t="s">
        <v>54</v>
      </c>
      <c r="E1178" s="2" t="s">
        <v>2599</v>
      </c>
      <c r="F1178" s="2" t="n">
        <v>75</v>
      </c>
      <c r="G1178" s="2" t="n">
        <v>225</v>
      </c>
      <c r="H1178" s="2" t="s">
        <v>1693</v>
      </c>
      <c r="I1178" s="2" t="n">
        <v>1</v>
      </c>
    </row>
    <row r="1179" customFormat="false" ht="15" hidden="false" customHeight="false" outlineLevel="0" collapsed="false">
      <c r="A1179" s="2" t="s">
        <v>1020</v>
      </c>
      <c r="B1179" s="2" t="s">
        <v>304</v>
      </c>
      <c r="C1179" s="2" t="n">
        <v>250</v>
      </c>
      <c r="D1179" s="2" t="s">
        <v>54</v>
      </c>
      <c r="E1179" s="2" t="s">
        <v>2600</v>
      </c>
      <c r="F1179" s="2" t="n">
        <v>125</v>
      </c>
      <c r="G1179" s="2" t="n">
        <v>375</v>
      </c>
      <c r="H1179" s="2" t="s">
        <v>1689</v>
      </c>
      <c r="I1179" s="2" t="n">
        <v>2</v>
      </c>
    </row>
    <row r="1180" customFormat="false" ht="15" hidden="false" customHeight="false" outlineLevel="0" collapsed="false">
      <c r="A1180" s="2" t="s">
        <v>1020</v>
      </c>
      <c r="B1180" s="2" t="s">
        <v>422</v>
      </c>
      <c r="C1180" s="2" t="n">
        <v>200</v>
      </c>
      <c r="D1180" s="2" t="s">
        <v>54</v>
      </c>
      <c r="E1180" s="2" t="s">
        <v>2601</v>
      </c>
      <c r="F1180" s="2" t="n">
        <v>100</v>
      </c>
      <c r="G1180" s="2" t="n">
        <v>300</v>
      </c>
      <c r="H1180" s="2" t="s">
        <v>1689</v>
      </c>
      <c r="I1180" s="2" t="n">
        <v>3</v>
      </c>
    </row>
    <row r="1181" customFormat="false" ht="15" hidden="false" customHeight="false" outlineLevel="0" collapsed="false">
      <c r="A1181" s="2" t="s">
        <v>1020</v>
      </c>
      <c r="B1181" s="2" t="s">
        <v>460</v>
      </c>
      <c r="C1181" s="2" t="n">
        <v>50</v>
      </c>
      <c r="D1181" s="2" t="s">
        <v>76</v>
      </c>
      <c r="E1181" s="2" t="s">
        <v>2602</v>
      </c>
      <c r="F1181" s="2" t="n">
        <v>25</v>
      </c>
      <c r="G1181" s="2" t="n">
        <v>75</v>
      </c>
      <c r="H1181" s="2" t="s">
        <v>1689</v>
      </c>
      <c r="I1181" s="2" t="n">
        <v>4</v>
      </c>
    </row>
    <row r="1182" customFormat="false" ht="15" hidden="false" customHeight="false" outlineLevel="0" collapsed="false">
      <c r="A1182" s="2" t="s">
        <v>1020</v>
      </c>
      <c r="B1182" s="2" t="s">
        <v>506</v>
      </c>
      <c r="C1182" s="2" t="n">
        <v>100</v>
      </c>
      <c r="D1182" s="2" t="s">
        <v>76</v>
      </c>
      <c r="E1182" s="2" t="s">
        <v>2603</v>
      </c>
      <c r="F1182" s="2" t="n">
        <v>50</v>
      </c>
      <c r="G1182" s="2" t="n">
        <v>150</v>
      </c>
      <c r="H1182" s="2" t="s">
        <v>1693</v>
      </c>
      <c r="I1182" s="2" t="n">
        <v>5</v>
      </c>
    </row>
    <row r="1183" customFormat="false" ht="15" hidden="false" customHeight="false" outlineLevel="0" collapsed="false">
      <c r="A1183" s="2" t="s">
        <v>1020</v>
      </c>
      <c r="B1183" s="2" t="s">
        <v>409</v>
      </c>
      <c r="C1183" s="2" t="n">
        <v>75</v>
      </c>
      <c r="D1183" s="2" t="s">
        <v>54</v>
      </c>
      <c r="E1183" s="2" t="s">
        <v>2604</v>
      </c>
      <c r="F1183" s="2" t="n">
        <v>37.5</v>
      </c>
      <c r="G1183" s="2" t="n">
        <v>112.5</v>
      </c>
      <c r="H1183" s="2" t="s">
        <v>1689</v>
      </c>
      <c r="I1183" s="2" t="n">
        <v>6</v>
      </c>
    </row>
    <row r="1184" customFormat="false" ht="15" hidden="false" customHeight="false" outlineLevel="0" collapsed="false">
      <c r="A1184" s="2" t="s">
        <v>1020</v>
      </c>
      <c r="B1184" s="2" t="s">
        <v>210</v>
      </c>
      <c r="C1184" s="2" t="n">
        <v>60</v>
      </c>
      <c r="D1184" s="2" t="s">
        <v>54</v>
      </c>
      <c r="E1184" s="2" t="s">
        <v>2605</v>
      </c>
      <c r="F1184" s="2" t="n">
        <v>30</v>
      </c>
      <c r="G1184" s="2" t="n">
        <v>90</v>
      </c>
      <c r="H1184" s="2" t="s">
        <v>1689</v>
      </c>
      <c r="I1184" s="2" t="n">
        <v>7</v>
      </c>
    </row>
    <row r="1185" customFormat="false" ht="15" hidden="false" customHeight="false" outlineLevel="0" collapsed="false">
      <c r="A1185" s="2" t="s">
        <v>1020</v>
      </c>
      <c r="B1185" s="2" t="s">
        <v>216</v>
      </c>
      <c r="C1185" s="2" t="n">
        <v>40</v>
      </c>
      <c r="D1185" s="2" t="s">
        <v>54</v>
      </c>
      <c r="E1185" s="2" t="s">
        <v>2606</v>
      </c>
      <c r="F1185" s="2" t="n">
        <v>20</v>
      </c>
      <c r="G1185" s="2" t="n">
        <v>60</v>
      </c>
      <c r="H1185" s="2" t="s">
        <v>1689</v>
      </c>
      <c r="I1185" s="2" t="n">
        <v>8</v>
      </c>
    </row>
    <row r="1186" customFormat="false" ht="15" hidden="false" customHeight="false" outlineLevel="0" collapsed="false">
      <c r="A1186" s="2" t="s">
        <v>1020</v>
      </c>
      <c r="B1186" s="2" t="s">
        <v>312</v>
      </c>
      <c r="C1186" s="2" t="n">
        <v>1</v>
      </c>
      <c r="D1186" s="2" t="s">
        <v>1687</v>
      </c>
      <c r="E1186" s="2" t="s">
        <v>2607</v>
      </c>
      <c r="F1186" s="2"/>
      <c r="G1186" s="2" t="n">
        <v>2</v>
      </c>
      <c r="H1186" s="2" t="s">
        <v>1689</v>
      </c>
      <c r="I1186" s="2" t="n">
        <v>9</v>
      </c>
    </row>
    <row r="1187" customFormat="false" ht="15" hidden="false" customHeight="false" outlineLevel="0" collapsed="false">
      <c r="A1187" s="2" t="s">
        <v>1020</v>
      </c>
      <c r="B1187" s="2" t="s">
        <v>129</v>
      </c>
      <c r="C1187" s="2" t="n">
        <v>4.5</v>
      </c>
      <c r="D1187" s="2" t="s">
        <v>54</v>
      </c>
      <c r="E1187" s="2" t="s">
        <v>2421</v>
      </c>
      <c r="F1187" s="2" t="n">
        <v>2.25</v>
      </c>
      <c r="G1187" s="2" t="n">
        <v>6.75</v>
      </c>
      <c r="H1187" s="2" t="s">
        <v>1700</v>
      </c>
      <c r="I1187" s="2" t="n">
        <v>10</v>
      </c>
    </row>
    <row r="1188" customFormat="false" ht="15" hidden="false" customHeight="false" outlineLevel="0" collapsed="false">
      <c r="A1188" s="2" t="s">
        <v>1020</v>
      </c>
      <c r="B1188" s="2" t="s">
        <v>179</v>
      </c>
      <c r="C1188" s="2" t="n">
        <v>1</v>
      </c>
      <c r="D1188" s="2" t="s">
        <v>1687</v>
      </c>
      <c r="E1188" s="2" t="s">
        <v>2608</v>
      </c>
      <c r="F1188" s="2" t="n">
        <v>0.5</v>
      </c>
      <c r="G1188" s="2" t="n">
        <v>1.5</v>
      </c>
      <c r="H1188" s="2" t="s">
        <v>1689</v>
      </c>
      <c r="I1188" s="2" t="n">
        <v>11</v>
      </c>
    </row>
    <row r="1189" customFormat="false" ht="15" hidden="false" customHeight="false" outlineLevel="0" collapsed="false">
      <c r="A1189" s="2" t="s">
        <v>1020</v>
      </c>
      <c r="B1189" s="2" t="s">
        <v>420</v>
      </c>
      <c r="C1189" s="2" t="n">
        <v>10</v>
      </c>
      <c r="D1189" s="2" t="s">
        <v>54</v>
      </c>
      <c r="E1189" s="2" t="s">
        <v>2609</v>
      </c>
      <c r="F1189" s="2" t="n">
        <v>5</v>
      </c>
      <c r="G1189" s="2" t="n">
        <v>15</v>
      </c>
      <c r="H1189" s="2" t="s">
        <v>1693</v>
      </c>
      <c r="I1189" s="2" t="n">
        <v>12</v>
      </c>
    </row>
    <row r="1190" customFormat="false" ht="15" hidden="false" customHeight="false" outlineLevel="0" collapsed="false">
      <c r="A1190" s="2" t="s">
        <v>1020</v>
      </c>
      <c r="B1190" s="2" t="s">
        <v>480</v>
      </c>
      <c r="C1190" s="2" t="n">
        <v>1</v>
      </c>
      <c r="D1190" s="2" t="s">
        <v>54</v>
      </c>
      <c r="E1190" s="2" t="s">
        <v>132</v>
      </c>
      <c r="F1190" s="2" t="n">
        <v>0.5</v>
      </c>
      <c r="G1190" s="2" t="n">
        <v>1.5</v>
      </c>
      <c r="H1190" s="2" t="s">
        <v>1689</v>
      </c>
      <c r="I1190" s="2" t="n">
        <v>13</v>
      </c>
    </row>
    <row r="1191" customFormat="false" ht="15" hidden="false" customHeight="false" outlineLevel="0" collapsed="false">
      <c r="A1191" s="2" t="s">
        <v>1024</v>
      </c>
      <c r="B1191" s="2" t="s">
        <v>363</v>
      </c>
      <c r="C1191" s="2" t="n">
        <v>150</v>
      </c>
      <c r="D1191" s="2" t="s">
        <v>54</v>
      </c>
      <c r="E1191" s="2" t="s">
        <v>2610</v>
      </c>
      <c r="F1191" s="2" t="n">
        <v>75</v>
      </c>
      <c r="G1191" s="2" t="n">
        <v>225</v>
      </c>
      <c r="H1191" s="2" t="s">
        <v>1693</v>
      </c>
      <c r="I1191" s="2" t="n">
        <v>1</v>
      </c>
    </row>
    <row r="1192" customFormat="false" ht="15" hidden="false" customHeight="false" outlineLevel="0" collapsed="false">
      <c r="A1192" s="2" t="s">
        <v>1024</v>
      </c>
      <c r="B1192" s="2" t="s">
        <v>193</v>
      </c>
      <c r="C1192" s="2" t="n">
        <v>15</v>
      </c>
      <c r="D1192" s="2" t="s">
        <v>54</v>
      </c>
      <c r="E1192" s="2" t="s">
        <v>2611</v>
      </c>
      <c r="F1192" s="2" t="n">
        <v>7.5</v>
      </c>
      <c r="G1192" s="2" t="n">
        <v>22.5</v>
      </c>
      <c r="H1192" s="2" t="s">
        <v>1689</v>
      </c>
      <c r="I1192" s="2" t="n">
        <v>2</v>
      </c>
    </row>
    <row r="1193" customFormat="false" ht="15" hidden="false" customHeight="false" outlineLevel="0" collapsed="false">
      <c r="A1193" s="2" t="s">
        <v>1024</v>
      </c>
      <c r="B1193" s="2" t="s">
        <v>494</v>
      </c>
      <c r="C1193" s="2" t="n">
        <v>15</v>
      </c>
      <c r="D1193" s="2" t="s">
        <v>76</v>
      </c>
      <c r="E1193" s="2" t="s">
        <v>2612</v>
      </c>
      <c r="F1193" s="2" t="n">
        <v>7.5</v>
      </c>
      <c r="G1193" s="2" t="n">
        <v>22.5</v>
      </c>
      <c r="H1193" s="2" t="s">
        <v>1689</v>
      </c>
      <c r="I1193" s="2" t="n">
        <v>3</v>
      </c>
    </row>
    <row r="1194" customFormat="false" ht="15" hidden="false" customHeight="false" outlineLevel="0" collapsed="false">
      <c r="A1194" s="2" t="s">
        <v>1024</v>
      </c>
      <c r="B1194" s="2" t="s">
        <v>312</v>
      </c>
      <c r="C1194" s="2" t="n">
        <v>0.5</v>
      </c>
      <c r="D1194" s="2" t="s">
        <v>1687</v>
      </c>
      <c r="E1194" s="2" t="s">
        <v>2613</v>
      </c>
      <c r="F1194" s="2"/>
      <c r="G1194" s="2" t="n">
        <v>1.5</v>
      </c>
      <c r="H1194" s="2" t="s">
        <v>1689</v>
      </c>
      <c r="I1194" s="2" t="n">
        <v>4</v>
      </c>
    </row>
    <row r="1195" customFormat="false" ht="15" hidden="false" customHeight="false" outlineLevel="0" collapsed="false">
      <c r="A1195" s="2" t="s">
        <v>1024</v>
      </c>
      <c r="B1195" s="2" t="s">
        <v>301</v>
      </c>
      <c r="C1195" s="2" t="n">
        <v>5</v>
      </c>
      <c r="D1195" s="2" t="s">
        <v>54</v>
      </c>
      <c r="E1195" s="2" t="s">
        <v>2614</v>
      </c>
      <c r="F1195" s="2" t="n">
        <v>2.5</v>
      </c>
      <c r="G1195" s="2" t="n">
        <v>7.5</v>
      </c>
      <c r="H1195" s="2" t="s">
        <v>1689</v>
      </c>
      <c r="I1195" s="2" t="n">
        <v>5</v>
      </c>
    </row>
    <row r="1196" customFormat="false" ht="15" hidden="false" customHeight="false" outlineLevel="0" collapsed="false">
      <c r="A1196" s="2" t="s">
        <v>1024</v>
      </c>
      <c r="B1196" s="2" t="s">
        <v>424</v>
      </c>
      <c r="C1196" s="2" t="n">
        <v>75</v>
      </c>
      <c r="D1196" s="2" t="s">
        <v>54</v>
      </c>
      <c r="E1196" s="2" t="s">
        <v>2615</v>
      </c>
      <c r="F1196" s="2" t="n">
        <v>37.5</v>
      </c>
      <c r="G1196" s="2" t="n">
        <v>112.5</v>
      </c>
      <c r="H1196" s="2" t="s">
        <v>1689</v>
      </c>
      <c r="I1196" s="2" t="n">
        <v>6</v>
      </c>
    </row>
    <row r="1197" customFormat="false" ht="15" hidden="false" customHeight="false" outlineLevel="0" collapsed="false">
      <c r="A1197" s="2" t="s">
        <v>1024</v>
      </c>
      <c r="B1197" s="2" t="s">
        <v>422</v>
      </c>
      <c r="C1197" s="2" t="n">
        <v>200</v>
      </c>
      <c r="D1197" s="2" t="s">
        <v>54</v>
      </c>
      <c r="E1197" s="2" t="s">
        <v>2616</v>
      </c>
      <c r="F1197" s="2" t="n">
        <v>100</v>
      </c>
      <c r="G1197" s="2" t="n">
        <v>300</v>
      </c>
      <c r="H1197" s="2" t="s">
        <v>1689</v>
      </c>
      <c r="I1197" s="2" t="n">
        <v>7</v>
      </c>
    </row>
    <row r="1198" customFormat="false" ht="15" hidden="false" customHeight="false" outlineLevel="0" collapsed="false">
      <c r="A1198" s="2" t="s">
        <v>1024</v>
      </c>
      <c r="B1198" s="2" t="s">
        <v>409</v>
      </c>
      <c r="C1198" s="2" t="n">
        <v>75</v>
      </c>
      <c r="D1198" s="2" t="s">
        <v>54</v>
      </c>
      <c r="E1198" s="2" t="s">
        <v>2604</v>
      </c>
      <c r="F1198" s="2" t="n">
        <v>37.5</v>
      </c>
      <c r="G1198" s="2" t="n">
        <v>112.5</v>
      </c>
      <c r="H1198" s="2" t="s">
        <v>1689</v>
      </c>
      <c r="I1198" s="2" t="n">
        <v>8</v>
      </c>
    </row>
    <row r="1199" customFormat="false" ht="15" hidden="false" customHeight="false" outlineLevel="0" collapsed="false">
      <c r="A1199" s="2" t="s">
        <v>1024</v>
      </c>
      <c r="B1199" s="2" t="s">
        <v>312</v>
      </c>
      <c r="C1199" s="2" t="n">
        <v>1</v>
      </c>
      <c r="D1199" s="2" t="s">
        <v>1687</v>
      </c>
      <c r="E1199" s="2" t="s">
        <v>2607</v>
      </c>
      <c r="F1199" s="2"/>
      <c r="G1199" s="2" t="n">
        <v>2</v>
      </c>
      <c r="H1199" s="2" t="s">
        <v>1689</v>
      </c>
      <c r="I1199" s="2" t="n">
        <v>9</v>
      </c>
    </row>
    <row r="1200" customFormat="false" ht="15" hidden="false" customHeight="false" outlineLevel="0" collapsed="false">
      <c r="A1200" s="2" t="s">
        <v>1024</v>
      </c>
      <c r="B1200" s="2" t="s">
        <v>301</v>
      </c>
      <c r="C1200" s="2" t="n">
        <v>5</v>
      </c>
      <c r="D1200" s="2" t="s">
        <v>54</v>
      </c>
      <c r="E1200" s="2" t="s">
        <v>2617</v>
      </c>
      <c r="F1200" s="2" t="n">
        <v>2.5</v>
      </c>
      <c r="G1200" s="2" t="n">
        <v>7.5</v>
      </c>
      <c r="H1200" s="2" t="s">
        <v>1689</v>
      </c>
      <c r="I1200" s="2" t="n">
        <v>10</v>
      </c>
    </row>
    <row r="1201" customFormat="false" ht="15" hidden="false" customHeight="false" outlineLevel="0" collapsed="false">
      <c r="A1201" s="2" t="s">
        <v>1024</v>
      </c>
      <c r="B1201" s="2" t="s">
        <v>480</v>
      </c>
      <c r="C1201" s="2" t="n">
        <v>1</v>
      </c>
      <c r="D1201" s="2" t="s">
        <v>54</v>
      </c>
      <c r="E1201" s="2" t="s">
        <v>132</v>
      </c>
      <c r="F1201" s="2" t="n">
        <v>0.5</v>
      </c>
      <c r="G1201" s="2" t="n">
        <v>1.5</v>
      </c>
      <c r="H1201" s="2" t="s">
        <v>1689</v>
      </c>
      <c r="I1201" s="2" t="n">
        <v>11</v>
      </c>
    </row>
    <row r="1202" customFormat="false" ht="15" hidden="false" customHeight="false" outlineLevel="0" collapsed="false">
      <c r="A1202" s="2" t="s">
        <v>1029</v>
      </c>
      <c r="B1202" s="2" t="s">
        <v>424</v>
      </c>
      <c r="C1202" s="2" t="n">
        <v>75</v>
      </c>
      <c r="D1202" s="2" t="s">
        <v>54</v>
      </c>
      <c r="E1202" s="2" t="s">
        <v>2618</v>
      </c>
      <c r="F1202" s="2" t="n">
        <v>37.5</v>
      </c>
      <c r="G1202" s="2" t="n">
        <v>112.5</v>
      </c>
      <c r="H1202" s="2" t="s">
        <v>1689</v>
      </c>
      <c r="I1202" s="2" t="n">
        <v>1</v>
      </c>
    </row>
    <row r="1203" customFormat="false" ht="15" hidden="false" customHeight="false" outlineLevel="0" collapsed="false">
      <c r="A1203" s="2" t="s">
        <v>1029</v>
      </c>
      <c r="B1203" s="2" t="s">
        <v>401</v>
      </c>
      <c r="C1203" s="2" t="n">
        <v>300</v>
      </c>
      <c r="D1203" s="2" t="s">
        <v>54</v>
      </c>
      <c r="E1203" s="2" t="s">
        <v>2619</v>
      </c>
      <c r="F1203" s="2" t="n">
        <v>150</v>
      </c>
      <c r="G1203" s="2" t="n">
        <v>450</v>
      </c>
      <c r="H1203" s="2" t="s">
        <v>1693</v>
      </c>
      <c r="I1203" s="2" t="n">
        <v>2</v>
      </c>
    </row>
    <row r="1204" customFormat="false" ht="15" hidden="false" customHeight="false" outlineLevel="0" collapsed="false">
      <c r="A1204" s="2" t="s">
        <v>1029</v>
      </c>
      <c r="B1204" s="2" t="s">
        <v>341</v>
      </c>
      <c r="C1204" s="2" t="n">
        <v>100</v>
      </c>
      <c r="D1204" s="2" t="s">
        <v>54</v>
      </c>
      <c r="E1204" s="2" t="s">
        <v>2620</v>
      </c>
      <c r="F1204" s="2" t="n">
        <v>50</v>
      </c>
      <c r="G1204" s="2" t="n">
        <v>150</v>
      </c>
      <c r="H1204" s="2" t="s">
        <v>1693</v>
      </c>
      <c r="I1204" s="2" t="n">
        <v>3</v>
      </c>
    </row>
    <row r="1205" customFormat="false" ht="15" hidden="false" customHeight="false" outlineLevel="0" collapsed="false">
      <c r="A1205" s="2" t="s">
        <v>1029</v>
      </c>
      <c r="B1205" s="2" t="s">
        <v>460</v>
      </c>
      <c r="C1205" s="2" t="n">
        <v>100</v>
      </c>
      <c r="D1205" s="2" t="s">
        <v>76</v>
      </c>
      <c r="E1205" s="2" t="s">
        <v>2621</v>
      </c>
      <c r="F1205" s="2" t="n">
        <v>50</v>
      </c>
      <c r="G1205" s="2" t="n">
        <v>150</v>
      </c>
      <c r="H1205" s="2" t="s">
        <v>1689</v>
      </c>
      <c r="I1205" s="2" t="n">
        <v>4</v>
      </c>
    </row>
    <row r="1206" customFormat="false" ht="15" hidden="false" customHeight="false" outlineLevel="0" collapsed="false">
      <c r="A1206" s="2" t="s">
        <v>1029</v>
      </c>
      <c r="B1206" s="2" t="s">
        <v>422</v>
      </c>
      <c r="C1206" s="2" t="n">
        <v>150</v>
      </c>
      <c r="D1206" s="2" t="s">
        <v>54</v>
      </c>
      <c r="E1206" s="2" t="s">
        <v>2622</v>
      </c>
      <c r="F1206" s="2" t="n">
        <v>75</v>
      </c>
      <c r="G1206" s="2" t="n">
        <v>225</v>
      </c>
      <c r="H1206" s="2" t="s">
        <v>1689</v>
      </c>
      <c r="I1206" s="2" t="n">
        <v>5</v>
      </c>
    </row>
    <row r="1207" customFormat="false" ht="15" hidden="false" customHeight="false" outlineLevel="0" collapsed="false">
      <c r="A1207" s="2" t="s">
        <v>1029</v>
      </c>
      <c r="B1207" s="2" t="s">
        <v>409</v>
      </c>
      <c r="C1207" s="2" t="n">
        <v>75</v>
      </c>
      <c r="D1207" s="2" t="s">
        <v>54</v>
      </c>
      <c r="E1207" s="2" t="s">
        <v>2604</v>
      </c>
      <c r="F1207" s="2" t="n">
        <v>37.5</v>
      </c>
      <c r="G1207" s="2" t="n">
        <v>112.5</v>
      </c>
      <c r="H1207" s="2" t="s">
        <v>1689</v>
      </c>
      <c r="I1207" s="2" t="n">
        <v>6</v>
      </c>
    </row>
    <row r="1208" customFormat="false" ht="15" hidden="false" customHeight="false" outlineLevel="0" collapsed="false">
      <c r="A1208" s="2" t="s">
        <v>1029</v>
      </c>
      <c r="B1208" s="2" t="s">
        <v>312</v>
      </c>
      <c r="C1208" s="2" t="n">
        <v>1</v>
      </c>
      <c r="D1208" s="2" t="s">
        <v>1687</v>
      </c>
      <c r="E1208" s="2" t="s">
        <v>2607</v>
      </c>
      <c r="F1208" s="2"/>
      <c r="G1208" s="2" t="n">
        <v>2</v>
      </c>
      <c r="H1208" s="2" t="s">
        <v>1689</v>
      </c>
      <c r="I1208" s="2" t="n">
        <v>7</v>
      </c>
    </row>
    <row r="1209" customFormat="false" ht="15" hidden="false" customHeight="false" outlineLevel="0" collapsed="false">
      <c r="A1209" s="2" t="s">
        <v>1029</v>
      </c>
      <c r="B1209" s="2" t="s">
        <v>129</v>
      </c>
      <c r="C1209" s="2" t="n">
        <v>4.5</v>
      </c>
      <c r="D1209" s="2" t="s">
        <v>54</v>
      </c>
      <c r="E1209" s="2" t="s">
        <v>2421</v>
      </c>
      <c r="F1209" s="2" t="n">
        <v>2.25</v>
      </c>
      <c r="G1209" s="2" t="n">
        <v>6.75</v>
      </c>
      <c r="H1209" s="2" t="s">
        <v>1700</v>
      </c>
      <c r="I1209" s="2" t="n">
        <v>8</v>
      </c>
    </row>
    <row r="1210" customFormat="false" ht="15" hidden="false" customHeight="false" outlineLevel="0" collapsed="false">
      <c r="A1210" s="2" t="s">
        <v>1029</v>
      </c>
      <c r="B1210" s="2" t="s">
        <v>301</v>
      </c>
      <c r="C1210" s="2" t="n">
        <v>5</v>
      </c>
      <c r="D1210" s="2" t="s">
        <v>54</v>
      </c>
      <c r="E1210" s="2" t="s">
        <v>2623</v>
      </c>
      <c r="F1210" s="2" t="n">
        <v>2.5</v>
      </c>
      <c r="G1210" s="2" t="n">
        <v>7.5</v>
      </c>
      <c r="H1210" s="2" t="s">
        <v>1689</v>
      </c>
      <c r="I1210" s="2" t="n">
        <v>9</v>
      </c>
    </row>
    <row r="1211" customFormat="false" ht="15" hidden="false" customHeight="false" outlineLevel="0" collapsed="false">
      <c r="A1211" s="2" t="s">
        <v>1029</v>
      </c>
      <c r="B1211" s="2" t="s">
        <v>480</v>
      </c>
      <c r="C1211" s="2" t="n">
        <v>1</v>
      </c>
      <c r="D1211" s="2" t="s">
        <v>54</v>
      </c>
      <c r="E1211" s="2" t="s">
        <v>132</v>
      </c>
      <c r="F1211" s="2" t="n">
        <v>0.5</v>
      </c>
      <c r="G1211" s="2" t="n">
        <v>1.5</v>
      </c>
      <c r="H1211" s="2" t="s">
        <v>1689</v>
      </c>
      <c r="I1211" s="2" t="n">
        <v>10</v>
      </c>
    </row>
    <row r="1212" customFormat="false" ht="15" hidden="false" customHeight="false" outlineLevel="0" collapsed="false">
      <c r="A1212" s="2" t="s">
        <v>1034</v>
      </c>
      <c r="B1212" s="2" t="s">
        <v>221</v>
      </c>
      <c r="C1212" s="2" t="n">
        <v>150</v>
      </c>
      <c r="D1212" s="2" t="s">
        <v>54</v>
      </c>
      <c r="E1212" s="2" t="s">
        <v>2482</v>
      </c>
      <c r="F1212" s="2" t="n">
        <v>75</v>
      </c>
      <c r="G1212" s="2" t="n">
        <v>225</v>
      </c>
      <c r="H1212" s="2" t="s">
        <v>1693</v>
      </c>
      <c r="I1212" s="2" t="n">
        <v>1</v>
      </c>
    </row>
    <row r="1213" customFormat="false" ht="15" hidden="false" customHeight="false" outlineLevel="0" collapsed="false">
      <c r="A1213" s="2" t="s">
        <v>1034</v>
      </c>
      <c r="B1213" s="2" t="s">
        <v>430</v>
      </c>
      <c r="C1213" s="2" t="n">
        <v>15</v>
      </c>
      <c r="D1213" s="2" t="s">
        <v>54</v>
      </c>
      <c r="E1213" s="2" t="s">
        <v>2624</v>
      </c>
      <c r="F1213" s="2" t="n">
        <v>7.5</v>
      </c>
      <c r="G1213" s="2" t="n">
        <v>22.5</v>
      </c>
      <c r="H1213" s="2" t="s">
        <v>1689</v>
      </c>
      <c r="I1213" s="2" t="n">
        <v>2</v>
      </c>
    </row>
    <row r="1214" customFormat="false" ht="15" hidden="false" customHeight="false" outlineLevel="0" collapsed="false">
      <c r="A1214" s="2" t="s">
        <v>1034</v>
      </c>
      <c r="B1214" s="2" t="s">
        <v>424</v>
      </c>
      <c r="C1214" s="2" t="n">
        <v>75</v>
      </c>
      <c r="D1214" s="2" t="s">
        <v>54</v>
      </c>
      <c r="E1214" s="2" t="s">
        <v>2625</v>
      </c>
      <c r="F1214" s="2" t="n">
        <v>37.5</v>
      </c>
      <c r="G1214" s="2" t="n">
        <v>112.5</v>
      </c>
      <c r="H1214" s="2" t="s">
        <v>1689</v>
      </c>
      <c r="I1214" s="2" t="n">
        <v>3</v>
      </c>
    </row>
    <row r="1215" customFormat="false" ht="15" hidden="false" customHeight="false" outlineLevel="0" collapsed="false">
      <c r="A1215" s="2" t="s">
        <v>1034</v>
      </c>
      <c r="B1215" s="2" t="s">
        <v>371</v>
      </c>
      <c r="C1215" s="2" t="n">
        <v>100</v>
      </c>
      <c r="D1215" s="2" t="s">
        <v>76</v>
      </c>
      <c r="E1215" s="2" t="s">
        <v>2626</v>
      </c>
      <c r="F1215" s="2" t="n">
        <v>50</v>
      </c>
      <c r="G1215" s="2" t="n">
        <v>150</v>
      </c>
      <c r="H1215" s="2" t="s">
        <v>1700</v>
      </c>
      <c r="I1215" s="2" t="n">
        <v>4</v>
      </c>
    </row>
    <row r="1216" customFormat="false" ht="15" hidden="false" customHeight="false" outlineLevel="0" collapsed="false">
      <c r="A1216" s="2" t="s">
        <v>1034</v>
      </c>
      <c r="B1216" s="2" t="s">
        <v>506</v>
      </c>
      <c r="C1216" s="2" t="n">
        <v>100</v>
      </c>
      <c r="D1216" s="2" t="s">
        <v>76</v>
      </c>
      <c r="E1216" s="2" t="s">
        <v>2627</v>
      </c>
      <c r="F1216" s="2" t="n">
        <v>50</v>
      </c>
      <c r="G1216" s="2" t="n">
        <v>150</v>
      </c>
      <c r="H1216" s="2" t="s">
        <v>1693</v>
      </c>
      <c r="I1216" s="2" t="n">
        <v>5</v>
      </c>
    </row>
    <row r="1217" customFormat="false" ht="15" hidden="false" customHeight="false" outlineLevel="0" collapsed="false">
      <c r="A1217" s="2" t="s">
        <v>1034</v>
      </c>
      <c r="B1217" s="2" t="s">
        <v>454</v>
      </c>
      <c r="C1217" s="2" t="n">
        <v>37.5</v>
      </c>
      <c r="D1217" s="2" t="s">
        <v>54</v>
      </c>
      <c r="E1217" s="2" t="s">
        <v>2628</v>
      </c>
      <c r="F1217" s="2" t="n">
        <v>18.75</v>
      </c>
      <c r="G1217" s="2" t="n">
        <v>56.25</v>
      </c>
      <c r="H1217" s="2" t="s">
        <v>1689</v>
      </c>
      <c r="I1217" s="2" t="n">
        <v>6</v>
      </c>
    </row>
    <row r="1218" customFormat="false" ht="15" hidden="false" customHeight="false" outlineLevel="0" collapsed="false">
      <c r="A1218" s="2" t="s">
        <v>1034</v>
      </c>
      <c r="B1218" s="2" t="s">
        <v>454</v>
      </c>
      <c r="C1218" s="2" t="n">
        <v>37.5</v>
      </c>
      <c r="D1218" s="2" t="s">
        <v>54</v>
      </c>
      <c r="E1218" s="2" t="s">
        <v>2629</v>
      </c>
      <c r="F1218" s="2" t="n">
        <v>18.75</v>
      </c>
      <c r="G1218" s="2" t="n">
        <v>56.25</v>
      </c>
      <c r="H1218" s="2" t="s">
        <v>1689</v>
      </c>
      <c r="I1218" s="2" t="n">
        <v>7</v>
      </c>
    </row>
    <row r="1219" customFormat="false" ht="15" hidden="false" customHeight="false" outlineLevel="0" collapsed="false">
      <c r="A1219" s="2" t="s">
        <v>1034</v>
      </c>
      <c r="B1219" s="2" t="s">
        <v>454</v>
      </c>
      <c r="C1219" s="2" t="n">
        <v>37.5</v>
      </c>
      <c r="D1219" s="2" t="s">
        <v>54</v>
      </c>
      <c r="E1219" s="2" t="s">
        <v>2630</v>
      </c>
      <c r="F1219" s="2" t="n">
        <v>18.75</v>
      </c>
      <c r="G1219" s="2" t="n">
        <v>56.25</v>
      </c>
      <c r="H1219" s="2" t="s">
        <v>1689</v>
      </c>
      <c r="I1219" s="2" t="n">
        <v>8</v>
      </c>
    </row>
    <row r="1220" customFormat="false" ht="15" hidden="false" customHeight="false" outlineLevel="0" collapsed="false">
      <c r="A1220" s="2" t="s">
        <v>1034</v>
      </c>
      <c r="B1220" s="2" t="s">
        <v>409</v>
      </c>
      <c r="C1220" s="2" t="n">
        <v>75</v>
      </c>
      <c r="D1220" s="2" t="s">
        <v>54</v>
      </c>
      <c r="E1220" s="2" t="s">
        <v>2631</v>
      </c>
      <c r="F1220" s="2" t="n">
        <v>37.5</v>
      </c>
      <c r="G1220" s="2" t="n">
        <v>112.5</v>
      </c>
      <c r="H1220" s="2" t="s">
        <v>1689</v>
      </c>
      <c r="I1220" s="2" t="n">
        <v>9</v>
      </c>
    </row>
    <row r="1221" customFormat="false" ht="15" hidden="false" customHeight="false" outlineLevel="0" collapsed="false">
      <c r="A1221" s="2" t="s">
        <v>1034</v>
      </c>
      <c r="B1221" s="2" t="s">
        <v>312</v>
      </c>
      <c r="C1221" s="2" t="n">
        <v>1</v>
      </c>
      <c r="D1221" s="2" t="s">
        <v>1687</v>
      </c>
      <c r="E1221" s="2" t="s">
        <v>2607</v>
      </c>
      <c r="F1221" s="2"/>
      <c r="G1221" s="2" t="n">
        <v>2</v>
      </c>
      <c r="H1221" s="2" t="s">
        <v>1689</v>
      </c>
      <c r="I1221" s="2" t="n">
        <v>10</v>
      </c>
    </row>
    <row r="1222" customFormat="false" ht="15" hidden="false" customHeight="false" outlineLevel="0" collapsed="false">
      <c r="A1222" s="2" t="s">
        <v>1034</v>
      </c>
      <c r="B1222" s="2" t="s">
        <v>500</v>
      </c>
      <c r="C1222" s="2" t="n">
        <v>1</v>
      </c>
      <c r="D1222" s="2" t="s">
        <v>1687</v>
      </c>
      <c r="E1222" s="2" t="s">
        <v>2632</v>
      </c>
      <c r="F1222" s="2"/>
      <c r="G1222" s="2" t="n">
        <v>2</v>
      </c>
      <c r="H1222" s="2" t="s">
        <v>1689</v>
      </c>
      <c r="I1222" s="2" t="n">
        <v>11</v>
      </c>
    </row>
    <row r="1223" customFormat="false" ht="15" hidden="false" customHeight="false" outlineLevel="0" collapsed="false">
      <c r="A1223" s="2" t="s">
        <v>1034</v>
      </c>
      <c r="B1223" s="2" t="s">
        <v>480</v>
      </c>
      <c r="C1223" s="2" t="n">
        <v>1</v>
      </c>
      <c r="D1223" s="2" t="s">
        <v>54</v>
      </c>
      <c r="E1223" s="2" t="s">
        <v>132</v>
      </c>
      <c r="F1223" s="2" t="n">
        <v>0.5</v>
      </c>
      <c r="G1223" s="2" t="n">
        <v>1.5</v>
      </c>
      <c r="H1223" s="2" t="s">
        <v>1689</v>
      </c>
      <c r="I1223" s="2" t="n">
        <v>12</v>
      </c>
    </row>
    <row r="1224" customFormat="false" ht="15" hidden="false" customHeight="false" outlineLevel="0" collapsed="false">
      <c r="A1224" s="2" t="s">
        <v>1038</v>
      </c>
      <c r="B1224" s="2" t="s">
        <v>221</v>
      </c>
      <c r="C1224" s="2" t="n">
        <v>150</v>
      </c>
      <c r="D1224" s="2" t="s">
        <v>54</v>
      </c>
      <c r="E1224" s="2" t="s">
        <v>2633</v>
      </c>
      <c r="F1224" s="2" t="n">
        <v>75</v>
      </c>
      <c r="G1224" s="2" t="n">
        <v>225</v>
      </c>
      <c r="H1224" s="2" t="s">
        <v>1693</v>
      </c>
      <c r="I1224" s="2" t="n">
        <v>1</v>
      </c>
    </row>
    <row r="1225" customFormat="false" ht="15" hidden="false" customHeight="false" outlineLevel="0" collapsed="false">
      <c r="A1225" s="2" t="s">
        <v>1038</v>
      </c>
      <c r="B1225" s="2" t="s">
        <v>193</v>
      </c>
      <c r="C1225" s="2" t="n">
        <v>20</v>
      </c>
      <c r="D1225" s="2" t="s">
        <v>54</v>
      </c>
      <c r="E1225" s="2" t="s">
        <v>2634</v>
      </c>
      <c r="F1225" s="2" t="n">
        <v>10</v>
      </c>
      <c r="G1225" s="2" t="n">
        <v>30</v>
      </c>
      <c r="H1225" s="2" t="s">
        <v>1689</v>
      </c>
      <c r="I1225" s="2" t="n">
        <v>2</v>
      </c>
    </row>
    <row r="1226" customFormat="false" ht="15" hidden="false" customHeight="false" outlineLevel="0" collapsed="false">
      <c r="A1226" s="2" t="s">
        <v>1038</v>
      </c>
      <c r="B1226" s="2" t="s">
        <v>420</v>
      </c>
      <c r="C1226" s="2" t="n">
        <v>10</v>
      </c>
      <c r="D1226" s="2" t="s">
        <v>54</v>
      </c>
      <c r="E1226" s="2" t="s">
        <v>2609</v>
      </c>
      <c r="F1226" s="2" t="n">
        <v>5</v>
      </c>
      <c r="G1226" s="2" t="n">
        <v>15</v>
      </c>
      <c r="H1226" s="2" t="s">
        <v>1693</v>
      </c>
      <c r="I1226" s="2" t="n">
        <v>3</v>
      </c>
    </row>
    <row r="1227" customFormat="false" ht="15" hidden="false" customHeight="false" outlineLevel="0" collapsed="false">
      <c r="A1227" s="2" t="s">
        <v>1038</v>
      </c>
      <c r="B1227" s="2" t="s">
        <v>114</v>
      </c>
      <c r="C1227" s="2" t="n">
        <v>1</v>
      </c>
      <c r="D1227" s="2" t="s">
        <v>1687</v>
      </c>
      <c r="E1227" s="2" t="s">
        <v>2635</v>
      </c>
      <c r="F1227" s="2"/>
      <c r="G1227" s="2" t="n">
        <v>2</v>
      </c>
      <c r="H1227" s="2" t="s">
        <v>1693</v>
      </c>
      <c r="I1227" s="2" t="n">
        <v>4</v>
      </c>
    </row>
    <row r="1228" customFormat="false" ht="15" hidden="false" customHeight="false" outlineLevel="0" collapsed="false">
      <c r="A1228" s="2" t="s">
        <v>1038</v>
      </c>
      <c r="B1228" s="2" t="s">
        <v>424</v>
      </c>
      <c r="C1228" s="2" t="n">
        <v>75</v>
      </c>
      <c r="D1228" s="2" t="s">
        <v>54</v>
      </c>
      <c r="E1228" s="2" t="s">
        <v>2615</v>
      </c>
      <c r="F1228" s="2" t="n">
        <v>37.5</v>
      </c>
      <c r="G1228" s="2" t="n">
        <v>112.5</v>
      </c>
      <c r="H1228" s="2" t="s">
        <v>1689</v>
      </c>
      <c r="I1228" s="2" t="n">
        <v>5</v>
      </c>
    </row>
    <row r="1229" customFormat="false" ht="15" hidden="false" customHeight="false" outlineLevel="0" collapsed="false">
      <c r="A1229" s="2" t="s">
        <v>1038</v>
      </c>
      <c r="B1229" s="2" t="s">
        <v>422</v>
      </c>
      <c r="C1229" s="2" t="n">
        <v>200</v>
      </c>
      <c r="D1229" s="2" t="s">
        <v>54</v>
      </c>
      <c r="E1229" s="2" t="s">
        <v>2616</v>
      </c>
      <c r="F1229" s="2" t="n">
        <v>100</v>
      </c>
      <c r="G1229" s="2" t="n">
        <v>300</v>
      </c>
      <c r="H1229" s="2" t="s">
        <v>1689</v>
      </c>
      <c r="I1229" s="2" t="n">
        <v>6</v>
      </c>
    </row>
    <row r="1230" customFormat="false" ht="15" hidden="false" customHeight="false" outlineLevel="0" collapsed="false">
      <c r="A1230" s="2" t="s">
        <v>1038</v>
      </c>
      <c r="B1230" s="2" t="s">
        <v>409</v>
      </c>
      <c r="C1230" s="2" t="n">
        <v>75</v>
      </c>
      <c r="D1230" s="2" t="s">
        <v>54</v>
      </c>
      <c r="E1230" s="2" t="s">
        <v>2604</v>
      </c>
      <c r="F1230" s="2" t="n">
        <v>37.5</v>
      </c>
      <c r="G1230" s="2" t="n">
        <v>112.5</v>
      </c>
      <c r="H1230" s="2" t="s">
        <v>1689</v>
      </c>
      <c r="I1230" s="2" t="n">
        <v>7</v>
      </c>
    </row>
    <row r="1231" customFormat="false" ht="15" hidden="false" customHeight="false" outlineLevel="0" collapsed="false">
      <c r="A1231" s="2" t="s">
        <v>1038</v>
      </c>
      <c r="B1231" s="2" t="s">
        <v>312</v>
      </c>
      <c r="C1231" s="2" t="n">
        <v>1</v>
      </c>
      <c r="D1231" s="2" t="s">
        <v>1687</v>
      </c>
      <c r="E1231" s="2" t="s">
        <v>2607</v>
      </c>
      <c r="F1231" s="2"/>
      <c r="G1231" s="2" t="n">
        <v>2</v>
      </c>
      <c r="H1231" s="2" t="s">
        <v>1689</v>
      </c>
      <c r="I1231" s="2" t="n">
        <v>8</v>
      </c>
    </row>
    <row r="1232" customFormat="false" ht="15" hidden="false" customHeight="false" outlineLevel="0" collapsed="false">
      <c r="A1232" s="2" t="s">
        <v>1038</v>
      </c>
      <c r="B1232" s="2" t="s">
        <v>301</v>
      </c>
      <c r="C1232" s="2" t="n">
        <v>5</v>
      </c>
      <c r="D1232" s="2" t="s">
        <v>54</v>
      </c>
      <c r="E1232" s="2" t="s">
        <v>2422</v>
      </c>
      <c r="F1232" s="2" t="n">
        <v>2.5</v>
      </c>
      <c r="G1232" s="2" t="n">
        <v>7.5</v>
      </c>
      <c r="H1232" s="2" t="s">
        <v>1689</v>
      </c>
      <c r="I1232" s="2" t="n">
        <v>9</v>
      </c>
    </row>
    <row r="1233" customFormat="false" ht="15" hidden="false" customHeight="false" outlineLevel="0" collapsed="false">
      <c r="A1233" s="2" t="s">
        <v>1038</v>
      </c>
      <c r="B1233" s="2" t="s">
        <v>480</v>
      </c>
      <c r="C1233" s="2" t="n">
        <v>1</v>
      </c>
      <c r="D1233" s="2" t="s">
        <v>54</v>
      </c>
      <c r="E1233" s="2" t="s">
        <v>132</v>
      </c>
      <c r="F1233" s="2" t="n">
        <v>0.5</v>
      </c>
      <c r="G1233" s="2" t="n">
        <v>1.5</v>
      </c>
      <c r="H1233" s="2" t="s">
        <v>1689</v>
      </c>
      <c r="I1233" s="2" t="n">
        <v>10</v>
      </c>
    </row>
    <row r="1234" customFormat="false" ht="15" hidden="false" customHeight="false" outlineLevel="0" collapsed="false">
      <c r="A1234" s="2" t="s">
        <v>1042</v>
      </c>
      <c r="B1234" s="2" t="s">
        <v>424</v>
      </c>
      <c r="C1234" s="2" t="n">
        <v>75</v>
      </c>
      <c r="D1234" s="2" t="s">
        <v>54</v>
      </c>
      <c r="E1234" s="2" t="s">
        <v>2636</v>
      </c>
      <c r="F1234" s="2" t="n">
        <v>37.5</v>
      </c>
      <c r="G1234" s="2" t="n">
        <v>112.5</v>
      </c>
      <c r="H1234" s="2" t="s">
        <v>1689</v>
      </c>
      <c r="I1234" s="2" t="n">
        <v>1</v>
      </c>
    </row>
    <row r="1235" customFormat="false" ht="15" hidden="false" customHeight="false" outlineLevel="0" collapsed="false">
      <c r="A1235" s="2" t="s">
        <v>1042</v>
      </c>
      <c r="B1235" s="2" t="s">
        <v>406</v>
      </c>
      <c r="C1235" s="2" t="n">
        <v>20</v>
      </c>
      <c r="D1235" s="2" t="s">
        <v>54</v>
      </c>
      <c r="E1235" s="2" t="s">
        <v>2637</v>
      </c>
      <c r="F1235" s="2" t="n">
        <v>10</v>
      </c>
      <c r="G1235" s="2" t="n">
        <v>30</v>
      </c>
      <c r="H1235" s="2" t="s">
        <v>1700</v>
      </c>
      <c r="I1235" s="2" t="n">
        <v>2</v>
      </c>
    </row>
    <row r="1236" customFormat="false" ht="15" hidden="false" customHeight="false" outlineLevel="0" collapsed="false">
      <c r="A1236" s="2" t="s">
        <v>1042</v>
      </c>
      <c r="B1236" s="2" t="s">
        <v>341</v>
      </c>
      <c r="C1236" s="2" t="n">
        <v>100</v>
      </c>
      <c r="D1236" s="2" t="s">
        <v>54</v>
      </c>
      <c r="E1236" s="2" t="s">
        <v>2620</v>
      </c>
      <c r="F1236" s="2" t="n">
        <v>50</v>
      </c>
      <c r="G1236" s="2" t="n">
        <v>150</v>
      </c>
      <c r="H1236" s="2" t="s">
        <v>1693</v>
      </c>
      <c r="I1236" s="2" t="n">
        <v>3</v>
      </c>
    </row>
    <row r="1237" customFormat="false" ht="15" hidden="false" customHeight="false" outlineLevel="0" collapsed="false">
      <c r="A1237" s="2" t="s">
        <v>1042</v>
      </c>
      <c r="B1237" s="2" t="s">
        <v>396</v>
      </c>
      <c r="C1237" s="2" t="n">
        <v>100</v>
      </c>
      <c r="D1237" s="2" t="s">
        <v>54</v>
      </c>
      <c r="E1237" s="2" t="s">
        <v>2638</v>
      </c>
      <c r="F1237" s="2" t="n">
        <v>50</v>
      </c>
      <c r="G1237" s="2" t="n">
        <v>150</v>
      </c>
      <c r="H1237" s="2" t="s">
        <v>1693</v>
      </c>
      <c r="I1237" s="2" t="n">
        <v>4</v>
      </c>
    </row>
    <row r="1238" customFormat="false" ht="15" hidden="false" customHeight="false" outlineLevel="0" collapsed="false">
      <c r="A1238" s="2" t="s">
        <v>1042</v>
      </c>
      <c r="B1238" s="2" t="s">
        <v>422</v>
      </c>
      <c r="C1238" s="2" t="n">
        <v>200</v>
      </c>
      <c r="D1238" s="2" t="s">
        <v>54</v>
      </c>
      <c r="E1238" s="2" t="s">
        <v>2601</v>
      </c>
      <c r="F1238" s="2" t="n">
        <v>100</v>
      </c>
      <c r="G1238" s="2" t="n">
        <v>300</v>
      </c>
      <c r="H1238" s="2" t="s">
        <v>1689</v>
      </c>
      <c r="I1238" s="2" t="n">
        <v>5</v>
      </c>
    </row>
    <row r="1239" customFormat="false" ht="15" hidden="false" customHeight="false" outlineLevel="0" collapsed="false">
      <c r="A1239" s="2" t="s">
        <v>1042</v>
      </c>
      <c r="B1239" s="2" t="s">
        <v>409</v>
      </c>
      <c r="C1239" s="2" t="n">
        <v>75</v>
      </c>
      <c r="D1239" s="2" t="s">
        <v>54</v>
      </c>
      <c r="E1239" s="2" t="s">
        <v>2604</v>
      </c>
      <c r="F1239" s="2" t="n">
        <v>37.5</v>
      </c>
      <c r="G1239" s="2" t="n">
        <v>112.5</v>
      </c>
      <c r="H1239" s="2" t="s">
        <v>1689</v>
      </c>
      <c r="I1239" s="2" t="n">
        <v>6</v>
      </c>
    </row>
    <row r="1240" customFormat="false" ht="15" hidden="false" customHeight="false" outlineLevel="0" collapsed="false">
      <c r="A1240" s="2" t="s">
        <v>1042</v>
      </c>
      <c r="B1240" s="2" t="s">
        <v>312</v>
      </c>
      <c r="C1240" s="2" t="n">
        <v>1</v>
      </c>
      <c r="D1240" s="2" t="s">
        <v>1687</v>
      </c>
      <c r="E1240" s="2" t="s">
        <v>2607</v>
      </c>
      <c r="F1240" s="2"/>
      <c r="G1240" s="2" t="n">
        <v>2</v>
      </c>
      <c r="H1240" s="2" t="s">
        <v>1689</v>
      </c>
      <c r="I1240" s="2" t="n">
        <v>7</v>
      </c>
    </row>
    <row r="1241" customFormat="false" ht="15" hidden="false" customHeight="false" outlineLevel="0" collapsed="false">
      <c r="A1241" s="2" t="s">
        <v>1042</v>
      </c>
      <c r="B1241" s="2" t="s">
        <v>460</v>
      </c>
      <c r="C1241" s="2" t="n">
        <v>50</v>
      </c>
      <c r="D1241" s="2" t="s">
        <v>76</v>
      </c>
      <c r="E1241" s="2" t="s">
        <v>2639</v>
      </c>
      <c r="F1241" s="2" t="n">
        <v>25</v>
      </c>
      <c r="G1241" s="2" t="n">
        <v>75</v>
      </c>
      <c r="H1241" s="2" t="s">
        <v>1689</v>
      </c>
      <c r="I1241" s="2" t="n">
        <v>8</v>
      </c>
    </row>
    <row r="1242" customFormat="false" ht="15" hidden="false" customHeight="false" outlineLevel="0" collapsed="false">
      <c r="A1242" s="2" t="s">
        <v>1042</v>
      </c>
      <c r="B1242" s="2" t="s">
        <v>301</v>
      </c>
      <c r="C1242" s="2" t="n">
        <v>5</v>
      </c>
      <c r="D1242" s="2" t="s">
        <v>54</v>
      </c>
      <c r="E1242" s="2" t="s">
        <v>2623</v>
      </c>
      <c r="F1242" s="2" t="n">
        <v>2.5</v>
      </c>
      <c r="G1242" s="2" t="n">
        <v>7.5</v>
      </c>
      <c r="H1242" s="2" t="s">
        <v>1689</v>
      </c>
      <c r="I1242" s="2" t="n">
        <v>9</v>
      </c>
    </row>
    <row r="1243" customFormat="false" ht="15" hidden="false" customHeight="false" outlineLevel="0" collapsed="false">
      <c r="A1243" s="2" t="s">
        <v>1042</v>
      </c>
      <c r="B1243" s="2" t="s">
        <v>480</v>
      </c>
      <c r="C1243" s="2" t="n">
        <v>1</v>
      </c>
      <c r="D1243" s="2" t="s">
        <v>54</v>
      </c>
      <c r="E1243" s="2" t="s">
        <v>132</v>
      </c>
      <c r="F1243" s="2" t="n">
        <v>0.5</v>
      </c>
      <c r="G1243" s="2" t="n">
        <v>1.5</v>
      </c>
      <c r="H1243" s="2" t="s">
        <v>1689</v>
      </c>
      <c r="I1243" s="2" t="n">
        <v>10</v>
      </c>
    </row>
    <row r="1244" customFormat="false" ht="15" hidden="false" customHeight="false" outlineLevel="0" collapsed="false">
      <c r="A1244" s="2" t="s">
        <v>1046</v>
      </c>
      <c r="B1244" s="2" t="s">
        <v>359</v>
      </c>
      <c r="C1244" s="2" t="n">
        <v>150</v>
      </c>
      <c r="D1244" s="2" t="s">
        <v>54</v>
      </c>
      <c r="E1244" s="2" t="s">
        <v>2640</v>
      </c>
      <c r="F1244" s="2" t="n">
        <v>75</v>
      </c>
      <c r="G1244" s="2" t="n">
        <v>225</v>
      </c>
      <c r="H1244" s="2" t="s">
        <v>1693</v>
      </c>
      <c r="I1244" s="2" t="n">
        <v>1</v>
      </c>
    </row>
    <row r="1245" customFormat="false" ht="15" hidden="false" customHeight="false" outlineLevel="0" collapsed="false">
      <c r="A1245" s="2" t="s">
        <v>1046</v>
      </c>
      <c r="B1245" s="2" t="s">
        <v>424</v>
      </c>
      <c r="C1245" s="2" t="n">
        <v>75</v>
      </c>
      <c r="D1245" s="2" t="s">
        <v>54</v>
      </c>
      <c r="E1245" s="2" t="s">
        <v>2641</v>
      </c>
      <c r="F1245" s="2" t="n">
        <v>37.5</v>
      </c>
      <c r="G1245" s="2" t="n">
        <v>112.5</v>
      </c>
      <c r="H1245" s="2" t="s">
        <v>1689</v>
      </c>
      <c r="I1245" s="2" t="n">
        <v>2</v>
      </c>
    </row>
    <row r="1246" customFormat="false" ht="15" hidden="false" customHeight="false" outlineLevel="0" collapsed="false">
      <c r="A1246" s="2" t="s">
        <v>1046</v>
      </c>
      <c r="B1246" s="2" t="s">
        <v>422</v>
      </c>
      <c r="C1246" s="2" t="n">
        <v>200</v>
      </c>
      <c r="D1246" s="2" t="s">
        <v>54</v>
      </c>
      <c r="E1246" s="2" t="s">
        <v>2601</v>
      </c>
      <c r="F1246" s="2" t="n">
        <v>100</v>
      </c>
      <c r="G1246" s="2" t="n">
        <v>300</v>
      </c>
      <c r="H1246" s="2" t="s">
        <v>1689</v>
      </c>
      <c r="I1246" s="2" t="n">
        <v>3</v>
      </c>
    </row>
    <row r="1247" customFormat="false" ht="15" hidden="false" customHeight="false" outlineLevel="0" collapsed="false">
      <c r="A1247" s="2" t="s">
        <v>1046</v>
      </c>
      <c r="B1247" s="2" t="s">
        <v>460</v>
      </c>
      <c r="C1247" s="2" t="n">
        <v>50</v>
      </c>
      <c r="D1247" s="2" t="s">
        <v>76</v>
      </c>
      <c r="E1247" s="2" t="s">
        <v>2602</v>
      </c>
      <c r="F1247" s="2" t="n">
        <v>25</v>
      </c>
      <c r="G1247" s="2" t="n">
        <v>75</v>
      </c>
      <c r="H1247" s="2" t="s">
        <v>1689</v>
      </c>
      <c r="I1247" s="2" t="n">
        <v>4</v>
      </c>
    </row>
    <row r="1248" customFormat="false" ht="15" hidden="false" customHeight="false" outlineLevel="0" collapsed="false">
      <c r="A1248" s="2" t="s">
        <v>1046</v>
      </c>
      <c r="B1248" s="2" t="s">
        <v>506</v>
      </c>
      <c r="C1248" s="2" t="n">
        <v>100</v>
      </c>
      <c r="D1248" s="2" t="s">
        <v>76</v>
      </c>
      <c r="E1248" s="2" t="s">
        <v>2642</v>
      </c>
      <c r="F1248" s="2" t="n">
        <v>50</v>
      </c>
      <c r="G1248" s="2" t="n">
        <v>150</v>
      </c>
      <c r="H1248" s="2" t="s">
        <v>1693</v>
      </c>
      <c r="I1248" s="2" t="n">
        <v>5</v>
      </c>
    </row>
    <row r="1249" customFormat="false" ht="15" hidden="false" customHeight="false" outlineLevel="0" collapsed="false">
      <c r="A1249" s="2" t="s">
        <v>1046</v>
      </c>
      <c r="B1249" s="2" t="s">
        <v>409</v>
      </c>
      <c r="C1249" s="2" t="n">
        <v>75</v>
      </c>
      <c r="D1249" s="2" t="s">
        <v>54</v>
      </c>
      <c r="E1249" s="2" t="s">
        <v>2604</v>
      </c>
      <c r="F1249" s="2" t="n">
        <v>37.5</v>
      </c>
      <c r="G1249" s="2" t="n">
        <v>112.5</v>
      </c>
      <c r="H1249" s="2" t="s">
        <v>1689</v>
      </c>
      <c r="I1249" s="2" t="n">
        <v>6</v>
      </c>
    </row>
    <row r="1250" customFormat="false" ht="15" hidden="false" customHeight="false" outlineLevel="0" collapsed="false">
      <c r="A1250" s="2" t="s">
        <v>1046</v>
      </c>
      <c r="B1250" s="2" t="s">
        <v>210</v>
      </c>
      <c r="C1250" s="2" t="n">
        <v>60</v>
      </c>
      <c r="D1250" s="2" t="s">
        <v>54</v>
      </c>
      <c r="E1250" s="2" t="s">
        <v>2605</v>
      </c>
      <c r="F1250" s="2" t="n">
        <v>30</v>
      </c>
      <c r="G1250" s="2" t="n">
        <v>90</v>
      </c>
      <c r="H1250" s="2" t="s">
        <v>1689</v>
      </c>
      <c r="I1250" s="2" t="n">
        <v>7</v>
      </c>
    </row>
    <row r="1251" customFormat="false" ht="15" hidden="false" customHeight="false" outlineLevel="0" collapsed="false">
      <c r="A1251" s="2" t="s">
        <v>1046</v>
      </c>
      <c r="B1251" s="2" t="s">
        <v>216</v>
      </c>
      <c r="C1251" s="2" t="n">
        <v>40</v>
      </c>
      <c r="D1251" s="2" t="s">
        <v>54</v>
      </c>
      <c r="E1251" s="2" t="s">
        <v>2606</v>
      </c>
      <c r="F1251" s="2" t="n">
        <v>20</v>
      </c>
      <c r="G1251" s="2" t="n">
        <v>60</v>
      </c>
      <c r="H1251" s="2" t="s">
        <v>1689</v>
      </c>
      <c r="I1251" s="2" t="n">
        <v>8</v>
      </c>
    </row>
    <row r="1252" customFormat="false" ht="15" hidden="false" customHeight="false" outlineLevel="0" collapsed="false">
      <c r="A1252" s="2" t="s">
        <v>1046</v>
      </c>
      <c r="B1252" s="2" t="s">
        <v>312</v>
      </c>
      <c r="C1252" s="2" t="n">
        <v>1</v>
      </c>
      <c r="D1252" s="2" t="s">
        <v>1687</v>
      </c>
      <c r="E1252" s="2" t="s">
        <v>2607</v>
      </c>
      <c r="F1252" s="2"/>
      <c r="G1252" s="2" t="n">
        <v>2</v>
      </c>
      <c r="H1252" s="2" t="s">
        <v>1689</v>
      </c>
      <c r="I1252" s="2" t="n">
        <v>9</v>
      </c>
    </row>
    <row r="1253" customFormat="false" ht="15" hidden="false" customHeight="false" outlineLevel="0" collapsed="false">
      <c r="A1253" s="2" t="s">
        <v>1046</v>
      </c>
      <c r="B1253" s="2" t="s">
        <v>129</v>
      </c>
      <c r="C1253" s="2" t="n">
        <v>4.5</v>
      </c>
      <c r="D1253" s="2" t="s">
        <v>54</v>
      </c>
      <c r="E1253" s="2" t="s">
        <v>2421</v>
      </c>
      <c r="F1253" s="2" t="n">
        <v>2.25</v>
      </c>
      <c r="G1253" s="2" t="n">
        <v>6.75</v>
      </c>
      <c r="H1253" s="2" t="s">
        <v>1700</v>
      </c>
      <c r="I1253" s="2" t="n">
        <v>10</v>
      </c>
    </row>
    <row r="1254" customFormat="false" ht="15" hidden="false" customHeight="false" outlineLevel="0" collapsed="false">
      <c r="A1254" s="2" t="s">
        <v>1046</v>
      </c>
      <c r="B1254" s="2" t="s">
        <v>301</v>
      </c>
      <c r="C1254" s="2" t="n">
        <v>1</v>
      </c>
      <c r="D1254" s="2" t="s">
        <v>54</v>
      </c>
      <c r="E1254" s="2" t="s">
        <v>2643</v>
      </c>
      <c r="F1254" s="2" t="n">
        <v>0.5</v>
      </c>
      <c r="G1254" s="2" t="n">
        <v>1.5</v>
      </c>
      <c r="H1254" s="2" t="s">
        <v>1689</v>
      </c>
      <c r="I1254" s="2" t="n">
        <v>11</v>
      </c>
    </row>
    <row r="1255" customFormat="false" ht="15" hidden="false" customHeight="false" outlineLevel="0" collapsed="false">
      <c r="A1255" s="2" t="s">
        <v>1046</v>
      </c>
      <c r="B1255" s="2" t="s">
        <v>420</v>
      </c>
      <c r="C1255" s="2" t="n">
        <v>10</v>
      </c>
      <c r="D1255" s="2" t="s">
        <v>54</v>
      </c>
      <c r="E1255" s="2" t="s">
        <v>2609</v>
      </c>
      <c r="F1255" s="2" t="n">
        <v>5</v>
      </c>
      <c r="G1255" s="2" t="n">
        <v>15</v>
      </c>
      <c r="H1255" s="2" t="s">
        <v>1693</v>
      </c>
      <c r="I1255" s="2" t="n">
        <v>12</v>
      </c>
    </row>
    <row r="1256" customFormat="false" ht="15" hidden="false" customHeight="false" outlineLevel="0" collapsed="false">
      <c r="A1256" s="2" t="s">
        <v>1046</v>
      </c>
      <c r="B1256" s="2" t="s">
        <v>480</v>
      </c>
      <c r="C1256" s="2" t="n">
        <v>1</v>
      </c>
      <c r="D1256" s="2" t="s">
        <v>54</v>
      </c>
      <c r="E1256" s="2" t="s">
        <v>132</v>
      </c>
      <c r="F1256" s="2" t="n">
        <v>0.5</v>
      </c>
      <c r="G1256" s="2" t="n">
        <v>1.5</v>
      </c>
      <c r="H1256" s="2" t="s">
        <v>1689</v>
      </c>
      <c r="I1256" s="2" t="n">
        <v>13</v>
      </c>
    </row>
    <row r="1257" customFormat="false" ht="15" hidden="false" customHeight="false" outlineLevel="0" collapsed="false">
      <c r="A1257" s="2" t="s">
        <v>1051</v>
      </c>
      <c r="B1257" s="2" t="s">
        <v>424</v>
      </c>
      <c r="C1257" s="2" t="n">
        <v>75</v>
      </c>
      <c r="D1257" s="2" t="s">
        <v>54</v>
      </c>
      <c r="E1257" s="2" t="s">
        <v>2636</v>
      </c>
      <c r="F1257" s="2" t="n">
        <v>37.5</v>
      </c>
      <c r="G1257" s="2" t="n">
        <v>112.5</v>
      </c>
      <c r="H1257" s="2" t="s">
        <v>1689</v>
      </c>
      <c r="I1257" s="2" t="n">
        <v>1</v>
      </c>
    </row>
    <row r="1258" customFormat="false" ht="15" hidden="false" customHeight="false" outlineLevel="0" collapsed="false">
      <c r="A1258" s="2" t="s">
        <v>1051</v>
      </c>
      <c r="B1258" s="2" t="s">
        <v>341</v>
      </c>
      <c r="C1258" s="2" t="n">
        <v>150</v>
      </c>
      <c r="D1258" s="2" t="s">
        <v>54</v>
      </c>
      <c r="E1258" s="2" t="s">
        <v>2644</v>
      </c>
      <c r="F1258" s="2" t="n">
        <v>75</v>
      </c>
      <c r="G1258" s="2" t="n">
        <v>225</v>
      </c>
      <c r="H1258" s="2" t="s">
        <v>1693</v>
      </c>
      <c r="I1258" s="2" t="n">
        <v>2</v>
      </c>
    </row>
    <row r="1259" customFormat="false" ht="15" hidden="false" customHeight="false" outlineLevel="0" collapsed="false">
      <c r="A1259" s="2" t="s">
        <v>1051</v>
      </c>
      <c r="B1259" s="2" t="s">
        <v>422</v>
      </c>
      <c r="C1259" s="2" t="n">
        <v>200</v>
      </c>
      <c r="D1259" s="2" t="s">
        <v>54</v>
      </c>
      <c r="E1259" s="2" t="s">
        <v>2601</v>
      </c>
      <c r="F1259" s="2" t="n">
        <v>100</v>
      </c>
      <c r="G1259" s="2" t="n">
        <v>300</v>
      </c>
      <c r="H1259" s="2" t="s">
        <v>1689</v>
      </c>
      <c r="I1259" s="2" t="n">
        <v>3</v>
      </c>
    </row>
    <row r="1260" customFormat="false" ht="15" hidden="false" customHeight="false" outlineLevel="0" collapsed="false">
      <c r="A1260" s="2" t="s">
        <v>1051</v>
      </c>
      <c r="B1260" s="2" t="s">
        <v>460</v>
      </c>
      <c r="C1260" s="2" t="n">
        <v>100</v>
      </c>
      <c r="D1260" s="2" t="s">
        <v>76</v>
      </c>
      <c r="E1260" s="2" t="s">
        <v>2645</v>
      </c>
      <c r="F1260" s="2" t="n">
        <v>50</v>
      </c>
      <c r="G1260" s="2" t="n">
        <v>150</v>
      </c>
      <c r="H1260" s="2" t="s">
        <v>1689</v>
      </c>
      <c r="I1260" s="2" t="n">
        <v>4</v>
      </c>
    </row>
    <row r="1261" customFormat="false" ht="15" hidden="false" customHeight="false" outlineLevel="0" collapsed="false">
      <c r="A1261" s="2" t="s">
        <v>1051</v>
      </c>
      <c r="B1261" s="2" t="s">
        <v>409</v>
      </c>
      <c r="C1261" s="2" t="n">
        <v>75</v>
      </c>
      <c r="D1261" s="2" t="s">
        <v>54</v>
      </c>
      <c r="E1261" s="2" t="s">
        <v>2604</v>
      </c>
      <c r="F1261" s="2" t="n">
        <v>37.5</v>
      </c>
      <c r="G1261" s="2" t="n">
        <v>112.5</v>
      </c>
      <c r="H1261" s="2" t="s">
        <v>1689</v>
      </c>
      <c r="I1261" s="2" t="n">
        <v>5</v>
      </c>
    </row>
    <row r="1262" customFormat="false" ht="15" hidden="false" customHeight="false" outlineLevel="0" collapsed="false">
      <c r="A1262" s="2" t="s">
        <v>1051</v>
      </c>
      <c r="B1262" s="2" t="s">
        <v>312</v>
      </c>
      <c r="C1262" s="2" t="n">
        <v>1</v>
      </c>
      <c r="D1262" s="2" t="s">
        <v>1687</v>
      </c>
      <c r="E1262" s="2" t="s">
        <v>2607</v>
      </c>
      <c r="F1262" s="2"/>
      <c r="G1262" s="2" t="n">
        <v>2</v>
      </c>
      <c r="H1262" s="2" t="s">
        <v>1689</v>
      </c>
      <c r="I1262" s="2" t="n">
        <v>6</v>
      </c>
    </row>
    <row r="1263" customFormat="false" ht="15" hidden="false" customHeight="false" outlineLevel="0" collapsed="false">
      <c r="A1263" s="2" t="s">
        <v>1051</v>
      </c>
      <c r="B1263" s="2" t="s">
        <v>129</v>
      </c>
      <c r="C1263" s="2" t="n">
        <v>4.5</v>
      </c>
      <c r="D1263" s="2" t="s">
        <v>54</v>
      </c>
      <c r="E1263" s="2" t="s">
        <v>2421</v>
      </c>
      <c r="F1263" s="2" t="n">
        <v>2.25</v>
      </c>
      <c r="G1263" s="2" t="n">
        <v>6.75</v>
      </c>
      <c r="H1263" s="2" t="s">
        <v>1700</v>
      </c>
      <c r="I1263" s="2" t="n">
        <v>7</v>
      </c>
    </row>
    <row r="1264" customFormat="false" ht="15" hidden="false" customHeight="false" outlineLevel="0" collapsed="false">
      <c r="A1264" s="2" t="s">
        <v>1051</v>
      </c>
      <c r="B1264" s="2" t="s">
        <v>271</v>
      </c>
      <c r="C1264" s="2" t="n">
        <v>1</v>
      </c>
      <c r="D1264" s="2" t="s">
        <v>54</v>
      </c>
      <c r="E1264" s="2" t="s">
        <v>2646</v>
      </c>
      <c r="F1264" s="2" t="n">
        <v>0.5</v>
      </c>
      <c r="G1264" s="2" t="n">
        <v>1.5</v>
      </c>
      <c r="H1264" s="2" t="s">
        <v>1689</v>
      </c>
      <c r="I1264" s="2" t="n">
        <v>8</v>
      </c>
    </row>
    <row r="1265" customFormat="false" ht="15" hidden="false" customHeight="false" outlineLevel="0" collapsed="false">
      <c r="A1265" s="2" t="s">
        <v>1051</v>
      </c>
      <c r="B1265" s="2" t="s">
        <v>301</v>
      </c>
      <c r="C1265" s="2" t="n">
        <v>5</v>
      </c>
      <c r="D1265" s="2" t="s">
        <v>54</v>
      </c>
      <c r="E1265" s="2" t="s">
        <v>2623</v>
      </c>
      <c r="F1265" s="2" t="n">
        <v>2.5</v>
      </c>
      <c r="G1265" s="2" t="n">
        <v>7.5</v>
      </c>
      <c r="H1265" s="2" t="s">
        <v>1689</v>
      </c>
      <c r="I1265" s="2" t="n">
        <v>9</v>
      </c>
    </row>
    <row r="1266" customFormat="false" ht="15" hidden="false" customHeight="false" outlineLevel="0" collapsed="false">
      <c r="A1266" s="2" t="s">
        <v>1051</v>
      </c>
      <c r="B1266" s="2" t="s">
        <v>480</v>
      </c>
      <c r="C1266" s="2" t="n">
        <v>1</v>
      </c>
      <c r="D1266" s="2" t="s">
        <v>54</v>
      </c>
      <c r="E1266" s="2" t="s">
        <v>132</v>
      </c>
      <c r="F1266" s="2" t="n">
        <v>0.5</v>
      </c>
      <c r="G1266" s="2" t="n">
        <v>1.5</v>
      </c>
      <c r="H1266" s="2" t="s">
        <v>1689</v>
      </c>
      <c r="I1266" s="2" t="n">
        <v>10</v>
      </c>
    </row>
    <row r="1267" customFormat="false" ht="15" hidden="false" customHeight="false" outlineLevel="0" collapsed="false">
      <c r="A1267" s="2" t="s">
        <v>1055</v>
      </c>
      <c r="B1267" s="2" t="s">
        <v>353</v>
      </c>
      <c r="C1267" s="2" t="n">
        <v>120</v>
      </c>
      <c r="D1267" s="2" t="s">
        <v>54</v>
      </c>
      <c r="E1267" s="2" t="s">
        <v>2647</v>
      </c>
      <c r="F1267" s="2" t="n">
        <v>60</v>
      </c>
      <c r="G1267" s="2" t="n">
        <v>180</v>
      </c>
      <c r="H1267" s="2" t="s">
        <v>1693</v>
      </c>
      <c r="I1267" s="2" t="n">
        <v>1</v>
      </c>
    </row>
    <row r="1268" customFormat="false" ht="15" hidden="false" customHeight="false" outlineLevel="0" collapsed="false">
      <c r="A1268" s="2" t="s">
        <v>1055</v>
      </c>
      <c r="B1268" s="2" t="s">
        <v>422</v>
      </c>
      <c r="C1268" s="2" t="n">
        <v>150</v>
      </c>
      <c r="D1268" s="2" t="s">
        <v>54</v>
      </c>
      <c r="E1268" s="2" t="s">
        <v>2622</v>
      </c>
      <c r="F1268" s="2" t="n">
        <v>75</v>
      </c>
      <c r="G1268" s="2" t="n">
        <v>225</v>
      </c>
      <c r="H1268" s="2" t="s">
        <v>1689</v>
      </c>
      <c r="I1268" s="2" t="n">
        <v>2</v>
      </c>
    </row>
    <row r="1269" customFormat="false" ht="15" hidden="false" customHeight="false" outlineLevel="0" collapsed="false">
      <c r="A1269" s="2" t="s">
        <v>1055</v>
      </c>
      <c r="B1269" s="2" t="s">
        <v>506</v>
      </c>
      <c r="C1269" s="2" t="n">
        <v>50</v>
      </c>
      <c r="D1269" s="2" t="s">
        <v>76</v>
      </c>
      <c r="E1269" s="2" t="s">
        <v>2648</v>
      </c>
      <c r="F1269" s="2" t="n">
        <v>25</v>
      </c>
      <c r="G1269" s="2" t="n">
        <v>75</v>
      </c>
      <c r="H1269" s="2" t="s">
        <v>1693</v>
      </c>
      <c r="I1269" s="2" t="n">
        <v>3</v>
      </c>
    </row>
    <row r="1270" customFormat="false" ht="15" hidden="false" customHeight="false" outlineLevel="0" collapsed="false">
      <c r="A1270" s="2" t="s">
        <v>1055</v>
      </c>
      <c r="B1270" s="2" t="s">
        <v>409</v>
      </c>
      <c r="C1270" s="2" t="n">
        <v>75</v>
      </c>
      <c r="D1270" s="2" t="s">
        <v>54</v>
      </c>
      <c r="E1270" s="2" t="s">
        <v>2604</v>
      </c>
      <c r="F1270" s="2" t="n">
        <v>37.5</v>
      </c>
      <c r="G1270" s="2" t="n">
        <v>112.5</v>
      </c>
      <c r="H1270" s="2" t="s">
        <v>1689</v>
      </c>
      <c r="I1270" s="2" t="n">
        <v>4</v>
      </c>
    </row>
    <row r="1271" customFormat="false" ht="15" hidden="false" customHeight="false" outlineLevel="0" collapsed="false">
      <c r="A1271" s="2" t="s">
        <v>1055</v>
      </c>
      <c r="B1271" s="2" t="s">
        <v>210</v>
      </c>
      <c r="C1271" s="2" t="n">
        <v>60</v>
      </c>
      <c r="D1271" s="2" t="s">
        <v>54</v>
      </c>
      <c r="E1271" s="2" t="s">
        <v>2605</v>
      </c>
      <c r="F1271" s="2" t="n">
        <v>30</v>
      </c>
      <c r="G1271" s="2" t="n">
        <v>90</v>
      </c>
      <c r="H1271" s="2" t="s">
        <v>1689</v>
      </c>
      <c r="I1271" s="2" t="n">
        <v>5</v>
      </c>
    </row>
    <row r="1272" customFormat="false" ht="15" hidden="false" customHeight="false" outlineLevel="0" collapsed="false">
      <c r="A1272" s="2" t="s">
        <v>1055</v>
      </c>
      <c r="B1272" s="2" t="s">
        <v>251</v>
      </c>
      <c r="C1272" s="2" t="n">
        <v>100</v>
      </c>
      <c r="D1272" s="2" t="s">
        <v>54</v>
      </c>
      <c r="E1272" s="2" t="s">
        <v>2649</v>
      </c>
      <c r="F1272" s="2" t="n">
        <v>50</v>
      </c>
      <c r="G1272" s="2" t="n">
        <v>150</v>
      </c>
      <c r="H1272" s="2" t="s">
        <v>1689</v>
      </c>
      <c r="I1272" s="2" t="n">
        <v>6</v>
      </c>
    </row>
    <row r="1273" customFormat="false" ht="15" hidden="false" customHeight="false" outlineLevel="0" collapsed="false">
      <c r="A1273" s="2" t="s">
        <v>1055</v>
      </c>
      <c r="B1273" s="2" t="s">
        <v>312</v>
      </c>
      <c r="C1273" s="2" t="n">
        <v>1</v>
      </c>
      <c r="D1273" s="2" t="s">
        <v>1687</v>
      </c>
      <c r="E1273" s="2" t="s">
        <v>2607</v>
      </c>
      <c r="F1273" s="2"/>
      <c r="G1273" s="2" t="n">
        <v>2</v>
      </c>
      <c r="H1273" s="2" t="s">
        <v>1689</v>
      </c>
      <c r="I1273" s="2" t="n">
        <v>7</v>
      </c>
    </row>
    <row r="1274" customFormat="false" ht="15" hidden="false" customHeight="false" outlineLevel="0" collapsed="false">
      <c r="A1274" s="2" t="s">
        <v>1055</v>
      </c>
      <c r="B1274" s="2" t="s">
        <v>274</v>
      </c>
      <c r="C1274" s="2" t="n">
        <v>4</v>
      </c>
      <c r="D1274" s="2" t="s">
        <v>54</v>
      </c>
      <c r="E1274" s="2" t="s">
        <v>2650</v>
      </c>
      <c r="F1274" s="2" t="n">
        <v>2</v>
      </c>
      <c r="G1274" s="2" t="n">
        <v>6</v>
      </c>
      <c r="H1274" s="2" t="s">
        <v>1689</v>
      </c>
      <c r="I1274" s="2" t="n">
        <v>8</v>
      </c>
    </row>
    <row r="1275" customFormat="false" ht="15" hidden="false" customHeight="false" outlineLevel="0" collapsed="false">
      <c r="A1275" s="2" t="s">
        <v>1055</v>
      </c>
      <c r="B1275" s="2" t="s">
        <v>494</v>
      </c>
      <c r="C1275" s="2" t="n">
        <v>200</v>
      </c>
      <c r="D1275" s="2" t="s">
        <v>76</v>
      </c>
      <c r="E1275" s="2" t="s">
        <v>2651</v>
      </c>
      <c r="F1275" s="2" t="n">
        <v>100</v>
      </c>
      <c r="G1275" s="2" t="n">
        <v>300</v>
      </c>
      <c r="H1275" s="2" t="s">
        <v>1689</v>
      </c>
      <c r="I1275" s="2" t="n">
        <v>9</v>
      </c>
    </row>
    <row r="1276" customFormat="false" ht="15" hidden="false" customHeight="false" outlineLevel="0" collapsed="false">
      <c r="A1276" s="2" t="s">
        <v>1055</v>
      </c>
      <c r="B1276" s="2" t="s">
        <v>204</v>
      </c>
      <c r="C1276" s="2" t="n">
        <v>10</v>
      </c>
      <c r="D1276" s="2" t="s">
        <v>54</v>
      </c>
      <c r="E1276" s="2" t="s">
        <v>2652</v>
      </c>
      <c r="F1276" s="2" t="n">
        <v>5</v>
      </c>
      <c r="G1276" s="2" t="n">
        <v>15</v>
      </c>
      <c r="H1276" s="2" t="s">
        <v>1700</v>
      </c>
      <c r="I1276" s="2" t="n">
        <v>10</v>
      </c>
    </row>
    <row r="1277" customFormat="false" ht="15" hidden="false" customHeight="false" outlineLevel="0" collapsed="false">
      <c r="A1277" s="2" t="s">
        <v>1055</v>
      </c>
      <c r="B1277" s="2" t="s">
        <v>440</v>
      </c>
      <c r="C1277" s="2" t="n">
        <v>10</v>
      </c>
      <c r="D1277" s="2" t="s">
        <v>54</v>
      </c>
      <c r="E1277" s="2" t="s">
        <v>2653</v>
      </c>
      <c r="F1277" s="2" t="n">
        <v>5</v>
      </c>
      <c r="G1277" s="2" t="n">
        <v>15</v>
      </c>
      <c r="H1277" s="2" t="s">
        <v>1689</v>
      </c>
      <c r="I1277" s="2" t="n">
        <v>11</v>
      </c>
    </row>
    <row r="1278" customFormat="false" ht="15" hidden="false" customHeight="false" outlineLevel="0" collapsed="false">
      <c r="A1278" s="2" t="s">
        <v>1055</v>
      </c>
      <c r="B1278" s="2" t="s">
        <v>386</v>
      </c>
      <c r="C1278" s="2" t="n">
        <v>15</v>
      </c>
      <c r="D1278" s="2" t="s">
        <v>54</v>
      </c>
      <c r="E1278" s="2" t="s">
        <v>2654</v>
      </c>
      <c r="F1278" s="2" t="n">
        <v>7.5</v>
      </c>
      <c r="G1278" s="2" t="n">
        <v>22.5</v>
      </c>
      <c r="H1278" s="2" t="s">
        <v>1700</v>
      </c>
      <c r="I1278" s="2" t="n">
        <v>12</v>
      </c>
    </row>
    <row r="1279" customFormat="false" ht="15" hidden="false" customHeight="false" outlineLevel="0" collapsed="false">
      <c r="A1279" s="2" t="s">
        <v>1055</v>
      </c>
      <c r="B1279" s="2" t="s">
        <v>480</v>
      </c>
      <c r="C1279" s="2" t="n">
        <v>1</v>
      </c>
      <c r="D1279" s="2" t="s">
        <v>54</v>
      </c>
      <c r="E1279" s="2" t="s">
        <v>132</v>
      </c>
      <c r="F1279" s="2" t="n">
        <v>0.5</v>
      </c>
      <c r="G1279" s="2" t="n">
        <v>1.5</v>
      </c>
      <c r="H1279" s="2" t="s">
        <v>1689</v>
      </c>
      <c r="I1279" s="2" t="n">
        <v>13</v>
      </c>
    </row>
    <row r="1280" customFormat="false" ht="15" hidden="false" customHeight="false" outlineLevel="0" collapsed="false">
      <c r="A1280" s="2" t="s">
        <v>1059</v>
      </c>
      <c r="B1280" s="2" t="s">
        <v>221</v>
      </c>
      <c r="C1280" s="2" t="n">
        <v>150</v>
      </c>
      <c r="D1280" s="2" t="s">
        <v>54</v>
      </c>
      <c r="E1280" s="2" t="s">
        <v>2482</v>
      </c>
      <c r="F1280" s="2" t="n">
        <v>75</v>
      </c>
      <c r="G1280" s="2" t="n">
        <v>225</v>
      </c>
      <c r="H1280" s="2" t="s">
        <v>1693</v>
      </c>
      <c r="I1280" s="2" t="n">
        <v>1</v>
      </c>
    </row>
    <row r="1281" customFormat="false" ht="15" hidden="false" customHeight="false" outlineLevel="0" collapsed="false">
      <c r="A1281" s="2" t="s">
        <v>1059</v>
      </c>
      <c r="B1281" s="2" t="s">
        <v>430</v>
      </c>
      <c r="C1281" s="2" t="n">
        <v>30</v>
      </c>
      <c r="D1281" s="2" t="s">
        <v>54</v>
      </c>
      <c r="E1281" s="2" t="s">
        <v>2655</v>
      </c>
      <c r="F1281" s="2" t="n">
        <v>15</v>
      </c>
      <c r="G1281" s="2" t="n">
        <v>45</v>
      </c>
      <c r="H1281" s="2" t="s">
        <v>1689</v>
      </c>
      <c r="I1281" s="2" t="n">
        <v>2</v>
      </c>
    </row>
    <row r="1282" customFormat="false" ht="15" hidden="false" customHeight="false" outlineLevel="0" collapsed="false">
      <c r="A1282" s="2" t="s">
        <v>1059</v>
      </c>
      <c r="B1282" s="2" t="s">
        <v>424</v>
      </c>
      <c r="C1282" s="2" t="n">
        <v>75</v>
      </c>
      <c r="D1282" s="2" t="s">
        <v>54</v>
      </c>
      <c r="E1282" s="2" t="s">
        <v>2656</v>
      </c>
      <c r="F1282" s="2" t="n">
        <v>37.5</v>
      </c>
      <c r="G1282" s="2" t="n">
        <v>112.5</v>
      </c>
      <c r="H1282" s="2" t="s">
        <v>1689</v>
      </c>
      <c r="I1282" s="2" t="n">
        <v>3</v>
      </c>
    </row>
    <row r="1283" customFormat="false" ht="15" hidden="false" customHeight="false" outlineLevel="0" collapsed="false">
      <c r="A1283" s="2" t="s">
        <v>1059</v>
      </c>
      <c r="B1283" s="2" t="s">
        <v>422</v>
      </c>
      <c r="C1283" s="2" t="n">
        <v>200</v>
      </c>
      <c r="D1283" s="2" t="s">
        <v>54</v>
      </c>
      <c r="E1283" s="2" t="s">
        <v>2616</v>
      </c>
      <c r="F1283" s="2" t="n">
        <v>100</v>
      </c>
      <c r="G1283" s="2" t="n">
        <v>300</v>
      </c>
      <c r="H1283" s="2" t="s">
        <v>1689</v>
      </c>
      <c r="I1283" s="2" t="n">
        <v>4</v>
      </c>
    </row>
    <row r="1284" customFormat="false" ht="15" hidden="false" customHeight="false" outlineLevel="0" collapsed="false">
      <c r="A1284" s="2" t="s">
        <v>1059</v>
      </c>
      <c r="B1284" s="2" t="s">
        <v>409</v>
      </c>
      <c r="C1284" s="2" t="n">
        <v>75</v>
      </c>
      <c r="D1284" s="2" t="s">
        <v>54</v>
      </c>
      <c r="E1284" s="2" t="s">
        <v>2604</v>
      </c>
      <c r="F1284" s="2" t="n">
        <v>37.5</v>
      </c>
      <c r="G1284" s="2" t="n">
        <v>112.5</v>
      </c>
      <c r="H1284" s="2" t="s">
        <v>1689</v>
      </c>
      <c r="I1284" s="2" t="n">
        <v>5</v>
      </c>
    </row>
    <row r="1285" customFormat="false" ht="15" hidden="false" customHeight="false" outlineLevel="0" collapsed="false">
      <c r="A1285" s="2" t="s">
        <v>1059</v>
      </c>
      <c r="B1285" s="2" t="s">
        <v>312</v>
      </c>
      <c r="C1285" s="2" t="n">
        <v>1</v>
      </c>
      <c r="D1285" s="2" t="s">
        <v>1687</v>
      </c>
      <c r="E1285" s="2" t="s">
        <v>2607</v>
      </c>
      <c r="F1285" s="2"/>
      <c r="G1285" s="2" t="n">
        <v>2</v>
      </c>
      <c r="H1285" s="2" t="s">
        <v>1689</v>
      </c>
      <c r="I1285" s="2" t="n">
        <v>6</v>
      </c>
    </row>
    <row r="1286" customFormat="false" ht="15" hidden="false" customHeight="false" outlineLevel="0" collapsed="false">
      <c r="A1286" s="2" t="s">
        <v>1059</v>
      </c>
      <c r="B1286" s="2" t="s">
        <v>454</v>
      </c>
      <c r="C1286" s="2" t="n">
        <v>75</v>
      </c>
      <c r="D1286" s="2" t="s">
        <v>54</v>
      </c>
      <c r="E1286" s="2" t="s">
        <v>2657</v>
      </c>
      <c r="F1286" s="2" t="n">
        <v>37.5</v>
      </c>
      <c r="G1286" s="2" t="n">
        <v>112.5</v>
      </c>
      <c r="H1286" s="2" t="s">
        <v>1689</v>
      </c>
      <c r="I1286" s="2" t="n">
        <v>7</v>
      </c>
    </row>
    <row r="1287" customFormat="false" ht="15" hidden="false" customHeight="false" outlineLevel="0" collapsed="false">
      <c r="A1287" s="2" t="s">
        <v>1059</v>
      </c>
      <c r="B1287" s="2" t="s">
        <v>271</v>
      </c>
      <c r="C1287" s="2" t="n">
        <v>1</v>
      </c>
      <c r="D1287" s="2" t="s">
        <v>54</v>
      </c>
      <c r="E1287" s="2" t="s">
        <v>2658</v>
      </c>
      <c r="F1287" s="2" t="n">
        <v>0.5</v>
      </c>
      <c r="G1287" s="2" t="n">
        <v>1.5</v>
      </c>
      <c r="H1287" s="2" t="s">
        <v>1689</v>
      </c>
      <c r="I1287" s="2" t="n">
        <v>8</v>
      </c>
    </row>
    <row r="1288" customFormat="false" ht="15" hidden="false" customHeight="false" outlineLevel="0" collapsed="false">
      <c r="A1288" s="2" t="s">
        <v>1059</v>
      </c>
      <c r="B1288" s="2" t="s">
        <v>301</v>
      </c>
      <c r="C1288" s="2" t="n">
        <v>5</v>
      </c>
      <c r="D1288" s="2" t="s">
        <v>54</v>
      </c>
      <c r="E1288" s="2" t="s">
        <v>2498</v>
      </c>
      <c r="F1288" s="2" t="n">
        <v>2.5</v>
      </c>
      <c r="G1288" s="2" t="n">
        <v>7.5</v>
      </c>
      <c r="H1288" s="2" t="s">
        <v>1689</v>
      </c>
      <c r="I1288" s="2" t="n">
        <v>9</v>
      </c>
    </row>
    <row r="1289" customFormat="false" ht="15" hidden="false" customHeight="false" outlineLevel="0" collapsed="false">
      <c r="A1289" s="2" t="s">
        <v>1059</v>
      </c>
      <c r="B1289" s="2" t="s">
        <v>480</v>
      </c>
      <c r="C1289" s="2" t="n">
        <v>1</v>
      </c>
      <c r="D1289" s="2" t="s">
        <v>54</v>
      </c>
      <c r="E1289" s="2" t="s">
        <v>132</v>
      </c>
      <c r="F1289" s="2" t="n">
        <v>0.5</v>
      </c>
      <c r="G1289" s="2" t="n">
        <v>1.5</v>
      </c>
      <c r="H1289" s="2" t="s">
        <v>1689</v>
      </c>
      <c r="I1289" s="2" t="n">
        <v>10</v>
      </c>
    </row>
    <row r="1290" customFormat="false" ht="15" hidden="false" customHeight="false" outlineLevel="0" collapsed="false">
      <c r="A1290" s="2" t="s">
        <v>1063</v>
      </c>
      <c r="B1290" s="2" t="s">
        <v>476</v>
      </c>
      <c r="C1290" s="2" t="n">
        <v>130</v>
      </c>
      <c r="D1290" s="2" t="s">
        <v>54</v>
      </c>
      <c r="E1290" s="2" t="s">
        <v>2659</v>
      </c>
      <c r="F1290" s="2" t="n">
        <v>65</v>
      </c>
      <c r="G1290" s="2" t="n">
        <v>195</v>
      </c>
      <c r="H1290" s="2" t="s">
        <v>1693</v>
      </c>
      <c r="I1290" s="2" t="n">
        <v>1</v>
      </c>
    </row>
    <row r="1291" customFormat="false" ht="15" hidden="false" customHeight="false" outlineLevel="0" collapsed="false">
      <c r="A1291" s="2" t="s">
        <v>1063</v>
      </c>
      <c r="B1291" s="2" t="s">
        <v>424</v>
      </c>
      <c r="C1291" s="2" t="n">
        <v>75</v>
      </c>
      <c r="D1291" s="2" t="s">
        <v>54</v>
      </c>
      <c r="E1291" s="2" t="s">
        <v>2660</v>
      </c>
      <c r="F1291" s="2" t="n">
        <v>37.5</v>
      </c>
      <c r="G1291" s="2" t="n">
        <v>112.5</v>
      </c>
      <c r="H1291" s="2" t="s">
        <v>1689</v>
      </c>
      <c r="I1291" s="2" t="n">
        <v>2</v>
      </c>
    </row>
    <row r="1292" customFormat="false" ht="15" hidden="false" customHeight="false" outlineLevel="0" collapsed="false">
      <c r="A1292" s="2" t="s">
        <v>1063</v>
      </c>
      <c r="B1292" s="2" t="s">
        <v>174</v>
      </c>
      <c r="C1292" s="2" t="n">
        <v>15</v>
      </c>
      <c r="D1292" s="2" t="s">
        <v>54</v>
      </c>
      <c r="E1292" s="2" t="s">
        <v>2661</v>
      </c>
      <c r="F1292" s="2" t="n">
        <v>7.5</v>
      </c>
      <c r="G1292" s="2" t="n">
        <v>22.5</v>
      </c>
      <c r="H1292" s="2" t="s">
        <v>1700</v>
      </c>
      <c r="I1292" s="2" t="n">
        <v>3</v>
      </c>
    </row>
    <row r="1293" customFormat="false" ht="15" hidden="false" customHeight="false" outlineLevel="0" collapsed="false">
      <c r="A1293" s="2" t="s">
        <v>1063</v>
      </c>
      <c r="B1293" s="2" t="s">
        <v>494</v>
      </c>
      <c r="C1293" s="2" t="n">
        <v>15</v>
      </c>
      <c r="D1293" s="2" t="s">
        <v>76</v>
      </c>
      <c r="E1293" s="2" t="s">
        <v>2612</v>
      </c>
      <c r="F1293" s="2" t="n">
        <v>7.5</v>
      </c>
      <c r="G1293" s="2" t="n">
        <v>22.5</v>
      </c>
      <c r="H1293" s="2" t="s">
        <v>1689</v>
      </c>
      <c r="I1293" s="2" t="n">
        <v>4</v>
      </c>
    </row>
    <row r="1294" customFormat="false" ht="15" hidden="false" customHeight="false" outlineLevel="0" collapsed="false">
      <c r="A1294" s="2" t="s">
        <v>1063</v>
      </c>
      <c r="B1294" s="2" t="s">
        <v>301</v>
      </c>
      <c r="C1294" s="2" t="n">
        <v>5</v>
      </c>
      <c r="D1294" s="2" t="s">
        <v>54</v>
      </c>
      <c r="E1294" s="2" t="s">
        <v>2662</v>
      </c>
      <c r="F1294" s="2" t="n">
        <v>2.5</v>
      </c>
      <c r="G1294" s="2" t="n">
        <v>7.5</v>
      </c>
      <c r="H1294" s="2" t="s">
        <v>1689</v>
      </c>
      <c r="I1294" s="2" t="n">
        <v>5</v>
      </c>
    </row>
    <row r="1295" customFormat="false" ht="15" hidden="false" customHeight="false" outlineLevel="0" collapsed="false">
      <c r="A1295" s="2" t="s">
        <v>1063</v>
      </c>
      <c r="B1295" s="2" t="s">
        <v>367</v>
      </c>
      <c r="C1295" s="2" t="n">
        <v>1</v>
      </c>
      <c r="D1295" s="2" t="s">
        <v>76</v>
      </c>
      <c r="E1295" s="2" t="s">
        <v>2663</v>
      </c>
      <c r="F1295" s="2"/>
      <c r="G1295" s="2" t="n">
        <v>2</v>
      </c>
      <c r="H1295" s="2" t="s">
        <v>1689</v>
      </c>
      <c r="I1295" s="2" t="n">
        <v>6</v>
      </c>
    </row>
    <row r="1296" customFormat="false" ht="15" hidden="false" customHeight="false" outlineLevel="0" collapsed="false">
      <c r="A1296" s="2" t="s">
        <v>1063</v>
      </c>
      <c r="B1296" s="2" t="s">
        <v>480</v>
      </c>
      <c r="C1296" s="2" t="n">
        <v>1</v>
      </c>
      <c r="D1296" s="2" t="s">
        <v>54</v>
      </c>
      <c r="E1296" s="2" t="s">
        <v>132</v>
      </c>
      <c r="F1296" s="2" t="n">
        <v>0.5</v>
      </c>
      <c r="G1296" s="2" t="n">
        <v>1.5</v>
      </c>
      <c r="H1296" s="2" t="s">
        <v>1689</v>
      </c>
      <c r="I1296" s="2" t="n">
        <v>7</v>
      </c>
    </row>
    <row r="1297" customFormat="false" ht="15" hidden="false" customHeight="false" outlineLevel="0" collapsed="false">
      <c r="A1297" s="2" t="s">
        <v>1067</v>
      </c>
      <c r="B1297" s="2" t="s">
        <v>424</v>
      </c>
      <c r="C1297" s="2" t="n">
        <v>75</v>
      </c>
      <c r="D1297" s="2" t="s">
        <v>54</v>
      </c>
      <c r="E1297" s="2" t="s">
        <v>2664</v>
      </c>
      <c r="F1297" s="2" t="n">
        <v>37.5</v>
      </c>
      <c r="G1297" s="2" t="n">
        <v>112.5</v>
      </c>
      <c r="H1297" s="2" t="s">
        <v>1689</v>
      </c>
      <c r="I1297" s="2" t="n">
        <v>1</v>
      </c>
    </row>
    <row r="1298" customFormat="false" ht="15" hidden="false" customHeight="false" outlineLevel="0" collapsed="false">
      <c r="A1298" s="2" t="s">
        <v>1067</v>
      </c>
      <c r="B1298" s="2" t="s">
        <v>240</v>
      </c>
      <c r="C1298" s="2" t="n">
        <v>60</v>
      </c>
      <c r="D1298" s="2" t="s">
        <v>54</v>
      </c>
      <c r="E1298" s="2" t="s">
        <v>2665</v>
      </c>
      <c r="F1298" s="2" t="n">
        <v>30</v>
      </c>
      <c r="G1298" s="2" t="n">
        <v>90</v>
      </c>
      <c r="H1298" s="2" t="s">
        <v>1693</v>
      </c>
      <c r="I1298" s="2" t="n">
        <v>2</v>
      </c>
    </row>
    <row r="1299" customFormat="false" ht="15" hidden="false" customHeight="false" outlineLevel="0" collapsed="false">
      <c r="A1299" s="2" t="s">
        <v>1067</v>
      </c>
      <c r="B1299" s="2" t="s">
        <v>341</v>
      </c>
      <c r="C1299" s="2" t="n">
        <v>80</v>
      </c>
      <c r="D1299" s="2" t="s">
        <v>54</v>
      </c>
      <c r="E1299" s="2" t="s">
        <v>2666</v>
      </c>
      <c r="F1299" s="2" t="n">
        <v>40</v>
      </c>
      <c r="G1299" s="2" t="n">
        <v>120</v>
      </c>
      <c r="H1299" s="2" t="s">
        <v>1693</v>
      </c>
      <c r="I1299" s="2" t="n">
        <v>3</v>
      </c>
    </row>
    <row r="1300" customFormat="false" ht="15" hidden="false" customHeight="false" outlineLevel="0" collapsed="false">
      <c r="A1300" s="2" t="s">
        <v>1067</v>
      </c>
      <c r="B1300" s="2" t="s">
        <v>494</v>
      </c>
      <c r="C1300" s="2" t="n">
        <v>200</v>
      </c>
      <c r="D1300" s="2" t="s">
        <v>76</v>
      </c>
      <c r="E1300" s="2" t="s">
        <v>2651</v>
      </c>
      <c r="F1300" s="2" t="n">
        <v>100</v>
      </c>
      <c r="G1300" s="2" t="n">
        <v>300</v>
      </c>
      <c r="H1300" s="2" t="s">
        <v>1689</v>
      </c>
      <c r="I1300" s="2" t="n">
        <v>4</v>
      </c>
    </row>
    <row r="1301" customFormat="false" ht="15" hidden="false" customHeight="false" outlineLevel="0" collapsed="false">
      <c r="A1301" s="2" t="s">
        <v>1067</v>
      </c>
      <c r="B1301" s="2" t="s">
        <v>204</v>
      </c>
      <c r="C1301" s="2" t="n">
        <v>10</v>
      </c>
      <c r="D1301" s="2" t="s">
        <v>54</v>
      </c>
      <c r="E1301" s="2" t="s">
        <v>2652</v>
      </c>
      <c r="F1301" s="2" t="n">
        <v>5</v>
      </c>
      <c r="G1301" s="2" t="n">
        <v>15</v>
      </c>
      <c r="H1301" s="2" t="s">
        <v>1700</v>
      </c>
      <c r="I1301" s="2" t="n">
        <v>5</v>
      </c>
    </row>
    <row r="1302" customFormat="false" ht="15" hidden="false" customHeight="false" outlineLevel="0" collapsed="false">
      <c r="A1302" s="2" t="s">
        <v>1067</v>
      </c>
      <c r="B1302" s="2" t="s">
        <v>440</v>
      </c>
      <c r="C1302" s="2" t="n">
        <v>10</v>
      </c>
      <c r="D1302" s="2" t="s">
        <v>54</v>
      </c>
      <c r="E1302" s="2" t="s">
        <v>2653</v>
      </c>
      <c r="F1302" s="2" t="n">
        <v>5</v>
      </c>
      <c r="G1302" s="2" t="n">
        <v>15</v>
      </c>
      <c r="H1302" s="2" t="s">
        <v>1689</v>
      </c>
      <c r="I1302" s="2" t="n">
        <v>6</v>
      </c>
    </row>
    <row r="1303" customFormat="false" ht="15" hidden="false" customHeight="false" outlineLevel="0" collapsed="false">
      <c r="A1303" s="2" t="s">
        <v>1067</v>
      </c>
      <c r="B1303" s="2" t="s">
        <v>386</v>
      </c>
      <c r="C1303" s="2" t="n">
        <v>25</v>
      </c>
      <c r="D1303" s="2" t="s">
        <v>54</v>
      </c>
      <c r="E1303" s="2" t="s">
        <v>2667</v>
      </c>
      <c r="F1303" s="2" t="n">
        <v>12.5</v>
      </c>
      <c r="G1303" s="2" t="n">
        <v>37.5</v>
      </c>
      <c r="H1303" s="2" t="s">
        <v>1700</v>
      </c>
      <c r="I1303" s="2" t="n">
        <v>7</v>
      </c>
    </row>
    <row r="1304" customFormat="false" ht="15" hidden="false" customHeight="false" outlineLevel="0" collapsed="false">
      <c r="A1304" s="2" t="s">
        <v>1067</v>
      </c>
      <c r="B1304" s="2" t="s">
        <v>420</v>
      </c>
      <c r="C1304" s="2" t="n">
        <v>5</v>
      </c>
      <c r="D1304" s="2" t="s">
        <v>54</v>
      </c>
      <c r="E1304" s="2" t="s">
        <v>2668</v>
      </c>
      <c r="F1304" s="2" t="n">
        <v>2.5</v>
      </c>
      <c r="G1304" s="2" t="n">
        <v>7.5</v>
      </c>
      <c r="H1304" s="2" t="s">
        <v>1693</v>
      </c>
      <c r="I1304" s="2" t="n">
        <v>8</v>
      </c>
    </row>
    <row r="1305" customFormat="false" ht="15" hidden="false" customHeight="false" outlineLevel="0" collapsed="false">
      <c r="A1305" s="2" t="s">
        <v>1067</v>
      </c>
      <c r="B1305" s="2" t="s">
        <v>268</v>
      </c>
      <c r="C1305" s="2" t="n">
        <v>7</v>
      </c>
      <c r="D1305" s="2" t="s">
        <v>54</v>
      </c>
      <c r="E1305" s="2" t="s">
        <v>2669</v>
      </c>
      <c r="F1305" s="2" t="n">
        <v>3.5</v>
      </c>
      <c r="G1305" s="2" t="n">
        <v>10.5</v>
      </c>
      <c r="H1305" s="2" t="s">
        <v>1693</v>
      </c>
      <c r="I1305" s="2" t="n">
        <v>9</v>
      </c>
    </row>
    <row r="1306" customFormat="false" ht="15" hidden="false" customHeight="false" outlineLevel="0" collapsed="false">
      <c r="A1306" s="2" t="s">
        <v>1067</v>
      </c>
      <c r="B1306" s="2" t="s">
        <v>480</v>
      </c>
      <c r="C1306" s="2" t="n">
        <v>1</v>
      </c>
      <c r="D1306" s="2" t="s">
        <v>54</v>
      </c>
      <c r="E1306" s="2" t="s">
        <v>132</v>
      </c>
      <c r="F1306" s="2" t="n">
        <v>0.5</v>
      </c>
      <c r="G1306" s="2" t="n">
        <v>1.5</v>
      </c>
      <c r="H1306" s="2" t="s">
        <v>1689</v>
      </c>
      <c r="I1306" s="2" t="n">
        <v>10</v>
      </c>
    </row>
    <row r="1307" customFormat="false" ht="15" hidden="false" customHeight="false" outlineLevel="0" collapsed="false">
      <c r="A1307" s="2" t="s">
        <v>1071</v>
      </c>
      <c r="B1307" s="2" t="s">
        <v>424</v>
      </c>
      <c r="C1307" s="2" t="n">
        <v>75</v>
      </c>
      <c r="D1307" s="2" t="s">
        <v>54</v>
      </c>
      <c r="E1307" s="2" t="s">
        <v>2664</v>
      </c>
      <c r="F1307" s="2" t="n">
        <v>37.5</v>
      </c>
      <c r="G1307" s="2" t="n">
        <v>112.5</v>
      </c>
      <c r="H1307" s="2" t="s">
        <v>1689</v>
      </c>
      <c r="I1307" s="2" t="n">
        <v>1</v>
      </c>
    </row>
    <row r="1308" customFormat="false" ht="15" hidden="false" customHeight="false" outlineLevel="0" collapsed="false">
      <c r="A1308" s="2" t="s">
        <v>1071</v>
      </c>
      <c r="B1308" s="2" t="s">
        <v>550</v>
      </c>
      <c r="C1308" s="2" t="n">
        <v>100</v>
      </c>
      <c r="D1308" s="2" t="s">
        <v>54</v>
      </c>
      <c r="E1308" s="2" t="s">
        <v>2670</v>
      </c>
      <c r="F1308" s="2" t="n">
        <v>50</v>
      </c>
      <c r="G1308" s="2" t="n">
        <v>150</v>
      </c>
      <c r="H1308" s="2" t="s">
        <v>1693</v>
      </c>
      <c r="I1308" s="2" t="n">
        <v>2</v>
      </c>
    </row>
    <row r="1309" customFormat="false" ht="15" hidden="false" customHeight="false" outlineLevel="0" collapsed="false">
      <c r="A1309" s="2" t="s">
        <v>1071</v>
      </c>
      <c r="B1309" s="2" t="s">
        <v>494</v>
      </c>
      <c r="C1309" s="2" t="n">
        <v>200</v>
      </c>
      <c r="D1309" s="2" t="s">
        <v>76</v>
      </c>
      <c r="E1309" s="2" t="s">
        <v>2651</v>
      </c>
      <c r="F1309" s="2" t="n">
        <v>100</v>
      </c>
      <c r="G1309" s="2" t="n">
        <v>300</v>
      </c>
      <c r="H1309" s="2" t="s">
        <v>1689</v>
      </c>
      <c r="I1309" s="2" t="n">
        <v>3</v>
      </c>
    </row>
    <row r="1310" customFormat="false" ht="15" hidden="false" customHeight="false" outlineLevel="0" collapsed="false">
      <c r="A1310" s="2" t="s">
        <v>1071</v>
      </c>
      <c r="B1310" s="2" t="s">
        <v>204</v>
      </c>
      <c r="C1310" s="2" t="n">
        <v>10</v>
      </c>
      <c r="D1310" s="2" t="s">
        <v>54</v>
      </c>
      <c r="E1310" s="2" t="s">
        <v>2652</v>
      </c>
      <c r="F1310" s="2" t="n">
        <v>5</v>
      </c>
      <c r="G1310" s="2" t="n">
        <v>15</v>
      </c>
      <c r="H1310" s="2" t="s">
        <v>1700</v>
      </c>
      <c r="I1310" s="2" t="n">
        <v>4</v>
      </c>
    </row>
    <row r="1311" customFormat="false" ht="15" hidden="false" customHeight="false" outlineLevel="0" collapsed="false">
      <c r="A1311" s="2" t="s">
        <v>1071</v>
      </c>
      <c r="B1311" s="2" t="s">
        <v>440</v>
      </c>
      <c r="C1311" s="2" t="n">
        <v>10</v>
      </c>
      <c r="D1311" s="2" t="s">
        <v>54</v>
      </c>
      <c r="E1311" s="2" t="s">
        <v>2653</v>
      </c>
      <c r="F1311" s="2" t="n">
        <v>5</v>
      </c>
      <c r="G1311" s="2" t="n">
        <v>15</v>
      </c>
      <c r="H1311" s="2" t="s">
        <v>1689</v>
      </c>
      <c r="I1311" s="2" t="n">
        <v>5</v>
      </c>
    </row>
    <row r="1312" customFormat="false" ht="15" hidden="false" customHeight="false" outlineLevel="0" collapsed="false">
      <c r="A1312" s="2" t="s">
        <v>1071</v>
      </c>
      <c r="B1312" s="2" t="s">
        <v>386</v>
      </c>
      <c r="C1312" s="2" t="n">
        <v>25</v>
      </c>
      <c r="D1312" s="2" t="s">
        <v>54</v>
      </c>
      <c r="E1312" s="2" t="s">
        <v>2667</v>
      </c>
      <c r="F1312" s="2" t="n">
        <v>12.5</v>
      </c>
      <c r="G1312" s="2" t="n">
        <v>37.5</v>
      </c>
      <c r="H1312" s="2" t="s">
        <v>1700</v>
      </c>
      <c r="I1312" s="2" t="n">
        <v>6</v>
      </c>
    </row>
    <row r="1313" customFormat="false" ht="15" hidden="false" customHeight="false" outlineLevel="0" collapsed="false">
      <c r="A1313" s="2" t="s">
        <v>1071</v>
      </c>
      <c r="B1313" s="2" t="s">
        <v>271</v>
      </c>
      <c r="C1313" s="2" t="n">
        <v>1</v>
      </c>
      <c r="D1313" s="2" t="s">
        <v>54</v>
      </c>
      <c r="E1313" s="2" t="s">
        <v>2671</v>
      </c>
      <c r="F1313" s="2" t="n">
        <v>0.5</v>
      </c>
      <c r="G1313" s="2" t="n">
        <v>1.5</v>
      </c>
      <c r="H1313" s="2" t="s">
        <v>1689</v>
      </c>
      <c r="I1313" s="2" t="n">
        <v>7</v>
      </c>
    </row>
    <row r="1314" customFormat="false" ht="15" hidden="false" customHeight="false" outlineLevel="0" collapsed="false">
      <c r="A1314" s="2" t="s">
        <v>1071</v>
      </c>
      <c r="B1314" s="2" t="s">
        <v>456</v>
      </c>
      <c r="C1314" s="2" t="n">
        <v>0.5</v>
      </c>
      <c r="D1314" s="2" t="s">
        <v>1687</v>
      </c>
      <c r="E1314" s="2" t="s">
        <v>2672</v>
      </c>
      <c r="F1314" s="2"/>
      <c r="G1314" s="2" t="n">
        <v>1.5</v>
      </c>
      <c r="H1314" s="2" t="s">
        <v>1689</v>
      </c>
      <c r="I1314" s="2" t="n">
        <v>8</v>
      </c>
    </row>
    <row r="1315" customFormat="false" ht="15" hidden="false" customHeight="false" outlineLevel="0" collapsed="false">
      <c r="A1315" s="2" t="s">
        <v>1071</v>
      </c>
      <c r="B1315" s="2" t="s">
        <v>367</v>
      </c>
      <c r="C1315" s="2" t="n">
        <v>1</v>
      </c>
      <c r="D1315" s="2" t="s">
        <v>76</v>
      </c>
      <c r="E1315" s="2" t="s">
        <v>2663</v>
      </c>
      <c r="F1315" s="2"/>
      <c r="G1315" s="2" t="n">
        <v>2</v>
      </c>
      <c r="H1315" s="2" t="s">
        <v>1689</v>
      </c>
      <c r="I1315" s="2" t="n">
        <v>9</v>
      </c>
    </row>
    <row r="1316" customFormat="false" ht="15" hidden="false" customHeight="false" outlineLevel="0" collapsed="false">
      <c r="A1316" s="2" t="s">
        <v>1071</v>
      </c>
      <c r="B1316" s="2" t="s">
        <v>480</v>
      </c>
      <c r="C1316" s="2" t="n">
        <v>1</v>
      </c>
      <c r="D1316" s="2" t="s">
        <v>54</v>
      </c>
      <c r="E1316" s="2" t="s">
        <v>132</v>
      </c>
      <c r="F1316" s="2" t="n">
        <v>0.5</v>
      </c>
      <c r="G1316" s="2" t="n">
        <v>1.5</v>
      </c>
      <c r="H1316" s="2" t="s">
        <v>1689</v>
      </c>
      <c r="I1316" s="2" t="n">
        <v>10</v>
      </c>
    </row>
    <row r="1317" customFormat="false" ht="15" hidden="false" customHeight="false" outlineLevel="0" collapsed="false">
      <c r="A1317" s="2" t="s">
        <v>1075</v>
      </c>
      <c r="B1317" s="2" t="s">
        <v>413</v>
      </c>
      <c r="C1317" s="2" t="n">
        <v>70</v>
      </c>
      <c r="D1317" s="2" t="s">
        <v>54</v>
      </c>
      <c r="E1317" s="2" t="s">
        <v>2673</v>
      </c>
      <c r="F1317" s="2" t="n">
        <v>35</v>
      </c>
      <c r="G1317" s="2" t="n">
        <v>105</v>
      </c>
      <c r="H1317" s="2" t="s">
        <v>1689</v>
      </c>
      <c r="I1317" s="2" t="n">
        <v>1</v>
      </c>
    </row>
    <row r="1318" customFormat="false" ht="15" hidden="false" customHeight="false" outlineLevel="0" collapsed="false">
      <c r="A1318" s="2" t="s">
        <v>1075</v>
      </c>
      <c r="B1318" s="2" t="s">
        <v>341</v>
      </c>
      <c r="C1318" s="2" t="n">
        <v>100</v>
      </c>
      <c r="D1318" s="2" t="s">
        <v>54</v>
      </c>
      <c r="E1318" s="2" t="s">
        <v>2620</v>
      </c>
      <c r="F1318" s="2" t="n">
        <v>50</v>
      </c>
      <c r="G1318" s="2" t="n">
        <v>150</v>
      </c>
      <c r="H1318" s="2" t="s">
        <v>1693</v>
      </c>
      <c r="I1318" s="2" t="n">
        <v>2</v>
      </c>
    </row>
    <row r="1319" customFormat="false" ht="15" hidden="false" customHeight="false" outlineLevel="0" collapsed="false">
      <c r="A1319" s="2" t="s">
        <v>1075</v>
      </c>
      <c r="B1319" s="2" t="s">
        <v>396</v>
      </c>
      <c r="C1319" s="2" t="n">
        <v>100</v>
      </c>
      <c r="D1319" s="2" t="s">
        <v>54</v>
      </c>
      <c r="E1319" s="2" t="s">
        <v>2638</v>
      </c>
      <c r="F1319" s="2" t="n">
        <v>50</v>
      </c>
      <c r="G1319" s="2" t="n">
        <v>150</v>
      </c>
      <c r="H1319" s="2" t="s">
        <v>1693</v>
      </c>
      <c r="I1319" s="2" t="n">
        <v>3</v>
      </c>
    </row>
    <row r="1320" customFormat="false" ht="15" hidden="false" customHeight="false" outlineLevel="0" collapsed="false">
      <c r="A1320" s="2" t="s">
        <v>1075</v>
      </c>
      <c r="B1320" s="2" t="s">
        <v>110</v>
      </c>
      <c r="C1320" s="2" t="n">
        <v>1</v>
      </c>
      <c r="D1320" s="2" t="s">
        <v>1687</v>
      </c>
      <c r="E1320" s="2" t="s">
        <v>1853</v>
      </c>
      <c r="F1320" s="2"/>
      <c r="G1320" s="2" t="n">
        <v>2</v>
      </c>
      <c r="H1320" s="2" t="s">
        <v>1693</v>
      </c>
      <c r="I1320" s="2" t="n">
        <v>4</v>
      </c>
    </row>
    <row r="1321" customFormat="false" ht="15" hidden="false" customHeight="false" outlineLevel="0" collapsed="false">
      <c r="A1321" s="2" t="s">
        <v>1075</v>
      </c>
      <c r="B1321" s="2" t="s">
        <v>283</v>
      </c>
      <c r="C1321" s="2" t="n">
        <v>1</v>
      </c>
      <c r="D1321" s="2" t="s">
        <v>1687</v>
      </c>
      <c r="E1321" s="2" t="s">
        <v>2674</v>
      </c>
      <c r="F1321" s="2"/>
      <c r="G1321" s="2" t="n">
        <v>2</v>
      </c>
      <c r="H1321" s="2" t="s">
        <v>1700</v>
      </c>
      <c r="I1321" s="2" t="n">
        <v>5</v>
      </c>
    </row>
    <row r="1322" customFormat="false" ht="15" hidden="false" customHeight="false" outlineLevel="0" collapsed="false">
      <c r="A1322" s="2" t="s">
        <v>1075</v>
      </c>
      <c r="B1322" s="2" t="s">
        <v>420</v>
      </c>
      <c r="C1322" s="2" t="n">
        <v>20</v>
      </c>
      <c r="D1322" s="2" t="s">
        <v>54</v>
      </c>
      <c r="E1322" s="2" t="s">
        <v>2349</v>
      </c>
      <c r="F1322" s="2" t="n">
        <v>10</v>
      </c>
      <c r="G1322" s="2" t="n">
        <v>30</v>
      </c>
      <c r="H1322" s="2" t="s">
        <v>1693</v>
      </c>
      <c r="I1322" s="2" t="n">
        <v>6</v>
      </c>
    </row>
    <row r="1323" customFormat="false" ht="15" hidden="false" customHeight="false" outlineLevel="0" collapsed="false">
      <c r="A1323" s="2" t="s">
        <v>1075</v>
      </c>
      <c r="B1323" s="2" t="s">
        <v>312</v>
      </c>
      <c r="C1323" s="2" t="n">
        <v>1</v>
      </c>
      <c r="D1323" s="2" t="s">
        <v>1687</v>
      </c>
      <c r="E1323" s="2" t="s">
        <v>2607</v>
      </c>
      <c r="F1323" s="2"/>
      <c r="G1323" s="2" t="n">
        <v>2</v>
      </c>
      <c r="H1323" s="2" t="s">
        <v>1689</v>
      </c>
      <c r="I1323" s="2" t="n">
        <v>7</v>
      </c>
    </row>
    <row r="1324" customFormat="false" ht="15" hidden="false" customHeight="false" outlineLevel="0" collapsed="false">
      <c r="A1324" s="2" t="s">
        <v>1075</v>
      </c>
      <c r="B1324" s="2" t="s">
        <v>480</v>
      </c>
      <c r="C1324" s="2" t="n">
        <v>1</v>
      </c>
      <c r="D1324" s="2" t="s">
        <v>54</v>
      </c>
      <c r="E1324" s="2" t="s">
        <v>2675</v>
      </c>
      <c r="F1324" s="2" t="n">
        <v>0.5</v>
      </c>
      <c r="G1324" s="2" t="n">
        <v>1.5</v>
      </c>
      <c r="H1324" s="2" t="s">
        <v>1689</v>
      </c>
      <c r="I1324" s="2" t="n">
        <v>8</v>
      </c>
    </row>
    <row r="1325" customFormat="false" ht="15" hidden="false" customHeight="false" outlineLevel="0" collapsed="false">
      <c r="A1325" s="2" t="s">
        <v>1075</v>
      </c>
      <c r="B1325" s="2" t="s">
        <v>301</v>
      </c>
      <c r="C1325" s="2" t="n">
        <v>5</v>
      </c>
      <c r="D1325" s="2" t="s">
        <v>54</v>
      </c>
      <c r="E1325" s="2" t="s">
        <v>2623</v>
      </c>
      <c r="F1325" s="2" t="n">
        <v>2.5</v>
      </c>
      <c r="G1325" s="2" t="n">
        <v>7.5</v>
      </c>
      <c r="H1325" s="2" t="s">
        <v>1689</v>
      </c>
      <c r="I1325" s="2" t="n">
        <v>9</v>
      </c>
    </row>
    <row r="1326" customFormat="false" ht="15" hidden="false" customHeight="false" outlineLevel="0" collapsed="false">
      <c r="A1326" s="2" t="s">
        <v>1079</v>
      </c>
      <c r="B1326" s="2" t="s">
        <v>424</v>
      </c>
      <c r="C1326" s="2" t="n">
        <v>75</v>
      </c>
      <c r="D1326" s="2" t="s">
        <v>54</v>
      </c>
      <c r="E1326" s="2" t="s">
        <v>2660</v>
      </c>
      <c r="F1326" s="2" t="n">
        <v>37.5</v>
      </c>
      <c r="G1326" s="2" t="n">
        <v>112.5</v>
      </c>
      <c r="H1326" s="2" t="s">
        <v>1689</v>
      </c>
      <c r="I1326" s="2" t="n">
        <v>1</v>
      </c>
    </row>
    <row r="1327" customFormat="false" ht="15" hidden="false" customHeight="false" outlineLevel="0" collapsed="false">
      <c r="A1327" s="2" t="s">
        <v>1079</v>
      </c>
      <c r="B1327" s="2" t="s">
        <v>341</v>
      </c>
      <c r="C1327" s="2" t="n">
        <v>150</v>
      </c>
      <c r="D1327" s="2" t="s">
        <v>54</v>
      </c>
      <c r="E1327" s="2" t="s">
        <v>2644</v>
      </c>
      <c r="F1327" s="2" t="n">
        <v>75</v>
      </c>
      <c r="G1327" s="2" t="n">
        <v>225</v>
      </c>
      <c r="H1327" s="2" t="s">
        <v>1693</v>
      </c>
      <c r="I1327" s="2" t="n">
        <v>2</v>
      </c>
    </row>
    <row r="1328" customFormat="false" ht="15" hidden="false" customHeight="false" outlineLevel="0" collapsed="false">
      <c r="A1328" s="2" t="s">
        <v>1079</v>
      </c>
      <c r="B1328" s="2" t="s">
        <v>409</v>
      </c>
      <c r="C1328" s="2" t="n">
        <v>300</v>
      </c>
      <c r="D1328" s="2" t="s">
        <v>54</v>
      </c>
      <c r="E1328" s="2" t="s">
        <v>2676</v>
      </c>
      <c r="F1328" s="2" t="n">
        <v>150</v>
      </c>
      <c r="G1328" s="2" t="n">
        <v>450</v>
      </c>
      <c r="H1328" s="2" t="s">
        <v>1689</v>
      </c>
      <c r="I1328" s="2" t="n">
        <v>3</v>
      </c>
    </row>
    <row r="1329" customFormat="false" ht="15" hidden="false" customHeight="false" outlineLevel="0" collapsed="false">
      <c r="A1329" s="2" t="s">
        <v>1079</v>
      </c>
      <c r="B1329" s="2" t="s">
        <v>506</v>
      </c>
      <c r="C1329" s="2" t="n">
        <v>100</v>
      </c>
      <c r="D1329" s="2" t="s">
        <v>76</v>
      </c>
      <c r="E1329" s="2" t="s">
        <v>2677</v>
      </c>
      <c r="F1329" s="2" t="n">
        <v>50</v>
      </c>
      <c r="G1329" s="2" t="n">
        <v>150</v>
      </c>
      <c r="H1329" s="2" t="s">
        <v>1693</v>
      </c>
      <c r="I1329" s="2" t="n">
        <v>4</v>
      </c>
    </row>
    <row r="1330" customFormat="false" ht="15" hidden="false" customHeight="false" outlineLevel="0" collapsed="false">
      <c r="A1330" s="2" t="s">
        <v>1079</v>
      </c>
      <c r="B1330" s="2" t="s">
        <v>312</v>
      </c>
      <c r="C1330" s="2" t="n">
        <v>1</v>
      </c>
      <c r="D1330" s="2" t="s">
        <v>1687</v>
      </c>
      <c r="E1330" s="2" t="s">
        <v>2607</v>
      </c>
      <c r="F1330" s="2"/>
      <c r="G1330" s="2" t="n">
        <v>2</v>
      </c>
      <c r="H1330" s="2" t="s">
        <v>1689</v>
      </c>
      <c r="I1330" s="2" t="n">
        <v>5</v>
      </c>
    </row>
    <row r="1331" customFormat="false" ht="15" hidden="false" customHeight="false" outlineLevel="0" collapsed="false">
      <c r="A1331" s="2" t="s">
        <v>1079</v>
      </c>
      <c r="B1331" s="2" t="s">
        <v>170</v>
      </c>
      <c r="C1331" s="2" t="n">
        <v>5</v>
      </c>
      <c r="D1331" s="2" t="s">
        <v>76</v>
      </c>
      <c r="E1331" s="2" t="s">
        <v>2678</v>
      </c>
      <c r="F1331" s="2" t="n">
        <v>2.5</v>
      </c>
      <c r="G1331" s="2" t="n">
        <v>7.5</v>
      </c>
      <c r="H1331" s="2" t="s">
        <v>1689</v>
      </c>
      <c r="I1331" s="2" t="n">
        <v>6</v>
      </c>
    </row>
    <row r="1332" customFormat="false" ht="15" hidden="false" customHeight="false" outlineLevel="0" collapsed="false">
      <c r="A1332" s="2" t="s">
        <v>1079</v>
      </c>
      <c r="B1332" s="2" t="s">
        <v>301</v>
      </c>
      <c r="C1332" s="2" t="n">
        <v>5</v>
      </c>
      <c r="D1332" s="2" t="s">
        <v>54</v>
      </c>
      <c r="E1332" s="2" t="s">
        <v>2679</v>
      </c>
      <c r="F1332" s="2" t="n">
        <v>2.5</v>
      </c>
      <c r="G1332" s="2" t="n">
        <v>7.5</v>
      </c>
      <c r="H1332" s="2" t="s">
        <v>1689</v>
      </c>
      <c r="I1332" s="2" t="n">
        <v>7</v>
      </c>
    </row>
    <row r="1333" customFormat="false" ht="15" hidden="false" customHeight="false" outlineLevel="0" collapsed="false">
      <c r="A1333" s="2" t="s">
        <v>1079</v>
      </c>
      <c r="B1333" s="2" t="s">
        <v>420</v>
      </c>
      <c r="C1333" s="2" t="n">
        <v>10</v>
      </c>
      <c r="D1333" s="2" t="s">
        <v>54</v>
      </c>
      <c r="E1333" s="2" t="s">
        <v>2609</v>
      </c>
      <c r="F1333" s="2" t="n">
        <v>5</v>
      </c>
      <c r="G1333" s="2" t="n">
        <v>15</v>
      </c>
      <c r="H1333" s="2" t="s">
        <v>1693</v>
      </c>
      <c r="I1333" s="2" t="n">
        <v>8</v>
      </c>
    </row>
    <row r="1334" customFormat="false" ht="15" hidden="false" customHeight="false" outlineLevel="0" collapsed="false">
      <c r="A1334" s="2" t="s">
        <v>1079</v>
      </c>
      <c r="B1334" s="2" t="s">
        <v>480</v>
      </c>
      <c r="C1334" s="2" t="n">
        <v>1</v>
      </c>
      <c r="D1334" s="2" t="s">
        <v>54</v>
      </c>
      <c r="E1334" s="2" t="s">
        <v>132</v>
      </c>
      <c r="F1334" s="2" t="n">
        <v>0.5</v>
      </c>
      <c r="G1334" s="2" t="n">
        <v>1.5</v>
      </c>
      <c r="H1334" s="2" t="s">
        <v>1689</v>
      </c>
      <c r="I1334" s="2" t="n">
        <v>9</v>
      </c>
    </row>
    <row r="1335" customFormat="false" ht="15" hidden="false" customHeight="false" outlineLevel="0" collapsed="false">
      <c r="A1335" s="2" t="s">
        <v>1083</v>
      </c>
      <c r="B1335" s="2" t="s">
        <v>221</v>
      </c>
      <c r="C1335" s="2" t="n">
        <v>150</v>
      </c>
      <c r="D1335" s="2" t="s">
        <v>54</v>
      </c>
      <c r="E1335" s="2" t="s">
        <v>2482</v>
      </c>
      <c r="F1335" s="2" t="n">
        <v>75</v>
      </c>
      <c r="G1335" s="2" t="n">
        <v>225</v>
      </c>
      <c r="H1335" s="2" t="s">
        <v>1693</v>
      </c>
      <c r="I1335" s="2" t="n">
        <v>1</v>
      </c>
    </row>
    <row r="1336" customFormat="false" ht="15" hidden="false" customHeight="false" outlineLevel="0" collapsed="false">
      <c r="A1336" s="2" t="s">
        <v>1083</v>
      </c>
      <c r="B1336" s="2" t="s">
        <v>424</v>
      </c>
      <c r="C1336" s="2" t="n">
        <v>75</v>
      </c>
      <c r="D1336" s="2" t="s">
        <v>54</v>
      </c>
      <c r="E1336" s="2" t="s">
        <v>2625</v>
      </c>
      <c r="F1336" s="2" t="n">
        <v>37.5</v>
      </c>
      <c r="G1336" s="2" t="n">
        <v>112.5</v>
      </c>
      <c r="H1336" s="2" t="s">
        <v>1689</v>
      </c>
      <c r="I1336" s="2" t="n">
        <v>2</v>
      </c>
    </row>
    <row r="1337" customFormat="false" ht="15" hidden="false" customHeight="false" outlineLevel="0" collapsed="false">
      <c r="A1337" s="2" t="s">
        <v>1083</v>
      </c>
      <c r="B1337" s="2" t="s">
        <v>422</v>
      </c>
      <c r="C1337" s="2" t="n">
        <v>150</v>
      </c>
      <c r="D1337" s="2" t="s">
        <v>54</v>
      </c>
      <c r="E1337" s="2" t="s">
        <v>2622</v>
      </c>
      <c r="F1337" s="2" t="n">
        <v>75</v>
      </c>
      <c r="G1337" s="2" t="n">
        <v>225</v>
      </c>
      <c r="H1337" s="2" t="s">
        <v>1689</v>
      </c>
      <c r="I1337" s="2" t="n">
        <v>3</v>
      </c>
    </row>
    <row r="1338" customFormat="false" ht="15" hidden="false" customHeight="false" outlineLevel="0" collapsed="false">
      <c r="A1338" s="2" t="s">
        <v>1083</v>
      </c>
      <c r="B1338" s="2" t="s">
        <v>498</v>
      </c>
      <c r="C1338" s="2" t="n">
        <v>50</v>
      </c>
      <c r="D1338" s="2" t="s">
        <v>54</v>
      </c>
      <c r="E1338" s="2" t="s">
        <v>2680</v>
      </c>
      <c r="F1338" s="2" t="n">
        <v>25</v>
      </c>
      <c r="G1338" s="2" t="n">
        <v>75</v>
      </c>
      <c r="H1338" s="2" t="s">
        <v>1693</v>
      </c>
      <c r="I1338" s="2" t="n">
        <v>4</v>
      </c>
    </row>
    <row r="1339" customFormat="false" ht="15" hidden="false" customHeight="false" outlineLevel="0" collapsed="false">
      <c r="A1339" s="2" t="s">
        <v>1083</v>
      </c>
      <c r="B1339" s="2" t="s">
        <v>380</v>
      </c>
      <c r="C1339" s="2" t="n">
        <v>30</v>
      </c>
      <c r="D1339" s="2" t="s">
        <v>54</v>
      </c>
      <c r="E1339" s="2" t="s">
        <v>2681</v>
      </c>
      <c r="F1339" s="2" t="n">
        <v>15</v>
      </c>
      <c r="G1339" s="2" t="n">
        <v>45</v>
      </c>
      <c r="H1339" s="2" t="s">
        <v>1700</v>
      </c>
      <c r="I1339" s="2" t="n">
        <v>5</v>
      </c>
    </row>
    <row r="1340" customFormat="false" ht="15" hidden="false" customHeight="false" outlineLevel="0" collapsed="false">
      <c r="A1340" s="2" t="s">
        <v>1083</v>
      </c>
      <c r="B1340" s="2" t="s">
        <v>409</v>
      </c>
      <c r="C1340" s="2" t="n">
        <v>75</v>
      </c>
      <c r="D1340" s="2" t="s">
        <v>54</v>
      </c>
      <c r="E1340" s="2" t="s">
        <v>2604</v>
      </c>
      <c r="F1340" s="2" t="n">
        <v>37.5</v>
      </c>
      <c r="G1340" s="2" t="n">
        <v>112.5</v>
      </c>
      <c r="H1340" s="2" t="s">
        <v>1689</v>
      </c>
      <c r="I1340" s="2" t="n">
        <v>6</v>
      </c>
    </row>
    <row r="1341" customFormat="false" ht="15" hidden="false" customHeight="false" outlineLevel="0" collapsed="false">
      <c r="A1341" s="2" t="s">
        <v>1083</v>
      </c>
      <c r="B1341" s="2" t="s">
        <v>312</v>
      </c>
      <c r="C1341" s="2" t="n">
        <v>1</v>
      </c>
      <c r="D1341" s="2" t="s">
        <v>1687</v>
      </c>
      <c r="E1341" s="2" t="s">
        <v>2607</v>
      </c>
      <c r="F1341" s="2"/>
      <c r="G1341" s="2" t="n">
        <v>2</v>
      </c>
      <c r="H1341" s="2" t="s">
        <v>1689</v>
      </c>
      <c r="I1341" s="2" t="n">
        <v>7</v>
      </c>
    </row>
    <row r="1342" customFormat="false" ht="15" hidden="false" customHeight="false" outlineLevel="0" collapsed="false">
      <c r="A1342" s="2" t="s">
        <v>1083</v>
      </c>
      <c r="B1342" s="2" t="s">
        <v>524</v>
      </c>
      <c r="C1342" s="2" t="n">
        <v>120</v>
      </c>
      <c r="D1342" s="2" t="s">
        <v>54</v>
      </c>
      <c r="E1342" s="2" t="s">
        <v>2682</v>
      </c>
      <c r="F1342" s="2" t="n">
        <v>60</v>
      </c>
      <c r="G1342" s="2" t="n">
        <v>180</v>
      </c>
      <c r="H1342" s="2" t="s">
        <v>1689</v>
      </c>
      <c r="I1342" s="2" t="n">
        <v>8</v>
      </c>
    </row>
    <row r="1343" customFormat="false" ht="15" hidden="false" customHeight="false" outlineLevel="0" collapsed="false">
      <c r="A1343" s="2" t="s">
        <v>1083</v>
      </c>
      <c r="B1343" s="2" t="s">
        <v>480</v>
      </c>
      <c r="C1343" s="2" t="n">
        <v>1</v>
      </c>
      <c r="D1343" s="2" t="s">
        <v>54</v>
      </c>
      <c r="E1343" s="2" t="s">
        <v>132</v>
      </c>
      <c r="F1343" s="2" t="n">
        <v>0.5</v>
      </c>
      <c r="G1343" s="2" t="n">
        <v>1.5</v>
      </c>
      <c r="H1343" s="2" t="s">
        <v>1689</v>
      </c>
      <c r="I1343" s="2" t="n">
        <v>9</v>
      </c>
    </row>
    <row r="1344" customFormat="false" ht="15" hidden="false" customHeight="false" outlineLevel="0" collapsed="false">
      <c r="A1344" s="2" t="s">
        <v>1087</v>
      </c>
      <c r="B1344" s="2" t="s">
        <v>221</v>
      </c>
      <c r="C1344" s="2" t="n">
        <v>150</v>
      </c>
      <c r="D1344" s="2" t="s">
        <v>54</v>
      </c>
      <c r="E1344" s="2" t="s">
        <v>2683</v>
      </c>
      <c r="F1344" s="2" t="n">
        <v>75</v>
      </c>
      <c r="G1344" s="2" t="n">
        <v>225</v>
      </c>
      <c r="H1344" s="2" t="s">
        <v>1693</v>
      </c>
      <c r="I1344" s="2" t="n">
        <v>1</v>
      </c>
    </row>
    <row r="1345" customFormat="false" ht="15" hidden="false" customHeight="false" outlineLevel="0" collapsed="false">
      <c r="A1345" s="2" t="s">
        <v>1087</v>
      </c>
      <c r="B1345" s="2" t="s">
        <v>413</v>
      </c>
      <c r="C1345" s="2" t="n">
        <v>70</v>
      </c>
      <c r="D1345" s="2" t="s">
        <v>54</v>
      </c>
      <c r="E1345" s="2" t="s">
        <v>2673</v>
      </c>
      <c r="F1345" s="2" t="n">
        <v>35</v>
      </c>
      <c r="G1345" s="2" t="n">
        <v>105</v>
      </c>
      <c r="H1345" s="2" t="s">
        <v>1689</v>
      </c>
      <c r="I1345" s="2" t="n">
        <v>2</v>
      </c>
    </row>
    <row r="1346" customFormat="false" ht="15" hidden="false" customHeight="false" outlineLevel="0" collapsed="false">
      <c r="A1346" s="2" t="s">
        <v>1087</v>
      </c>
      <c r="B1346" s="2" t="s">
        <v>506</v>
      </c>
      <c r="C1346" s="2" t="n">
        <v>150</v>
      </c>
      <c r="D1346" s="2" t="s">
        <v>76</v>
      </c>
      <c r="E1346" s="2" t="s">
        <v>2684</v>
      </c>
      <c r="F1346" s="2" t="n">
        <v>75</v>
      </c>
      <c r="G1346" s="2" t="n">
        <v>225</v>
      </c>
      <c r="H1346" s="2" t="s">
        <v>1693</v>
      </c>
      <c r="I1346" s="2" t="n">
        <v>3</v>
      </c>
    </row>
    <row r="1347" customFormat="false" ht="15" hidden="false" customHeight="false" outlineLevel="0" collapsed="false">
      <c r="A1347" s="2" t="s">
        <v>1087</v>
      </c>
      <c r="B1347" s="2" t="s">
        <v>422</v>
      </c>
      <c r="C1347" s="2" t="n">
        <v>100</v>
      </c>
      <c r="D1347" s="2" t="s">
        <v>54</v>
      </c>
      <c r="E1347" s="2" t="s">
        <v>2685</v>
      </c>
      <c r="F1347" s="2" t="n">
        <v>50</v>
      </c>
      <c r="G1347" s="2" t="n">
        <v>150</v>
      </c>
      <c r="H1347" s="2" t="s">
        <v>1689</v>
      </c>
      <c r="I1347" s="2" t="n">
        <v>4</v>
      </c>
    </row>
    <row r="1348" customFormat="false" ht="15" hidden="false" customHeight="false" outlineLevel="0" collapsed="false">
      <c r="A1348" s="2" t="s">
        <v>1087</v>
      </c>
      <c r="B1348" s="2" t="s">
        <v>524</v>
      </c>
      <c r="C1348" s="2" t="n">
        <v>15</v>
      </c>
      <c r="D1348" s="2" t="s">
        <v>54</v>
      </c>
      <c r="E1348" s="2" t="s">
        <v>2686</v>
      </c>
      <c r="F1348" s="2" t="n">
        <v>7.5</v>
      </c>
      <c r="G1348" s="2" t="n">
        <v>22.5</v>
      </c>
      <c r="H1348" s="2" t="s">
        <v>1689</v>
      </c>
      <c r="I1348" s="2" t="n">
        <v>5</v>
      </c>
    </row>
    <row r="1349" customFormat="false" ht="15" hidden="false" customHeight="false" outlineLevel="0" collapsed="false">
      <c r="A1349" s="2" t="s">
        <v>1087</v>
      </c>
      <c r="B1349" s="2" t="s">
        <v>494</v>
      </c>
      <c r="C1349" s="2" t="n">
        <v>100</v>
      </c>
      <c r="D1349" s="2" t="s">
        <v>76</v>
      </c>
      <c r="E1349" s="2" t="s">
        <v>2687</v>
      </c>
      <c r="F1349" s="2" t="n">
        <v>50</v>
      </c>
      <c r="G1349" s="2" t="n">
        <v>150</v>
      </c>
      <c r="H1349" s="2" t="s">
        <v>1689</v>
      </c>
      <c r="I1349" s="2" t="n">
        <v>6</v>
      </c>
    </row>
    <row r="1350" customFormat="false" ht="15" hidden="false" customHeight="false" outlineLevel="0" collapsed="false">
      <c r="A1350" s="2" t="s">
        <v>1087</v>
      </c>
      <c r="B1350" s="2" t="s">
        <v>420</v>
      </c>
      <c r="C1350" s="2" t="n">
        <v>15</v>
      </c>
      <c r="D1350" s="2" t="s">
        <v>54</v>
      </c>
      <c r="E1350" s="2" t="s">
        <v>2386</v>
      </c>
      <c r="F1350" s="2" t="n">
        <v>7.5</v>
      </c>
      <c r="G1350" s="2" t="n">
        <v>22.5</v>
      </c>
      <c r="H1350" s="2" t="s">
        <v>1693</v>
      </c>
      <c r="I1350" s="2" t="n">
        <v>7</v>
      </c>
    </row>
    <row r="1351" customFormat="false" ht="15" hidden="false" customHeight="false" outlineLevel="0" collapsed="false">
      <c r="A1351" s="2" t="s">
        <v>1087</v>
      </c>
      <c r="B1351" s="2" t="s">
        <v>312</v>
      </c>
      <c r="C1351" s="2" t="n">
        <v>1</v>
      </c>
      <c r="D1351" s="2" t="s">
        <v>1687</v>
      </c>
      <c r="E1351" s="2" t="s">
        <v>2607</v>
      </c>
      <c r="F1351" s="2"/>
      <c r="G1351" s="2" t="n">
        <v>2</v>
      </c>
      <c r="H1351" s="2" t="s">
        <v>1689</v>
      </c>
      <c r="I1351" s="2" t="n">
        <v>8</v>
      </c>
    </row>
    <row r="1352" customFormat="false" ht="15" hidden="false" customHeight="false" outlineLevel="0" collapsed="false">
      <c r="A1352" s="2" t="s">
        <v>1087</v>
      </c>
      <c r="B1352" s="2" t="s">
        <v>409</v>
      </c>
      <c r="C1352" s="2" t="n">
        <v>75</v>
      </c>
      <c r="D1352" s="2" t="s">
        <v>54</v>
      </c>
      <c r="E1352" s="2" t="s">
        <v>2604</v>
      </c>
      <c r="F1352" s="2" t="n">
        <v>37.5</v>
      </c>
      <c r="G1352" s="2" t="n">
        <v>112.5</v>
      </c>
      <c r="H1352" s="2" t="s">
        <v>1689</v>
      </c>
      <c r="I1352" s="2" t="n">
        <v>9</v>
      </c>
    </row>
    <row r="1353" customFormat="false" ht="15" hidden="false" customHeight="false" outlineLevel="0" collapsed="false">
      <c r="A1353" s="2" t="s">
        <v>1087</v>
      </c>
      <c r="B1353" s="2" t="s">
        <v>301</v>
      </c>
      <c r="C1353" s="2" t="n">
        <v>5</v>
      </c>
      <c r="D1353" s="2" t="s">
        <v>54</v>
      </c>
      <c r="E1353" s="2" t="s">
        <v>2422</v>
      </c>
      <c r="F1353" s="2" t="n">
        <v>2.5</v>
      </c>
      <c r="G1353" s="2" t="n">
        <v>7.5</v>
      </c>
      <c r="H1353" s="2" t="s">
        <v>1689</v>
      </c>
      <c r="I1353" s="2" t="n">
        <v>10</v>
      </c>
    </row>
    <row r="1354" customFormat="false" ht="15" hidden="false" customHeight="false" outlineLevel="0" collapsed="false">
      <c r="A1354" s="2" t="s">
        <v>1087</v>
      </c>
      <c r="B1354" s="2" t="s">
        <v>480</v>
      </c>
      <c r="C1354" s="2" t="n">
        <v>1</v>
      </c>
      <c r="D1354" s="2" t="s">
        <v>54</v>
      </c>
      <c r="E1354" s="2" t="s">
        <v>132</v>
      </c>
      <c r="F1354" s="2" t="n">
        <v>0.5</v>
      </c>
      <c r="G1354" s="2" t="n">
        <v>1.5</v>
      </c>
      <c r="H1354" s="2" t="s">
        <v>1689</v>
      </c>
      <c r="I1354" s="2" t="n">
        <v>11</v>
      </c>
    </row>
    <row r="1355" customFormat="false" ht="15" hidden="false" customHeight="false" outlineLevel="0" collapsed="false">
      <c r="A1355" s="2" t="s">
        <v>1091</v>
      </c>
      <c r="B1355" s="2" t="s">
        <v>349</v>
      </c>
      <c r="C1355" s="2" t="n">
        <v>1</v>
      </c>
      <c r="D1355" s="2" t="s">
        <v>1687</v>
      </c>
      <c r="E1355" s="2" t="s">
        <v>2688</v>
      </c>
      <c r="F1355" s="2"/>
      <c r="G1355" s="2" t="n">
        <v>2</v>
      </c>
      <c r="H1355" s="2" t="s">
        <v>1689</v>
      </c>
      <c r="I1355" s="2" t="n">
        <v>1</v>
      </c>
    </row>
    <row r="1356" customFormat="false" ht="15" hidden="false" customHeight="false" outlineLevel="0" collapsed="false">
      <c r="A1356" s="2" t="s">
        <v>1091</v>
      </c>
      <c r="B1356" s="2" t="s">
        <v>221</v>
      </c>
      <c r="C1356" s="2" t="n">
        <v>100</v>
      </c>
      <c r="D1356" s="2" t="s">
        <v>54</v>
      </c>
      <c r="E1356" s="2" t="s">
        <v>2689</v>
      </c>
      <c r="F1356" s="2" t="n">
        <v>50</v>
      </c>
      <c r="G1356" s="2" t="n">
        <v>150</v>
      </c>
      <c r="H1356" s="2" t="s">
        <v>1693</v>
      </c>
      <c r="I1356" s="2" t="n">
        <v>2</v>
      </c>
    </row>
    <row r="1357" customFormat="false" ht="15" hidden="false" customHeight="false" outlineLevel="0" collapsed="false">
      <c r="A1357" s="2" t="s">
        <v>1091</v>
      </c>
      <c r="B1357" s="2" t="s">
        <v>148</v>
      </c>
      <c r="C1357" s="2" t="n">
        <v>40</v>
      </c>
      <c r="D1357" s="2" t="s">
        <v>54</v>
      </c>
      <c r="E1357" s="2" t="s">
        <v>2690</v>
      </c>
      <c r="F1357" s="2" t="n">
        <v>20</v>
      </c>
      <c r="G1357" s="2" t="n">
        <v>60</v>
      </c>
      <c r="H1357" s="2" t="s">
        <v>1693</v>
      </c>
      <c r="I1357" s="2" t="n">
        <v>3</v>
      </c>
    </row>
    <row r="1358" customFormat="false" ht="15" hidden="false" customHeight="false" outlineLevel="0" collapsed="false">
      <c r="A1358" s="2" t="s">
        <v>1091</v>
      </c>
      <c r="B1358" s="2" t="s">
        <v>262</v>
      </c>
      <c r="C1358" s="2" t="n">
        <v>2.5</v>
      </c>
      <c r="D1358" s="2" t="s">
        <v>54</v>
      </c>
      <c r="E1358" s="2" t="s">
        <v>2691</v>
      </c>
      <c r="F1358" s="2" t="n">
        <v>1.25</v>
      </c>
      <c r="G1358" s="2" t="n">
        <v>3.75</v>
      </c>
      <c r="H1358" s="2" t="s">
        <v>1689</v>
      </c>
      <c r="I1358" s="2" t="n">
        <v>4</v>
      </c>
    </row>
    <row r="1359" customFormat="false" ht="15" hidden="false" customHeight="false" outlineLevel="0" collapsed="false">
      <c r="A1359" s="2" t="s">
        <v>1091</v>
      </c>
      <c r="B1359" s="2" t="s">
        <v>271</v>
      </c>
      <c r="C1359" s="2" t="n">
        <v>1.25</v>
      </c>
      <c r="D1359" s="2" t="s">
        <v>54</v>
      </c>
      <c r="E1359" s="2" t="s">
        <v>2692</v>
      </c>
      <c r="F1359" s="2" t="n">
        <v>0.62</v>
      </c>
      <c r="G1359" s="2" t="n">
        <v>1.88</v>
      </c>
      <c r="H1359" s="2" t="s">
        <v>1689</v>
      </c>
      <c r="I1359" s="2" t="n">
        <v>5</v>
      </c>
    </row>
    <row r="1360" customFormat="false" ht="15" hidden="false" customHeight="false" outlineLevel="0" collapsed="false">
      <c r="A1360" s="2" t="s">
        <v>1091</v>
      </c>
      <c r="B1360" s="2" t="s">
        <v>422</v>
      </c>
      <c r="C1360" s="2" t="n">
        <v>40</v>
      </c>
      <c r="D1360" s="2" t="s">
        <v>54</v>
      </c>
      <c r="E1360" s="2" t="s">
        <v>2693</v>
      </c>
      <c r="F1360" s="2" t="n">
        <v>20</v>
      </c>
      <c r="G1360" s="2" t="n">
        <v>60</v>
      </c>
      <c r="H1360" s="2" t="s">
        <v>1689</v>
      </c>
      <c r="I1360" s="2" t="n">
        <v>6</v>
      </c>
    </row>
    <row r="1361" customFormat="false" ht="15" hidden="false" customHeight="false" outlineLevel="0" collapsed="false">
      <c r="A1361" s="2" t="s">
        <v>1091</v>
      </c>
      <c r="B1361" s="2" t="s">
        <v>458</v>
      </c>
      <c r="C1361" s="2" t="n">
        <v>20</v>
      </c>
      <c r="D1361" s="2" t="s">
        <v>54</v>
      </c>
      <c r="E1361" s="2" t="s">
        <v>2694</v>
      </c>
      <c r="F1361" s="2" t="n">
        <v>10</v>
      </c>
      <c r="G1361" s="2" t="n">
        <v>30</v>
      </c>
      <c r="H1361" s="2" t="s">
        <v>1689</v>
      </c>
      <c r="I1361" s="2" t="n">
        <v>7</v>
      </c>
    </row>
    <row r="1362" customFormat="false" ht="15" hidden="false" customHeight="false" outlineLevel="0" collapsed="false">
      <c r="A1362" s="2" t="s">
        <v>1091</v>
      </c>
      <c r="B1362" s="2" t="s">
        <v>382</v>
      </c>
      <c r="C1362" s="2" t="n">
        <v>15</v>
      </c>
      <c r="D1362" s="2" t="s">
        <v>54</v>
      </c>
      <c r="E1362" s="2" t="s">
        <v>2695</v>
      </c>
      <c r="F1362" s="2" t="n">
        <v>7.5</v>
      </c>
      <c r="G1362" s="2" t="n">
        <v>22.5</v>
      </c>
      <c r="H1362" s="2" t="s">
        <v>1689</v>
      </c>
      <c r="I1362" s="2" t="n">
        <v>8</v>
      </c>
    </row>
    <row r="1363" customFormat="false" ht="15" hidden="false" customHeight="false" outlineLevel="0" collapsed="false">
      <c r="A1363" s="2" t="s">
        <v>1091</v>
      </c>
      <c r="B1363" s="2" t="s">
        <v>464</v>
      </c>
      <c r="C1363" s="2" t="n">
        <v>25</v>
      </c>
      <c r="D1363" s="2" t="s">
        <v>54</v>
      </c>
      <c r="E1363" s="2" t="s">
        <v>2696</v>
      </c>
      <c r="F1363" s="2" t="n">
        <v>12.5</v>
      </c>
      <c r="G1363" s="2" t="n">
        <v>37.5</v>
      </c>
      <c r="H1363" s="2" t="s">
        <v>1693</v>
      </c>
      <c r="I1363" s="2" t="n">
        <v>9</v>
      </c>
    </row>
    <row r="1364" customFormat="false" ht="15" hidden="false" customHeight="false" outlineLevel="0" collapsed="false">
      <c r="A1364" s="2" t="s">
        <v>1091</v>
      </c>
      <c r="B1364" s="2" t="s">
        <v>301</v>
      </c>
      <c r="C1364" s="2" t="n">
        <v>5</v>
      </c>
      <c r="D1364" s="2" t="s">
        <v>54</v>
      </c>
      <c r="E1364" s="2" t="s">
        <v>2697</v>
      </c>
      <c r="F1364" s="2" t="n">
        <v>2.5</v>
      </c>
      <c r="G1364" s="2" t="n">
        <v>7.5</v>
      </c>
      <c r="H1364" s="2" t="s">
        <v>1689</v>
      </c>
      <c r="I1364" s="2" t="n">
        <v>10</v>
      </c>
    </row>
    <row r="1365" customFormat="false" ht="15" hidden="false" customHeight="false" outlineLevel="0" collapsed="false">
      <c r="A1365" s="2" t="s">
        <v>1091</v>
      </c>
      <c r="B1365" s="2" t="s">
        <v>365</v>
      </c>
      <c r="C1365" s="2" t="n">
        <v>1</v>
      </c>
      <c r="D1365" s="2" t="s">
        <v>1687</v>
      </c>
      <c r="E1365" s="2" t="s">
        <v>2698</v>
      </c>
      <c r="F1365" s="2"/>
      <c r="G1365" s="2" t="n">
        <v>2</v>
      </c>
      <c r="H1365" s="2" t="s">
        <v>1689</v>
      </c>
      <c r="I1365" s="2" t="n">
        <v>11</v>
      </c>
    </row>
    <row r="1366" customFormat="false" ht="15" hidden="false" customHeight="false" outlineLevel="0" collapsed="false">
      <c r="A1366" s="2" t="s">
        <v>1095</v>
      </c>
      <c r="B1366" s="2" t="s">
        <v>349</v>
      </c>
      <c r="C1366" s="2" t="n">
        <v>1</v>
      </c>
      <c r="D1366" s="2" t="s">
        <v>1687</v>
      </c>
      <c r="E1366" s="2" t="s">
        <v>2688</v>
      </c>
      <c r="F1366" s="2"/>
      <c r="G1366" s="2" t="n">
        <v>2</v>
      </c>
      <c r="H1366" s="2" t="s">
        <v>1689</v>
      </c>
      <c r="I1366" s="2" t="n">
        <v>1</v>
      </c>
    </row>
    <row r="1367" customFormat="false" ht="15" hidden="false" customHeight="false" outlineLevel="0" collapsed="false">
      <c r="A1367" s="2" t="s">
        <v>1095</v>
      </c>
      <c r="B1367" s="2" t="s">
        <v>359</v>
      </c>
      <c r="C1367" s="2" t="n">
        <v>90</v>
      </c>
      <c r="D1367" s="2" t="s">
        <v>54</v>
      </c>
      <c r="E1367" s="2" t="s">
        <v>2699</v>
      </c>
      <c r="F1367" s="2" t="n">
        <v>45</v>
      </c>
      <c r="G1367" s="2" t="n">
        <v>135</v>
      </c>
      <c r="H1367" s="2" t="s">
        <v>1693</v>
      </c>
      <c r="I1367" s="2" t="n">
        <v>2</v>
      </c>
    </row>
    <row r="1368" customFormat="false" ht="15" hidden="false" customHeight="false" outlineLevel="0" collapsed="false">
      <c r="A1368" s="2" t="s">
        <v>1095</v>
      </c>
      <c r="B1368" s="2" t="s">
        <v>271</v>
      </c>
      <c r="C1368" s="2" t="n">
        <v>1.25</v>
      </c>
      <c r="D1368" s="2" t="s">
        <v>54</v>
      </c>
      <c r="E1368" s="2" t="s">
        <v>2700</v>
      </c>
      <c r="F1368" s="2" t="n">
        <v>0.62</v>
      </c>
      <c r="G1368" s="2" t="n">
        <v>1.88</v>
      </c>
      <c r="H1368" s="2" t="s">
        <v>1689</v>
      </c>
      <c r="I1368" s="2" t="n">
        <v>3</v>
      </c>
    </row>
    <row r="1369" customFormat="false" ht="15" hidden="false" customHeight="false" outlineLevel="0" collapsed="false">
      <c r="A1369" s="2" t="s">
        <v>1095</v>
      </c>
      <c r="B1369" s="2" t="s">
        <v>331</v>
      </c>
      <c r="C1369" s="2" t="n">
        <v>25</v>
      </c>
      <c r="D1369" s="2" t="s">
        <v>54</v>
      </c>
      <c r="E1369" s="2" t="s">
        <v>2701</v>
      </c>
      <c r="F1369" s="2" t="n">
        <v>12.5</v>
      </c>
      <c r="G1369" s="2" t="n">
        <v>37.5</v>
      </c>
      <c r="H1369" s="2" t="s">
        <v>1689</v>
      </c>
      <c r="I1369" s="2" t="n">
        <v>4</v>
      </c>
    </row>
    <row r="1370" customFormat="false" ht="15" hidden="false" customHeight="false" outlineLevel="0" collapsed="false">
      <c r="A1370" s="2" t="s">
        <v>1095</v>
      </c>
      <c r="B1370" s="2" t="s">
        <v>464</v>
      </c>
      <c r="C1370" s="2" t="n">
        <v>25</v>
      </c>
      <c r="D1370" s="2" t="s">
        <v>54</v>
      </c>
      <c r="E1370" s="2" t="s">
        <v>2696</v>
      </c>
      <c r="F1370" s="2" t="n">
        <v>12.5</v>
      </c>
      <c r="G1370" s="2" t="n">
        <v>37.5</v>
      </c>
      <c r="H1370" s="2" t="s">
        <v>1693</v>
      </c>
      <c r="I1370" s="2" t="n">
        <v>5</v>
      </c>
    </row>
    <row r="1371" customFormat="false" ht="15" hidden="false" customHeight="false" outlineLevel="0" collapsed="false">
      <c r="A1371" s="2" t="s">
        <v>1095</v>
      </c>
      <c r="B1371" s="2" t="s">
        <v>260</v>
      </c>
      <c r="C1371" s="2" t="n">
        <v>30</v>
      </c>
      <c r="D1371" s="2" t="s">
        <v>54</v>
      </c>
      <c r="E1371" s="2" t="s">
        <v>2702</v>
      </c>
      <c r="F1371" s="2" t="n">
        <v>15</v>
      </c>
      <c r="G1371" s="2" t="n">
        <v>45</v>
      </c>
      <c r="H1371" s="2" t="s">
        <v>1689</v>
      </c>
      <c r="I1371" s="2" t="n">
        <v>6</v>
      </c>
    </row>
    <row r="1372" customFormat="false" ht="15" hidden="false" customHeight="false" outlineLevel="0" collapsed="false">
      <c r="A1372" s="2" t="s">
        <v>1095</v>
      </c>
      <c r="B1372" s="2" t="s">
        <v>500</v>
      </c>
      <c r="C1372" s="2" t="n">
        <v>1</v>
      </c>
      <c r="D1372" s="2" t="s">
        <v>1687</v>
      </c>
      <c r="E1372" s="2" t="s">
        <v>2703</v>
      </c>
      <c r="F1372" s="2"/>
      <c r="G1372" s="2" t="n">
        <v>2</v>
      </c>
      <c r="H1372" s="2" t="s">
        <v>1689</v>
      </c>
      <c r="I1372" s="2" t="n">
        <v>7</v>
      </c>
    </row>
    <row r="1373" customFormat="false" ht="15" hidden="false" customHeight="false" outlineLevel="0" collapsed="false">
      <c r="A1373" s="2" t="s">
        <v>1095</v>
      </c>
      <c r="B1373" s="2" t="s">
        <v>488</v>
      </c>
      <c r="C1373" s="2" t="n">
        <v>5</v>
      </c>
      <c r="D1373" s="2" t="s">
        <v>54</v>
      </c>
      <c r="E1373" s="2" t="s">
        <v>2704</v>
      </c>
      <c r="F1373" s="2" t="n">
        <v>2.5</v>
      </c>
      <c r="G1373" s="2" t="n">
        <v>7.5</v>
      </c>
      <c r="H1373" s="2" t="s">
        <v>1700</v>
      </c>
      <c r="I1373" s="2" t="n">
        <v>8</v>
      </c>
    </row>
    <row r="1374" customFormat="false" ht="15" hidden="false" customHeight="false" outlineLevel="0" collapsed="false">
      <c r="A1374" s="2" t="s">
        <v>1095</v>
      </c>
      <c r="B1374" s="2" t="s">
        <v>271</v>
      </c>
      <c r="C1374" s="2" t="n">
        <v>1</v>
      </c>
      <c r="D1374" s="2" t="s">
        <v>54</v>
      </c>
      <c r="E1374" s="2" t="s">
        <v>1939</v>
      </c>
      <c r="F1374" s="2" t="n">
        <v>0.5</v>
      </c>
      <c r="G1374" s="2" t="n">
        <v>1.5</v>
      </c>
      <c r="H1374" s="2" t="s">
        <v>1689</v>
      </c>
      <c r="I1374" s="2" t="n">
        <v>9</v>
      </c>
    </row>
    <row r="1375" customFormat="false" ht="15" hidden="false" customHeight="false" outlineLevel="0" collapsed="false">
      <c r="A1375" s="2" t="s">
        <v>1099</v>
      </c>
      <c r="B1375" s="2" t="s">
        <v>349</v>
      </c>
      <c r="C1375" s="2" t="n">
        <v>1</v>
      </c>
      <c r="D1375" s="2" t="s">
        <v>1687</v>
      </c>
      <c r="E1375" s="2" t="s">
        <v>2688</v>
      </c>
      <c r="F1375" s="2"/>
      <c r="G1375" s="2" t="n">
        <v>2</v>
      </c>
      <c r="H1375" s="2" t="s">
        <v>1689</v>
      </c>
      <c r="I1375" s="2" t="n">
        <v>1</v>
      </c>
    </row>
    <row r="1376" customFormat="false" ht="15" hidden="false" customHeight="false" outlineLevel="0" collapsed="false">
      <c r="A1376" s="2" t="s">
        <v>1099</v>
      </c>
      <c r="B1376" s="2" t="s">
        <v>353</v>
      </c>
      <c r="C1376" s="2" t="n">
        <v>80</v>
      </c>
      <c r="D1376" s="2" t="s">
        <v>54</v>
      </c>
      <c r="E1376" s="2" t="s">
        <v>2705</v>
      </c>
      <c r="F1376" s="2" t="n">
        <v>40</v>
      </c>
      <c r="G1376" s="2" t="n">
        <v>120</v>
      </c>
      <c r="H1376" s="2" t="s">
        <v>1693</v>
      </c>
      <c r="I1376" s="2" t="n">
        <v>2</v>
      </c>
    </row>
    <row r="1377" customFormat="false" ht="15" hidden="false" customHeight="false" outlineLevel="0" collapsed="false">
      <c r="A1377" s="2" t="s">
        <v>1099</v>
      </c>
      <c r="B1377" s="2" t="s">
        <v>193</v>
      </c>
      <c r="C1377" s="2" t="n">
        <v>10</v>
      </c>
      <c r="D1377" s="2" t="s">
        <v>54</v>
      </c>
      <c r="E1377" s="2" t="s">
        <v>2706</v>
      </c>
      <c r="F1377" s="2" t="n">
        <v>5</v>
      </c>
      <c r="G1377" s="2" t="n">
        <v>15</v>
      </c>
      <c r="H1377" s="2" t="s">
        <v>1689</v>
      </c>
      <c r="I1377" s="2" t="n">
        <v>3</v>
      </c>
    </row>
    <row r="1378" customFormat="false" ht="15" hidden="false" customHeight="false" outlineLevel="0" collapsed="false">
      <c r="A1378" s="2" t="s">
        <v>1099</v>
      </c>
      <c r="B1378" s="2" t="s">
        <v>114</v>
      </c>
      <c r="C1378" s="2" t="n">
        <v>1</v>
      </c>
      <c r="D1378" s="2" t="s">
        <v>1687</v>
      </c>
      <c r="E1378" s="2" t="s">
        <v>2707</v>
      </c>
      <c r="F1378" s="2"/>
      <c r="G1378" s="2" t="n">
        <v>2</v>
      </c>
      <c r="H1378" s="2" t="s">
        <v>1693</v>
      </c>
      <c r="I1378" s="2" t="n">
        <v>4</v>
      </c>
    </row>
    <row r="1379" customFormat="false" ht="15" hidden="false" customHeight="false" outlineLevel="0" collapsed="false">
      <c r="A1379" s="2" t="s">
        <v>1099</v>
      </c>
      <c r="B1379" s="2" t="s">
        <v>271</v>
      </c>
      <c r="C1379" s="2" t="n">
        <v>1.25</v>
      </c>
      <c r="D1379" s="2" t="s">
        <v>54</v>
      </c>
      <c r="E1379" s="2" t="s">
        <v>2708</v>
      </c>
      <c r="F1379" s="2" t="n">
        <v>0.62</v>
      </c>
      <c r="G1379" s="2" t="n">
        <v>1.88</v>
      </c>
      <c r="H1379" s="2" t="s">
        <v>1689</v>
      </c>
      <c r="I1379" s="2" t="n">
        <v>5</v>
      </c>
    </row>
    <row r="1380" customFormat="false" ht="15" hidden="false" customHeight="false" outlineLevel="0" collapsed="false">
      <c r="A1380" s="2" t="s">
        <v>1099</v>
      </c>
      <c r="B1380" s="2" t="s">
        <v>312</v>
      </c>
      <c r="C1380" s="2" t="n">
        <v>0.5</v>
      </c>
      <c r="D1380" s="2" t="s">
        <v>1687</v>
      </c>
      <c r="E1380" s="2" t="s">
        <v>2613</v>
      </c>
      <c r="F1380" s="2"/>
      <c r="G1380" s="2" t="n">
        <v>1.5</v>
      </c>
      <c r="H1380" s="2" t="s">
        <v>1689</v>
      </c>
      <c r="I1380" s="2" t="n">
        <v>6</v>
      </c>
    </row>
    <row r="1381" customFormat="false" ht="15" hidden="false" customHeight="false" outlineLevel="0" collapsed="false">
      <c r="A1381" s="2" t="s">
        <v>1099</v>
      </c>
      <c r="B1381" s="2" t="s">
        <v>422</v>
      </c>
      <c r="C1381" s="2" t="n">
        <v>100</v>
      </c>
      <c r="D1381" s="2" t="s">
        <v>54</v>
      </c>
      <c r="E1381" s="2" t="s">
        <v>2709</v>
      </c>
      <c r="F1381" s="2" t="n">
        <v>50</v>
      </c>
      <c r="G1381" s="2" t="n">
        <v>150</v>
      </c>
      <c r="H1381" s="2" t="s">
        <v>1689</v>
      </c>
      <c r="I1381" s="2" t="n">
        <v>7</v>
      </c>
    </row>
    <row r="1382" customFormat="false" ht="15" hidden="false" customHeight="false" outlineLevel="0" collapsed="false">
      <c r="A1382" s="2" t="s">
        <v>1099</v>
      </c>
      <c r="B1382" s="2" t="s">
        <v>464</v>
      </c>
      <c r="C1382" s="2" t="n">
        <v>25</v>
      </c>
      <c r="D1382" s="2" t="s">
        <v>54</v>
      </c>
      <c r="E1382" s="2" t="s">
        <v>2696</v>
      </c>
      <c r="F1382" s="2" t="n">
        <v>12.5</v>
      </c>
      <c r="G1382" s="2" t="n">
        <v>37.5</v>
      </c>
      <c r="H1382" s="2" t="s">
        <v>1693</v>
      </c>
      <c r="I1382" s="2" t="n">
        <v>8</v>
      </c>
    </row>
    <row r="1383" customFormat="false" ht="15" hidden="false" customHeight="false" outlineLevel="0" collapsed="false">
      <c r="A1383" s="2" t="s">
        <v>1099</v>
      </c>
      <c r="B1383" s="2" t="s">
        <v>301</v>
      </c>
      <c r="C1383" s="2" t="n">
        <v>5</v>
      </c>
      <c r="D1383" s="2" t="s">
        <v>54</v>
      </c>
      <c r="E1383" s="2" t="s">
        <v>2710</v>
      </c>
      <c r="F1383" s="2" t="n">
        <v>2.5</v>
      </c>
      <c r="G1383" s="2" t="n">
        <v>7.5</v>
      </c>
      <c r="H1383" s="2" t="s">
        <v>1689</v>
      </c>
      <c r="I1383" s="2" t="n">
        <v>9</v>
      </c>
    </row>
    <row r="1384" customFormat="false" ht="15" hidden="false" customHeight="false" outlineLevel="0" collapsed="false">
      <c r="A1384" s="2" t="s">
        <v>1099</v>
      </c>
      <c r="B1384" s="2" t="s">
        <v>480</v>
      </c>
      <c r="C1384" s="2" t="n">
        <v>1</v>
      </c>
      <c r="D1384" s="2" t="s">
        <v>54</v>
      </c>
      <c r="E1384" s="2" t="s">
        <v>2065</v>
      </c>
      <c r="F1384" s="2" t="n">
        <v>0.5</v>
      </c>
      <c r="G1384" s="2" t="n">
        <v>1.5</v>
      </c>
      <c r="H1384" s="2" t="s">
        <v>1689</v>
      </c>
      <c r="I1384" s="2" t="n">
        <v>10</v>
      </c>
    </row>
    <row r="1385" customFormat="false" ht="15" hidden="false" customHeight="false" outlineLevel="0" collapsed="false">
      <c r="A1385" s="2" t="s">
        <v>1103</v>
      </c>
      <c r="B1385" s="2" t="s">
        <v>349</v>
      </c>
      <c r="C1385" s="2" t="n">
        <v>1</v>
      </c>
      <c r="D1385" s="2" t="s">
        <v>1687</v>
      </c>
      <c r="E1385" s="2" t="s">
        <v>2688</v>
      </c>
      <c r="F1385" s="2"/>
      <c r="G1385" s="2" t="n">
        <v>2</v>
      </c>
      <c r="H1385" s="2" t="s">
        <v>1689</v>
      </c>
      <c r="I1385" s="2" t="n">
        <v>1</v>
      </c>
    </row>
    <row r="1386" customFormat="false" ht="15" hidden="false" customHeight="false" outlineLevel="0" collapsed="false">
      <c r="A1386" s="2" t="s">
        <v>1103</v>
      </c>
      <c r="B1386" s="2" t="s">
        <v>550</v>
      </c>
      <c r="C1386" s="2" t="n">
        <v>80</v>
      </c>
      <c r="D1386" s="2" t="s">
        <v>54</v>
      </c>
      <c r="E1386" s="2" t="s">
        <v>2583</v>
      </c>
      <c r="F1386" s="2" t="n">
        <v>40</v>
      </c>
      <c r="G1386" s="2" t="n">
        <v>120</v>
      </c>
      <c r="H1386" s="2" t="s">
        <v>1693</v>
      </c>
      <c r="I1386" s="2" t="n">
        <v>2</v>
      </c>
    </row>
    <row r="1387" customFormat="false" ht="15" hidden="false" customHeight="false" outlineLevel="0" collapsed="false">
      <c r="A1387" s="2" t="s">
        <v>1103</v>
      </c>
      <c r="B1387" s="2" t="s">
        <v>422</v>
      </c>
      <c r="C1387" s="2" t="n">
        <v>60</v>
      </c>
      <c r="D1387" s="2" t="s">
        <v>54</v>
      </c>
      <c r="E1387" s="2" t="s">
        <v>2711</v>
      </c>
      <c r="F1387" s="2" t="n">
        <v>30</v>
      </c>
      <c r="G1387" s="2" t="n">
        <v>90</v>
      </c>
      <c r="H1387" s="2" t="s">
        <v>1689</v>
      </c>
      <c r="I1387" s="2" t="n">
        <v>3</v>
      </c>
    </row>
    <row r="1388" customFormat="false" ht="15" hidden="false" customHeight="false" outlineLevel="0" collapsed="false">
      <c r="A1388" s="2" t="s">
        <v>1103</v>
      </c>
      <c r="B1388" s="2" t="s">
        <v>456</v>
      </c>
      <c r="C1388" s="2" t="n">
        <v>1</v>
      </c>
      <c r="D1388" s="2" t="s">
        <v>1687</v>
      </c>
      <c r="E1388" s="2" t="s">
        <v>2712</v>
      </c>
      <c r="F1388" s="2"/>
      <c r="G1388" s="2" t="n">
        <v>2</v>
      </c>
      <c r="H1388" s="2" t="s">
        <v>1689</v>
      </c>
      <c r="I1388" s="2" t="n">
        <v>4</v>
      </c>
    </row>
    <row r="1389" customFormat="false" ht="15" hidden="false" customHeight="false" outlineLevel="0" collapsed="false">
      <c r="A1389" s="2" t="s">
        <v>1103</v>
      </c>
      <c r="B1389" s="2" t="s">
        <v>516</v>
      </c>
      <c r="C1389" s="2" t="n">
        <v>40</v>
      </c>
      <c r="D1389" s="2" t="s">
        <v>54</v>
      </c>
      <c r="E1389" s="2" t="s">
        <v>2713</v>
      </c>
      <c r="F1389" s="2" t="n">
        <v>20</v>
      </c>
      <c r="G1389" s="2" t="n">
        <v>60</v>
      </c>
      <c r="H1389" s="2" t="s">
        <v>1689</v>
      </c>
      <c r="I1389" s="2" t="n">
        <v>5</v>
      </c>
    </row>
    <row r="1390" customFormat="false" ht="15" hidden="false" customHeight="false" outlineLevel="0" collapsed="false">
      <c r="A1390" s="2" t="s">
        <v>1103</v>
      </c>
      <c r="B1390" s="2" t="s">
        <v>464</v>
      </c>
      <c r="C1390" s="2" t="n">
        <v>25</v>
      </c>
      <c r="D1390" s="2" t="s">
        <v>54</v>
      </c>
      <c r="E1390" s="2" t="s">
        <v>2696</v>
      </c>
      <c r="F1390" s="2" t="n">
        <v>12.5</v>
      </c>
      <c r="G1390" s="2" t="n">
        <v>37.5</v>
      </c>
      <c r="H1390" s="2" t="s">
        <v>1693</v>
      </c>
      <c r="I1390" s="2" t="n">
        <v>6</v>
      </c>
    </row>
    <row r="1391" customFormat="false" ht="15" hidden="false" customHeight="false" outlineLevel="0" collapsed="false">
      <c r="A1391" s="2" t="s">
        <v>1103</v>
      </c>
      <c r="B1391" s="2" t="s">
        <v>329</v>
      </c>
      <c r="C1391" s="2" t="n">
        <v>7</v>
      </c>
      <c r="D1391" s="2" t="s">
        <v>54</v>
      </c>
      <c r="E1391" s="2" t="s">
        <v>2714</v>
      </c>
      <c r="F1391" s="2" t="n">
        <v>3.5</v>
      </c>
      <c r="G1391" s="2" t="n">
        <v>10.5</v>
      </c>
      <c r="H1391" s="2" t="s">
        <v>1689</v>
      </c>
      <c r="I1391" s="2" t="n">
        <v>7</v>
      </c>
    </row>
    <row r="1392" customFormat="false" ht="15" hidden="false" customHeight="false" outlineLevel="0" collapsed="false">
      <c r="A1392" s="2" t="s">
        <v>1103</v>
      </c>
      <c r="B1392" s="2" t="s">
        <v>375</v>
      </c>
      <c r="C1392" s="2" t="n">
        <v>0.5</v>
      </c>
      <c r="D1392" s="2" t="s">
        <v>1687</v>
      </c>
      <c r="E1392" s="2" t="s">
        <v>2715</v>
      </c>
      <c r="F1392" s="2"/>
      <c r="G1392" s="2" t="n">
        <v>1.5</v>
      </c>
      <c r="H1392" s="2" t="s">
        <v>1689</v>
      </c>
      <c r="I1392" s="2" t="n">
        <v>8</v>
      </c>
    </row>
    <row r="1393" customFormat="false" ht="15" hidden="false" customHeight="false" outlineLevel="0" collapsed="false">
      <c r="A1393" s="2" t="s">
        <v>1103</v>
      </c>
      <c r="B1393" s="2" t="s">
        <v>301</v>
      </c>
      <c r="C1393" s="2" t="n">
        <v>5</v>
      </c>
      <c r="D1393" s="2" t="s">
        <v>54</v>
      </c>
      <c r="E1393" s="2" t="s">
        <v>2697</v>
      </c>
      <c r="F1393" s="2" t="n">
        <v>2.5</v>
      </c>
      <c r="G1393" s="2" t="n">
        <v>7.5</v>
      </c>
      <c r="H1393" s="2" t="s">
        <v>1689</v>
      </c>
      <c r="I1393" s="2" t="n">
        <v>9</v>
      </c>
    </row>
    <row r="1394" customFormat="false" ht="15" hidden="false" customHeight="false" outlineLevel="0" collapsed="false">
      <c r="A1394" s="2" t="s">
        <v>1103</v>
      </c>
      <c r="B1394" s="2" t="s">
        <v>458</v>
      </c>
      <c r="C1394" s="2" t="n">
        <v>37.5</v>
      </c>
      <c r="D1394" s="2" t="s">
        <v>54</v>
      </c>
      <c r="E1394" s="2" t="s">
        <v>2716</v>
      </c>
      <c r="F1394" s="2" t="n">
        <v>18.75</v>
      </c>
      <c r="G1394" s="2" t="n">
        <v>56.25</v>
      </c>
      <c r="H1394" s="2" t="s">
        <v>1689</v>
      </c>
      <c r="I1394" s="2" t="n">
        <v>10</v>
      </c>
    </row>
    <row r="1395" customFormat="false" ht="15" hidden="false" customHeight="false" outlineLevel="0" collapsed="false">
      <c r="A1395" s="2" t="s">
        <v>1107</v>
      </c>
      <c r="B1395" s="2" t="s">
        <v>349</v>
      </c>
      <c r="C1395" s="2" t="n">
        <v>1</v>
      </c>
      <c r="D1395" s="2" t="s">
        <v>1687</v>
      </c>
      <c r="E1395" s="2" t="s">
        <v>2688</v>
      </c>
      <c r="F1395" s="2"/>
      <c r="G1395" s="2" t="n">
        <v>2</v>
      </c>
      <c r="H1395" s="2" t="s">
        <v>1689</v>
      </c>
      <c r="I1395" s="2" t="n">
        <v>1</v>
      </c>
    </row>
    <row r="1396" customFormat="false" ht="15" hidden="false" customHeight="false" outlineLevel="0" collapsed="false">
      <c r="A1396" s="2" t="s">
        <v>1107</v>
      </c>
      <c r="B1396" s="2" t="s">
        <v>221</v>
      </c>
      <c r="C1396" s="2" t="n">
        <v>70</v>
      </c>
      <c r="D1396" s="2" t="s">
        <v>54</v>
      </c>
      <c r="E1396" s="2" t="s">
        <v>2717</v>
      </c>
      <c r="F1396" s="2" t="n">
        <v>35</v>
      </c>
      <c r="G1396" s="2" t="n">
        <v>105</v>
      </c>
      <c r="H1396" s="2" t="s">
        <v>1693</v>
      </c>
      <c r="I1396" s="2" t="n">
        <v>2</v>
      </c>
    </row>
    <row r="1397" customFormat="false" ht="15" hidden="false" customHeight="false" outlineLevel="0" collapsed="false">
      <c r="A1397" s="2" t="s">
        <v>1107</v>
      </c>
      <c r="B1397" s="2" t="s">
        <v>163</v>
      </c>
      <c r="C1397" s="2" t="n">
        <v>50</v>
      </c>
      <c r="D1397" s="2" t="s">
        <v>54</v>
      </c>
      <c r="E1397" s="2" t="s">
        <v>2718</v>
      </c>
      <c r="F1397" s="2" t="n">
        <v>25</v>
      </c>
      <c r="G1397" s="2" t="n">
        <v>75</v>
      </c>
      <c r="H1397" s="2" t="s">
        <v>1689</v>
      </c>
      <c r="I1397" s="2" t="n">
        <v>3</v>
      </c>
    </row>
    <row r="1398" customFormat="false" ht="15" hidden="false" customHeight="false" outlineLevel="0" collapsed="false">
      <c r="A1398" s="2" t="s">
        <v>1107</v>
      </c>
      <c r="B1398" s="2" t="s">
        <v>464</v>
      </c>
      <c r="C1398" s="2" t="n">
        <v>25</v>
      </c>
      <c r="D1398" s="2" t="s">
        <v>54</v>
      </c>
      <c r="E1398" s="2" t="s">
        <v>2696</v>
      </c>
      <c r="F1398" s="2" t="n">
        <v>12.5</v>
      </c>
      <c r="G1398" s="2" t="n">
        <v>37.5</v>
      </c>
      <c r="H1398" s="2" t="s">
        <v>1693</v>
      </c>
      <c r="I1398" s="2" t="n">
        <v>4</v>
      </c>
    </row>
    <row r="1399" customFormat="false" ht="15" hidden="false" customHeight="false" outlineLevel="0" collapsed="false">
      <c r="A1399" s="2" t="s">
        <v>1107</v>
      </c>
      <c r="B1399" s="2" t="s">
        <v>516</v>
      </c>
      <c r="C1399" s="2" t="n">
        <v>30</v>
      </c>
      <c r="D1399" s="2" t="s">
        <v>54</v>
      </c>
      <c r="E1399" s="2" t="s">
        <v>2719</v>
      </c>
      <c r="F1399" s="2" t="n">
        <v>15</v>
      </c>
      <c r="G1399" s="2" t="n">
        <v>45</v>
      </c>
      <c r="H1399" s="2" t="s">
        <v>1689</v>
      </c>
      <c r="I1399" s="2" t="n">
        <v>5</v>
      </c>
    </row>
    <row r="1400" customFormat="false" ht="15" hidden="false" customHeight="false" outlineLevel="0" collapsed="false">
      <c r="A1400" s="2" t="s">
        <v>1107</v>
      </c>
      <c r="B1400" s="2" t="s">
        <v>458</v>
      </c>
      <c r="C1400" s="2" t="n">
        <v>37.5</v>
      </c>
      <c r="D1400" s="2" t="s">
        <v>54</v>
      </c>
      <c r="E1400" s="2" t="s">
        <v>2487</v>
      </c>
      <c r="F1400" s="2" t="n">
        <v>18.75</v>
      </c>
      <c r="G1400" s="2" t="n">
        <v>56.25</v>
      </c>
      <c r="H1400" s="2" t="s">
        <v>1689</v>
      </c>
      <c r="I1400" s="2" t="n">
        <v>6</v>
      </c>
    </row>
    <row r="1401" customFormat="false" ht="15" hidden="false" customHeight="false" outlineLevel="0" collapsed="false">
      <c r="A1401" s="2" t="s">
        <v>1107</v>
      </c>
      <c r="B1401" s="2" t="s">
        <v>337</v>
      </c>
      <c r="C1401" s="2" t="n">
        <v>0.5</v>
      </c>
      <c r="D1401" s="2" t="s">
        <v>1687</v>
      </c>
      <c r="E1401" s="2" t="s">
        <v>2720</v>
      </c>
      <c r="F1401" s="2"/>
      <c r="G1401" s="2" t="n">
        <v>1.5</v>
      </c>
      <c r="H1401" s="2" t="s">
        <v>1689</v>
      </c>
      <c r="I1401" s="2" t="n">
        <v>7</v>
      </c>
    </row>
    <row r="1402" customFormat="false" ht="15" hidden="false" customHeight="false" outlineLevel="0" collapsed="false">
      <c r="A1402" s="2" t="s">
        <v>1107</v>
      </c>
      <c r="B1402" s="2" t="s">
        <v>301</v>
      </c>
      <c r="C1402" s="2" t="n">
        <v>5</v>
      </c>
      <c r="D1402" s="2" t="s">
        <v>54</v>
      </c>
      <c r="E1402" s="2" t="s">
        <v>2697</v>
      </c>
      <c r="F1402" s="2" t="n">
        <v>2.5</v>
      </c>
      <c r="G1402" s="2" t="n">
        <v>7.5</v>
      </c>
      <c r="H1402" s="2" t="s">
        <v>1689</v>
      </c>
      <c r="I1402" s="2" t="n">
        <v>8</v>
      </c>
    </row>
    <row r="1403" customFormat="false" ht="15" hidden="false" customHeight="false" outlineLevel="0" collapsed="false">
      <c r="A1403" s="2" t="s">
        <v>1107</v>
      </c>
      <c r="B1403" s="2" t="s">
        <v>480</v>
      </c>
      <c r="C1403" s="2" t="n">
        <v>1</v>
      </c>
      <c r="D1403" s="2" t="s">
        <v>54</v>
      </c>
      <c r="E1403" s="2" t="s">
        <v>2065</v>
      </c>
      <c r="F1403" s="2" t="n">
        <v>0.5</v>
      </c>
      <c r="G1403" s="2" t="n">
        <v>1.5</v>
      </c>
      <c r="H1403" s="2" t="s">
        <v>1689</v>
      </c>
      <c r="I1403" s="2" t="n">
        <v>9</v>
      </c>
    </row>
    <row r="1404" customFormat="false" ht="15" hidden="false" customHeight="false" outlineLevel="0" collapsed="false">
      <c r="A1404" s="2" t="s">
        <v>1111</v>
      </c>
      <c r="B1404" s="2" t="s">
        <v>349</v>
      </c>
      <c r="C1404" s="2" t="n">
        <v>1</v>
      </c>
      <c r="D1404" s="2" t="s">
        <v>1687</v>
      </c>
      <c r="E1404" s="2" t="s">
        <v>2688</v>
      </c>
      <c r="F1404" s="2"/>
      <c r="G1404" s="2" t="n">
        <v>2</v>
      </c>
      <c r="H1404" s="2" t="s">
        <v>1689</v>
      </c>
      <c r="I1404" s="2" t="n">
        <v>1</v>
      </c>
    </row>
    <row r="1405" customFormat="false" ht="15" hidden="false" customHeight="false" outlineLevel="0" collapsed="false">
      <c r="A1405" s="2" t="s">
        <v>1111</v>
      </c>
      <c r="B1405" s="2" t="s">
        <v>361</v>
      </c>
      <c r="C1405" s="2" t="n">
        <v>80</v>
      </c>
      <c r="D1405" s="2" t="s">
        <v>54</v>
      </c>
      <c r="E1405" s="2" t="s">
        <v>2721</v>
      </c>
      <c r="F1405" s="2" t="n">
        <v>40</v>
      </c>
      <c r="G1405" s="2" t="n">
        <v>120</v>
      </c>
      <c r="H1405" s="2" t="s">
        <v>1693</v>
      </c>
      <c r="I1405" s="2" t="n">
        <v>2</v>
      </c>
    </row>
    <row r="1406" customFormat="false" ht="15" hidden="false" customHeight="false" outlineLevel="0" collapsed="false">
      <c r="A1406" s="2" t="s">
        <v>1111</v>
      </c>
      <c r="B1406" s="2" t="s">
        <v>271</v>
      </c>
      <c r="C1406" s="2" t="n">
        <v>2.5</v>
      </c>
      <c r="D1406" s="2" t="s">
        <v>54</v>
      </c>
      <c r="E1406" s="2" t="s">
        <v>2722</v>
      </c>
      <c r="F1406" s="2" t="n">
        <v>1.25</v>
      </c>
      <c r="G1406" s="2" t="n">
        <v>3.75</v>
      </c>
      <c r="H1406" s="2" t="s">
        <v>1689</v>
      </c>
      <c r="I1406" s="2" t="n">
        <v>3</v>
      </c>
    </row>
    <row r="1407" customFormat="false" ht="15" hidden="false" customHeight="false" outlineLevel="0" collapsed="false">
      <c r="A1407" s="2" t="s">
        <v>1111</v>
      </c>
      <c r="B1407" s="2" t="s">
        <v>271</v>
      </c>
      <c r="C1407" s="2" t="n">
        <v>1.25</v>
      </c>
      <c r="D1407" s="2" t="s">
        <v>54</v>
      </c>
      <c r="E1407" s="2" t="s">
        <v>2723</v>
      </c>
      <c r="F1407" s="2" t="n">
        <v>0.62</v>
      </c>
      <c r="G1407" s="2" t="n">
        <v>1.88</v>
      </c>
      <c r="H1407" s="2" t="s">
        <v>1689</v>
      </c>
      <c r="I1407" s="2" t="n">
        <v>4</v>
      </c>
    </row>
    <row r="1408" customFormat="false" ht="15" hidden="false" customHeight="false" outlineLevel="0" collapsed="false">
      <c r="A1408" s="2" t="s">
        <v>1111</v>
      </c>
      <c r="B1408" s="2" t="s">
        <v>271</v>
      </c>
      <c r="C1408" s="2" t="n">
        <v>1.25</v>
      </c>
      <c r="D1408" s="2" t="s">
        <v>54</v>
      </c>
      <c r="E1408" s="2" t="s">
        <v>2724</v>
      </c>
      <c r="F1408" s="2" t="n">
        <v>0.62</v>
      </c>
      <c r="G1408" s="2" t="n">
        <v>1.88</v>
      </c>
      <c r="H1408" s="2" t="s">
        <v>1689</v>
      </c>
      <c r="I1408" s="2" t="n">
        <v>5</v>
      </c>
    </row>
    <row r="1409" customFormat="false" ht="15" hidden="false" customHeight="false" outlineLevel="0" collapsed="false">
      <c r="A1409" s="2" t="s">
        <v>1111</v>
      </c>
      <c r="B1409" s="2" t="s">
        <v>312</v>
      </c>
      <c r="C1409" s="2" t="n">
        <v>1</v>
      </c>
      <c r="D1409" s="2" t="s">
        <v>1687</v>
      </c>
      <c r="E1409" s="2" t="s">
        <v>2607</v>
      </c>
      <c r="F1409" s="2"/>
      <c r="G1409" s="2" t="n">
        <v>2</v>
      </c>
      <c r="H1409" s="2" t="s">
        <v>1689</v>
      </c>
      <c r="I1409" s="2" t="n">
        <v>6</v>
      </c>
    </row>
    <row r="1410" customFormat="false" ht="15" hidden="false" customHeight="false" outlineLevel="0" collapsed="false">
      <c r="A1410" s="2" t="s">
        <v>1111</v>
      </c>
      <c r="B1410" s="2" t="s">
        <v>299</v>
      </c>
      <c r="C1410" s="2" t="n">
        <v>1</v>
      </c>
      <c r="D1410" s="2" t="s">
        <v>54</v>
      </c>
      <c r="E1410" s="2" t="s">
        <v>2725</v>
      </c>
      <c r="F1410" s="2"/>
      <c r="G1410" s="2" t="n">
        <v>2</v>
      </c>
      <c r="H1410" s="2" t="s">
        <v>1689</v>
      </c>
      <c r="I1410" s="2" t="n">
        <v>7</v>
      </c>
    </row>
    <row r="1411" customFormat="false" ht="15" hidden="false" customHeight="false" outlineLevel="0" collapsed="false">
      <c r="A1411" s="2" t="s">
        <v>1111</v>
      </c>
      <c r="B1411" s="2" t="s">
        <v>409</v>
      </c>
      <c r="C1411" s="2" t="n">
        <v>30</v>
      </c>
      <c r="D1411" s="2" t="s">
        <v>54</v>
      </c>
      <c r="E1411" s="2" t="s">
        <v>2726</v>
      </c>
      <c r="F1411" s="2" t="n">
        <v>15</v>
      </c>
      <c r="G1411" s="2" t="n">
        <v>45</v>
      </c>
      <c r="H1411" s="2" t="s">
        <v>1689</v>
      </c>
      <c r="I1411" s="2" t="n">
        <v>8</v>
      </c>
    </row>
    <row r="1412" customFormat="false" ht="15" hidden="false" customHeight="false" outlineLevel="0" collapsed="false">
      <c r="A1412" s="2" t="s">
        <v>1111</v>
      </c>
      <c r="B1412" s="2" t="s">
        <v>422</v>
      </c>
      <c r="C1412" s="2" t="n">
        <v>40</v>
      </c>
      <c r="D1412" s="2" t="s">
        <v>54</v>
      </c>
      <c r="E1412" s="2" t="s">
        <v>2693</v>
      </c>
      <c r="F1412" s="2" t="n">
        <v>20</v>
      </c>
      <c r="G1412" s="2" t="n">
        <v>60</v>
      </c>
      <c r="H1412" s="2" t="s">
        <v>1689</v>
      </c>
      <c r="I1412" s="2" t="n">
        <v>9</v>
      </c>
    </row>
    <row r="1413" customFormat="false" ht="15" hidden="false" customHeight="false" outlineLevel="0" collapsed="false">
      <c r="A1413" s="2" t="s">
        <v>1111</v>
      </c>
      <c r="B1413" s="2" t="s">
        <v>308</v>
      </c>
      <c r="C1413" s="2" t="n">
        <v>25</v>
      </c>
      <c r="D1413" s="2" t="s">
        <v>54</v>
      </c>
      <c r="E1413" s="2" t="s">
        <v>2727</v>
      </c>
      <c r="F1413" s="2" t="n">
        <v>12.5</v>
      </c>
      <c r="G1413" s="2" t="n">
        <v>37.5</v>
      </c>
      <c r="H1413" s="2" t="s">
        <v>1689</v>
      </c>
      <c r="I1413" s="2" t="n">
        <v>10</v>
      </c>
    </row>
    <row r="1414" customFormat="false" ht="15" hidden="false" customHeight="false" outlineLevel="0" collapsed="false">
      <c r="A1414" s="2" t="s">
        <v>1111</v>
      </c>
      <c r="B1414" s="2" t="s">
        <v>446</v>
      </c>
      <c r="C1414" s="2" t="n">
        <v>20</v>
      </c>
      <c r="D1414" s="2" t="s">
        <v>54</v>
      </c>
      <c r="E1414" s="2" t="s">
        <v>2728</v>
      </c>
      <c r="F1414" s="2" t="n">
        <v>10</v>
      </c>
      <c r="G1414" s="2" t="n">
        <v>30</v>
      </c>
      <c r="H1414" s="2" t="s">
        <v>1689</v>
      </c>
      <c r="I1414" s="2" t="n">
        <v>11</v>
      </c>
    </row>
    <row r="1415" customFormat="false" ht="15" hidden="false" customHeight="false" outlineLevel="0" collapsed="false">
      <c r="A1415" s="2" t="s">
        <v>1111</v>
      </c>
      <c r="B1415" s="2" t="s">
        <v>464</v>
      </c>
      <c r="C1415" s="2" t="n">
        <v>15</v>
      </c>
      <c r="D1415" s="2" t="s">
        <v>54</v>
      </c>
      <c r="E1415" s="2" t="s">
        <v>2729</v>
      </c>
      <c r="F1415" s="2" t="n">
        <v>7.5</v>
      </c>
      <c r="G1415" s="2" t="n">
        <v>22.5</v>
      </c>
      <c r="H1415" s="2" t="s">
        <v>1693</v>
      </c>
      <c r="I1415" s="2" t="n">
        <v>12</v>
      </c>
    </row>
    <row r="1416" customFormat="false" ht="15" hidden="false" customHeight="false" outlineLevel="0" collapsed="false">
      <c r="A1416" s="2" t="s">
        <v>1111</v>
      </c>
      <c r="B1416" s="2" t="s">
        <v>301</v>
      </c>
      <c r="C1416" s="2" t="n">
        <v>5</v>
      </c>
      <c r="D1416" s="2" t="s">
        <v>54</v>
      </c>
      <c r="E1416" s="2" t="s">
        <v>2697</v>
      </c>
      <c r="F1416" s="2" t="n">
        <v>2.5</v>
      </c>
      <c r="G1416" s="2" t="n">
        <v>7.5</v>
      </c>
      <c r="H1416" s="2" t="s">
        <v>1689</v>
      </c>
      <c r="I1416" s="2" t="n">
        <v>13</v>
      </c>
    </row>
    <row r="1417" customFormat="false" ht="15" hidden="false" customHeight="false" outlineLevel="0" collapsed="false">
      <c r="A1417" s="2" t="s">
        <v>1111</v>
      </c>
      <c r="B1417" s="2" t="s">
        <v>367</v>
      </c>
      <c r="C1417" s="2" t="n">
        <v>1</v>
      </c>
      <c r="D1417" s="2" t="s">
        <v>76</v>
      </c>
      <c r="E1417" s="2" t="s">
        <v>2411</v>
      </c>
      <c r="F1417" s="2"/>
      <c r="G1417" s="2" t="n">
        <v>2</v>
      </c>
      <c r="H1417" s="2" t="s">
        <v>1689</v>
      </c>
      <c r="I1417" s="2" t="n">
        <v>14</v>
      </c>
    </row>
    <row r="1418" customFormat="false" ht="15" hidden="false" customHeight="false" outlineLevel="0" collapsed="false">
      <c r="A1418" s="2" t="s">
        <v>1115</v>
      </c>
      <c r="B1418" s="2" t="s">
        <v>353</v>
      </c>
      <c r="C1418" s="2" t="n">
        <v>100</v>
      </c>
      <c r="D1418" s="2" t="s">
        <v>54</v>
      </c>
      <c r="E1418" s="2" t="s">
        <v>2730</v>
      </c>
      <c r="F1418" s="2" t="n">
        <v>50</v>
      </c>
      <c r="G1418" s="2" t="n">
        <v>150</v>
      </c>
      <c r="H1418" s="2" t="s">
        <v>1693</v>
      </c>
      <c r="I1418" s="2" t="n">
        <v>1</v>
      </c>
    </row>
    <row r="1419" customFormat="false" ht="15" hidden="false" customHeight="false" outlineLevel="0" collapsed="false">
      <c r="A1419" s="2" t="s">
        <v>1115</v>
      </c>
      <c r="B1419" s="2" t="s">
        <v>201</v>
      </c>
      <c r="C1419" s="2" t="n">
        <v>1</v>
      </c>
      <c r="D1419" s="2" t="s">
        <v>1687</v>
      </c>
      <c r="E1419" s="2" t="s">
        <v>2731</v>
      </c>
      <c r="F1419" s="2"/>
      <c r="G1419" s="2" t="n">
        <v>2</v>
      </c>
      <c r="H1419" s="2" t="s">
        <v>1689</v>
      </c>
      <c r="I1419" s="2" t="n">
        <v>2</v>
      </c>
    </row>
    <row r="1420" customFormat="false" ht="15" hidden="false" customHeight="false" outlineLevel="0" collapsed="false">
      <c r="A1420" s="2" t="s">
        <v>1115</v>
      </c>
      <c r="B1420" s="2" t="s">
        <v>462</v>
      </c>
      <c r="C1420" s="2" t="n">
        <v>30</v>
      </c>
      <c r="D1420" s="2" t="s">
        <v>54</v>
      </c>
      <c r="E1420" s="2" t="s">
        <v>2732</v>
      </c>
      <c r="F1420" s="2" t="n">
        <v>15</v>
      </c>
      <c r="G1420" s="2" t="n">
        <v>45</v>
      </c>
      <c r="H1420" s="2" t="s">
        <v>1693</v>
      </c>
      <c r="I1420" s="2" t="n">
        <v>3</v>
      </c>
    </row>
    <row r="1421" customFormat="false" ht="15" hidden="false" customHeight="false" outlineLevel="0" collapsed="false">
      <c r="A1421" s="2" t="s">
        <v>1115</v>
      </c>
      <c r="B1421" s="2" t="s">
        <v>528</v>
      </c>
      <c r="C1421" s="2" t="n">
        <v>20</v>
      </c>
      <c r="D1421" s="2" t="s">
        <v>54</v>
      </c>
      <c r="E1421" s="2" t="s">
        <v>2733</v>
      </c>
      <c r="F1421" s="2" t="n">
        <v>10</v>
      </c>
      <c r="G1421" s="2" t="n">
        <v>30</v>
      </c>
      <c r="H1421" s="2" t="s">
        <v>1689</v>
      </c>
      <c r="I1421" s="2" t="n">
        <v>4</v>
      </c>
    </row>
    <row r="1422" customFormat="false" ht="15" hidden="false" customHeight="false" outlineLevel="0" collapsed="false">
      <c r="A1422" s="2" t="s">
        <v>1115</v>
      </c>
      <c r="B1422" s="2" t="s">
        <v>394</v>
      </c>
      <c r="C1422" s="2" t="n">
        <v>600</v>
      </c>
      <c r="D1422" s="2" t="s">
        <v>54</v>
      </c>
      <c r="E1422" s="2" t="s">
        <v>2734</v>
      </c>
      <c r="F1422" s="2" t="n">
        <v>300</v>
      </c>
      <c r="G1422" s="2" t="n">
        <v>900</v>
      </c>
      <c r="H1422" s="2" t="s">
        <v>1689</v>
      </c>
      <c r="I1422" s="2" t="n">
        <v>5</v>
      </c>
    </row>
    <row r="1423" customFormat="false" ht="15" hidden="false" customHeight="false" outlineLevel="0" collapsed="false">
      <c r="A1423" s="2" t="s">
        <v>1115</v>
      </c>
      <c r="B1423" s="2" t="s">
        <v>524</v>
      </c>
      <c r="C1423" s="2" t="n">
        <v>2</v>
      </c>
      <c r="D1423" s="2" t="s">
        <v>54</v>
      </c>
      <c r="E1423" s="2" t="s">
        <v>2735</v>
      </c>
      <c r="F1423" s="2" t="n">
        <v>1</v>
      </c>
      <c r="G1423" s="2" t="n">
        <v>3</v>
      </c>
      <c r="H1423" s="2" t="s">
        <v>1689</v>
      </c>
      <c r="I1423" s="2" t="n">
        <v>6</v>
      </c>
    </row>
    <row r="1424" customFormat="false" ht="15" hidden="false" customHeight="false" outlineLevel="0" collapsed="false">
      <c r="A1424" s="2" t="s">
        <v>1115</v>
      </c>
      <c r="B1424" s="2" t="s">
        <v>458</v>
      </c>
      <c r="C1424" s="2" t="n">
        <v>2</v>
      </c>
      <c r="D1424" s="2" t="s">
        <v>54</v>
      </c>
      <c r="E1424" s="2" t="s">
        <v>2736</v>
      </c>
      <c r="F1424" s="2" t="n">
        <v>1</v>
      </c>
      <c r="G1424" s="2" t="n">
        <v>3</v>
      </c>
      <c r="H1424" s="2" t="s">
        <v>1689</v>
      </c>
      <c r="I1424" s="2" t="n">
        <v>7</v>
      </c>
    </row>
    <row r="1425" customFormat="false" ht="15" hidden="false" customHeight="false" outlineLevel="0" collapsed="false">
      <c r="A1425" s="2" t="s">
        <v>1115</v>
      </c>
      <c r="B1425" s="2" t="s">
        <v>480</v>
      </c>
      <c r="C1425" s="2" t="n">
        <v>1</v>
      </c>
      <c r="D1425" s="2" t="s">
        <v>54</v>
      </c>
      <c r="E1425" s="2" t="s">
        <v>2737</v>
      </c>
      <c r="F1425" s="2" t="n">
        <v>0.5</v>
      </c>
      <c r="G1425" s="2" t="n">
        <v>1.5</v>
      </c>
      <c r="H1425" s="2" t="s">
        <v>1689</v>
      </c>
      <c r="I1425" s="2" t="n">
        <v>8</v>
      </c>
    </row>
    <row r="1426" customFormat="false" ht="15" hidden="false" customHeight="false" outlineLevel="0" collapsed="false">
      <c r="A1426" s="2" t="s">
        <v>1119</v>
      </c>
      <c r="B1426" s="2" t="s">
        <v>341</v>
      </c>
      <c r="C1426" s="2" t="n">
        <v>120</v>
      </c>
      <c r="D1426" s="2" t="s">
        <v>54</v>
      </c>
      <c r="E1426" s="2" t="s">
        <v>2738</v>
      </c>
      <c r="F1426" s="2" t="n">
        <v>60</v>
      </c>
      <c r="G1426" s="2" t="n">
        <v>180</v>
      </c>
      <c r="H1426" s="2" t="s">
        <v>1693</v>
      </c>
      <c r="I1426" s="2" t="n">
        <v>1</v>
      </c>
    </row>
    <row r="1427" customFormat="false" ht="15" hidden="false" customHeight="false" outlineLevel="0" collapsed="false">
      <c r="A1427" s="2" t="s">
        <v>1119</v>
      </c>
      <c r="B1427" s="2" t="s">
        <v>193</v>
      </c>
      <c r="C1427" s="2" t="n">
        <v>15</v>
      </c>
      <c r="D1427" s="2" t="s">
        <v>54</v>
      </c>
      <c r="E1427" s="2" t="s">
        <v>2739</v>
      </c>
      <c r="F1427" s="2" t="n">
        <v>7.5</v>
      </c>
      <c r="G1427" s="2" t="n">
        <v>22.5</v>
      </c>
      <c r="H1427" s="2" t="s">
        <v>1689</v>
      </c>
      <c r="I1427" s="2" t="n">
        <v>2</v>
      </c>
    </row>
    <row r="1428" customFormat="false" ht="15" hidden="false" customHeight="false" outlineLevel="0" collapsed="false">
      <c r="A1428" s="2" t="s">
        <v>1119</v>
      </c>
      <c r="B1428" s="2" t="s">
        <v>114</v>
      </c>
      <c r="C1428" s="2" t="n">
        <v>1</v>
      </c>
      <c r="D1428" s="2" t="s">
        <v>1687</v>
      </c>
      <c r="E1428" s="2" t="s">
        <v>2473</v>
      </c>
      <c r="F1428" s="2"/>
      <c r="G1428" s="2" t="n">
        <v>2</v>
      </c>
      <c r="H1428" s="2" t="s">
        <v>1693</v>
      </c>
      <c r="I1428" s="2" t="n">
        <v>3</v>
      </c>
    </row>
    <row r="1429" customFormat="false" ht="15" hidden="false" customHeight="false" outlineLevel="0" collapsed="false">
      <c r="A1429" s="2" t="s">
        <v>1119</v>
      </c>
      <c r="B1429" s="2" t="s">
        <v>262</v>
      </c>
      <c r="C1429" s="2" t="n">
        <v>2.5</v>
      </c>
      <c r="D1429" s="2" t="s">
        <v>54</v>
      </c>
      <c r="E1429" s="2" t="s">
        <v>2740</v>
      </c>
      <c r="F1429" s="2" t="n">
        <v>1.25</v>
      </c>
      <c r="G1429" s="2" t="n">
        <v>3.75</v>
      </c>
      <c r="H1429" s="2" t="s">
        <v>1689</v>
      </c>
      <c r="I1429" s="2" t="n">
        <v>4</v>
      </c>
    </row>
    <row r="1430" customFormat="false" ht="15" hidden="false" customHeight="false" outlineLevel="0" collapsed="false">
      <c r="A1430" s="2" t="s">
        <v>1119</v>
      </c>
      <c r="B1430" s="2" t="s">
        <v>377</v>
      </c>
      <c r="C1430" s="2" t="n">
        <v>1</v>
      </c>
      <c r="D1430" s="2" t="s">
        <v>54</v>
      </c>
      <c r="E1430" s="2" t="s">
        <v>2741</v>
      </c>
      <c r="F1430" s="2" t="n">
        <v>0.5</v>
      </c>
      <c r="G1430" s="2" t="n">
        <v>1.5</v>
      </c>
      <c r="H1430" s="2" t="s">
        <v>1700</v>
      </c>
      <c r="I1430" s="2" t="n">
        <v>5</v>
      </c>
    </row>
    <row r="1431" customFormat="false" ht="15" hidden="false" customHeight="false" outlineLevel="0" collapsed="false">
      <c r="A1431" s="2" t="s">
        <v>1119</v>
      </c>
      <c r="B1431" s="2" t="s">
        <v>201</v>
      </c>
      <c r="C1431" s="2" t="n">
        <v>1</v>
      </c>
      <c r="D1431" s="2" t="s">
        <v>1687</v>
      </c>
      <c r="E1431" s="2" t="s">
        <v>2731</v>
      </c>
      <c r="F1431" s="2"/>
      <c r="G1431" s="2" t="n">
        <v>2</v>
      </c>
      <c r="H1431" s="2" t="s">
        <v>1689</v>
      </c>
      <c r="I1431" s="2" t="n">
        <v>6</v>
      </c>
    </row>
    <row r="1432" customFormat="false" ht="15" hidden="false" customHeight="false" outlineLevel="0" collapsed="false">
      <c r="A1432" s="2" t="s">
        <v>1119</v>
      </c>
      <c r="B1432" s="2" t="s">
        <v>238</v>
      </c>
      <c r="C1432" s="2" t="n">
        <v>80</v>
      </c>
      <c r="D1432" s="2" t="s">
        <v>54</v>
      </c>
      <c r="E1432" s="2" t="s">
        <v>2742</v>
      </c>
      <c r="F1432" s="2" t="n">
        <v>40</v>
      </c>
      <c r="G1432" s="2" t="n">
        <v>120</v>
      </c>
      <c r="H1432" s="2" t="s">
        <v>1689</v>
      </c>
      <c r="I1432" s="2" t="n">
        <v>7</v>
      </c>
    </row>
    <row r="1433" customFormat="false" ht="15" hidden="false" customHeight="false" outlineLevel="0" collapsed="false">
      <c r="A1433" s="2" t="s">
        <v>1119</v>
      </c>
      <c r="B1433" s="2" t="s">
        <v>373</v>
      </c>
      <c r="C1433" s="2" t="n">
        <v>20</v>
      </c>
      <c r="D1433" s="2" t="s">
        <v>54</v>
      </c>
      <c r="E1433" s="2" t="s">
        <v>2743</v>
      </c>
      <c r="F1433" s="2" t="n">
        <v>10</v>
      </c>
      <c r="G1433" s="2" t="n">
        <v>30</v>
      </c>
      <c r="H1433" s="2" t="s">
        <v>1700</v>
      </c>
      <c r="I1433" s="2" t="n">
        <v>8</v>
      </c>
    </row>
    <row r="1434" customFormat="false" ht="15" hidden="false" customHeight="false" outlineLevel="0" collapsed="false">
      <c r="A1434" s="2" t="s">
        <v>1119</v>
      </c>
      <c r="B1434" s="2" t="s">
        <v>375</v>
      </c>
      <c r="C1434" s="2" t="n">
        <v>1</v>
      </c>
      <c r="D1434" s="2" t="s">
        <v>1687</v>
      </c>
      <c r="E1434" s="2" t="s">
        <v>2744</v>
      </c>
      <c r="F1434" s="2"/>
      <c r="G1434" s="2" t="n">
        <v>2</v>
      </c>
      <c r="H1434" s="2" t="s">
        <v>1689</v>
      </c>
      <c r="I1434" s="2" t="n">
        <v>9</v>
      </c>
    </row>
    <row r="1435" customFormat="false" ht="15" hidden="false" customHeight="false" outlineLevel="0" collapsed="false">
      <c r="A1435" s="2" t="s">
        <v>1123</v>
      </c>
      <c r="B1435" s="2" t="s">
        <v>221</v>
      </c>
      <c r="C1435" s="2" t="n">
        <v>90</v>
      </c>
      <c r="D1435" s="2" t="s">
        <v>54</v>
      </c>
      <c r="E1435" s="2" t="s">
        <v>2745</v>
      </c>
      <c r="F1435" s="2" t="n">
        <v>45</v>
      </c>
      <c r="G1435" s="2" t="n">
        <v>135</v>
      </c>
      <c r="H1435" s="2" t="s">
        <v>1693</v>
      </c>
      <c r="I1435" s="2" t="n">
        <v>1</v>
      </c>
    </row>
    <row r="1436" customFormat="false" ht="15" hidden="false" customHeight="false" outlineLevel="0" collapsed="false">
      <c r="A1436" s="2" t="s">
        <v>1123</v>
      </c>
      <c r="B1436" s="2" t="s">
        <v>193</v>
      </c>
      <c r="C1436" s="2" t="n">
        <v>15</v>
      </c>
      <c r="D1436" s="2" t="s">
        <v>54</v>
      </c>
      <c r="E1436" s="2" t="s">
        <v>2739</v>
      </c>
      <c r="F1436" s="2" t="n">
        <v>7.5</v>
      </c>
      <c r="G1436" s="2" t="n">
        <v>22.5</v>
      </c>
      <c r="H1436" s="2" t="s">
        <v>1689</v>
      </c>
      <c r="I1436" s="2" t="n">
        <v>2</v>
      </c>
    </row>
    <row r="1437" customFormat="false" ht="15" hidden="false" customHeight="false" outlineLevel="0" collapsed="false">
      <c r="A1437" s="2" t="s">
        <v>1123</v>
      </c>
      <c r="B1437" s="2" t="s">
        <v>110</v>
      </c>
      <c r="C1437" s="2" t="n">
        <v>1</v>
      </c>
      <c r="D1437" s="2" t="s">
        <v>1687</v>
      </c>
      <c r="E1437" s="2" t="s">
        <v>2746</v>
      </c>
      <c r="F1437" s="2"/>
      <c r="G1437" s="2" t="n">
        <v>2</v>
      </c>
      <c r="H1437" s="2" t="s">
        <v>1693</v>
      </c>
      <c r="I1437" s="2" t="n">
        <v>3</v>
      </c>
    </row>
    <row r="1438" customFormat="false" ht="15" hidden="false" customHeight="false" outlineLevel="0" collapsed="false">
      <c r="A1438" s="2" t="s">
        <v>1123</v>
      </c>
      <c r="B1438" s="2" t="s">
        <v>464</v>
      </c>
      <c r="C1438" s="2" t="n">
        <v>20</v>
      </c>
      <c r="D1438" s="2" t="s">
        <v>54</v>
      </c>
      <c r="E1438" s="2" t="s">
        <v>2747</v>
      </c>
      <c r="F1438" s="2" t="n">
        <v>10</v>
      </c>
      <c r="G1438" s="2" t="n">
        <v>30</v>
      </c>
      <c r="H1438" s="2" t="s">
        <v>1693</v>
      </c>
      <c r="I1438" s="2" t="n">
        <v>4</v>
      </c>
    </row>
    <row r="1439" customFormat="false" ht="15" hidden="false" customHeight="false" outlineLevel="0" collapsed="false">
      <c r="A1439" s="2" t="s">
        <v>1123</v>
      </c>
      <c r="B1439" s="2" t="s">
        <v>174</v>
      </c>
      <c r="C1439" s="2" t="n">
        <v>10</v>
      </c>
      <c r="D1439" s="2" t="s">
        <v>54</v>
      </c>
      <c r="E1439" s="2" t="s">
        <v>2748</v>
      </c>
      <c r="F1439" s="2" t="n">
        <v>5</v>
      </c>
      <c r="G1439" s="2" t="n">
        <v>15</v>
      </c>
      <c r="H1439" s="2" t="s">
        <v>1700</v>
      </c>
      <c r="I1439" s="2" t="n">
        <v>5</v>
      </c>
    </row>
    <row r="1440" customFormat="false" ht="15" hidden="false" customHeight="false" outlineLevel="0" collapsed="false">
      <c r="A1440" s="2" t="s">
        <v>1123</v>
      </c>
      <c r="B1440" s="2" t="s">
        <v>201</v>
      </c>
      <c r="C1440" s="2" t="n">
        <v>1</v>
      </c>
      <c r="D1440" s="2" t="s">
        <v>1687</v>
      </c>
      <c r="E1440" s="2" t="s">
        <v>2731</v>
      </c>
      <c r="F1440" s="2"/>
      <c r="G1440" s="2" t="n">
        <v>2</v>
      </c>
      <c r="H1440" s="2" t="s">
        <v>1689</v>
      </c>
      <c r="I1440" s="2" t="n">
        <v>6</v>
      </c>
    </row>
    <row r="1441" customFormat="false" ht="15" hidden="false" customHeight="false" outlineLevel="0" collapsed="false">
      <c r="A1441" s="2" t="s">
        <v>1123</v>
      </c>
      <c r="B1441" s="2" t="s">
        <v>301</v>
      </c>
      <c r="C1441" s="2" t="n">
        <v>5</v>
      </c>
      <c r="D1441" s="2" t="s">
        <v>54</v>
      </c>
      <c r="E1441" s="2" t="s">
        <v>2749</v>
      </c>
      <c r="F1441" s="2" t="n">
        <v>2.5</v>
      </c>
      <c r="G1441" s="2" t="n">
        <v>7.5</v>
      </c>
      <c r="H1441" s="2" t="s">
        <v>1689</v>
      </c>
      <c r="I1441" s="2" t="n">
        <v>7</v>
      </c>
    </row>
    <row r="1442" customFormat="false" ht="15" hidden="false" customHeight="false" outlineLevel="0" collapsed="false">
      <c r="A1442" s="2" t="s">
        <v>1123</v>
      </c>
      <c r="B1442" s="2" t="s">
        <v>524</v>
      </c>
      <c r="C1442" s="2" t="n">
        <v>2</v>
      </c>
      <c r="D1442" s="2" t="s">
        <v>54</v>
      </c>
      <c r="E1442" s="2" t="s">
        <v>2735</v>
      </c>
      <c r="F1442" s="2" t="n">
        <v>1</v>
      </c>
      <c r="G1442" s="2" t="n">
        <v>3</v>
      </c>
      <c r="H1442" s="2" t="s">
        <v>1689</v>
      </c>
      <c r="I1442" s="2" t="n">
        <v>8</v>
      </c>
    </row>
    <row r="1443" customFormat="false" ht="15" hidden="false" customHeight="false" outlineLevel="0" collapsed="false">
      <c r="A1443" s="2" t="s">
        <v>1127</v>
      </c>
      <c r="B1443" s="2" t="s">
        <v>221</v>
      </c>
      <c r="C1443" s="2" t="n">
        <v>90</v>
      </c>
      <c r="D1443" s="2" t="s">
        <v>54</v>
      </c>
      <c r="E1443" s="2" t="s">
        <v>2750</v>
      </c>
      <c r="F1443" s="2" t="n">
        <v>45</v>
      </c>
      <c r="G1443" s="2" t="n">
        <v>135</v>
      </c>
      <c r="H1443" s="2" t="s">
        <v>1693</v>
      </c>
      <c r="I1443" s="2" t="n">
        <v>1</v>
      </c>
    </row>
    <row r="1444" customFormat="false" ht="15" hidden="false" customHeight="false" outlineLevel="0" collapsed="false">
      <c r="A1444" s="2" t="s">
        <v>1127</v>
      </c>
      <c r="B1444" s="2" t="s">
        <v>247</v>
      </c>
      <c r="C1444" s="2" t="n">
        <v>15</v>
      </c>
      <c r="D1444" s="2" t="s">
        <v>54</v>
      </c>
      <c r="E1444" s="2" t="s">
        <v>2751</v>
      </c>
      <c r="F1444" s="2" t="n">
        <v>7.5</v>
      </c>
      <c r="G1444" s="2" t="n">
        <v>22.5</v>
      </c>
      <c r="H1444" s="2" t="s">
        <v>1689</v>
      </c>
      <c r="I1444" s="2" t="n">
        <v>2</v>
      </c>
    </row>
    <row r="1445" customFormat="false" ht="15" hidden="false" customHeight="false" outlineLevel="0" collapsed="false">
      <c r="A1445" s="2" t="s">
        <v>1127</v>
      </c>
      <c r="B1445" s="2" t="s">
        <v>110</v>
      </c>
      <c r="C1445" s="2" t="n">
        <v>1</v>
      </c>
      <c r="D1445" s="2" t="s">
        <v>1687</v>
      </c>
      <c r="E1445" s="2" t="s">
        <v>2746</v>
      </c>
      <c r="F1445" s="2"/>
      <c r="G1445" s="2" t="n">
        <v>2</v>
      </c>
      <c r="H1445" s="2" t="s">
        <v>1693</v>
      </c>
      <c r="I1445" s="2" t="n">
        <v>3</v>
      </c>
    </row>
    <row r="1446" customFormat="false" ht="15" hidden="false" customHeight="false" outlineLevel="0" collapsed="false">
      <c r="A1446" s="2" t="s">
        <v>1127</v>
      </c>
      <c r="B1446" s="2" t="s">
        <v>201</v>
      </c>
      <c r="C1446" s="2" t="n">
        <v>1</v>
      </c>
      <c r="D1446" s="2" t="s">
        <v>1687</v>
      </c>
      <c r="E1446" s="2" t="s">
        <v>2731</v>
      </c>
      <c r="F1446" s="2"/>
      <c r="G1446" s="2" t="n">
        <v>2</v>
      </c>
      <c r="H1446" s="2" t="s">
        <v>1689</v>
      </c>
      <c r="I1446" s="2" t="n">
        <v>4</v>
      </c>
    </row>
    <row r="1447" customFormat="false" ht="15" hidden="false" customHeight="false" outlineLevel="0" collapsed="false">
      <c r="A1447" s="2" t="s">
        <v>1127</v>
      </c>
      <c r="B1447" s="2" t="s">
        <v>373</v>
      </c>
      <c r="C1447" s="2" t="n">
        <v>20</v>
      </c>
      <c r="D1447" s="2" t="s">
        <v>54</v>
      </c>
      <c r="E1447" s="2" t="s">
        <v>2752</v>
      </c>
      <c r="F1447" s="2" t="n">
        <v>10</v>
      </c>
      <c r="G1447" s="2" t="n">
        <v>30</v>
      </c>
      <c r="H1447" s="2" t="s">
        <v>1700</v>
      </c>
      <c r="I1447" s="2" t="n">
        <v>5</v>
      </c>
    </row>
    <row r="1448" customFormat="false" ht="15" hidden="false" customHeight="false" outlineLevel="0" collapsed="false">
      <c r="A1448" s="2" t="s">
        <v>1127</v>
      </c>
      <c r="B1448" s="2" t="s">
        <v>394</v>
      </c>
      <c r="C1448" s="2" t="n">
        <v>1</v>
      </c>
      <c r="D1448" s="2" t="s">
        <v>54</v>
      </c>
      <c r="E1448" s="2" t="s">
        <v>2753</v>
      </c>
      <c r="F1448" s="2" t="n">
        <v>0.5</v>
      </c>
      <c r="G1448" s="2" t="n">
        <v>1.5</v>
      </c>
      <c r="H1448" s="2" t="s">
        <v>1689</v>
      </c>
      <c r="I1448" s="2" t="n">
        <v>6</v>
      </c>
    </row>
    <row r="1449" customFormat="false" ht="15" hidden="false" customHeight="false" outlineLevel="0" collapsed="false">
      <c r="A1449" s="2" t="s">
        <v>1131</v>
      </c>
      <c r="B1449" s="2" t="s">
        <v>185</v>
      </c>
      <c r="C1449" s="2" t="n">
        <v>150</v>
      </c>
      <c r="D1449" s="2" t="s">
        <v>54</v>
      </c>
      <c r="E1449" s="2" t="s">
        <v>2754</v>
      </c>
      <c r="F1449" s="2" t="n">
        <v>75</v>
      </c>
      <c r="G1449" s="2" t="n">
        <v>225</v>
      </c>
      <c r="H1449" s="2" t="s">
        <v>1693</v>
      </c>
      <c r="I1449" s="2" t="n">
        <v>1</v>
      </c>
    </row>
    <row r="1450" customFormat="false" ht="15" hidden="false" customHeight="false" outlineLevel="0" collapsed="false">
      <c r="A1450" s="2" t="s">
        <v>1131</v>
      </c>
      <c r="B1450" s="2" t="s">
        <v>163</v>
      </c>
      <c r="C1450" s="2" t="n">
        <v>20</v>
      </c>
      <c r="D1450" s="2" t="s">
        <v>54</v>
      </c>
      <c r="E1450" s="2" t="s">
        <v>2755</v>
      </c>
      <c r="F1450" s="2" t="n">
        <v>10</v>
      </c>
      <c r="G1450" s="2" t="n">
        <v>30</v>
      </c>
      <c r="H1450" s="2" t="s">
        <v>1689</v>
      </c>
      <c r="I1450" s="2" t="n">
        <v>2</v>
      </c>
    </row>
    <row r="1451" customFormat="false" ht="15" hidden="false" customHeight="false" outlineLevel="0" collapsed="false">
      <c r="A1451" s="2" t="s">
        <v>1131</v>
      </c>
      <c r="B1451" s="2" t="s">
        <v>373</v>
      </c>
      <c r="C1451" s="2" t="n">
        <v>10</v>
      </c>
      <c r="D1451" s="2" t="s">
        <v>54</v>
      </c>
      <c r="E1451" s="2" t="s">
        <v>2756</v>
      </c>
      <c r="F1451" s="2" t="n">
        <v>5</v>
      </c>
      <c r="G1451" s="2" t="n">
        <v>15</v>
      </c>
      <c r="H1451" s="2" t="s">
        <v>1700</v>
      </c>
      <c r="I1451" s="2" t="n">
        <v>3</v>
      </c>
    </row>
    <row r="1452" customFormat="false" ht="15" hidden="false" customHeight="false" outlineLevel="0" collapsed="false">
      <c r="A1452" s="2" t="s">
        <v>1131</v>
      </c>
      <c r="B1452" s="2" t="s">
        <v>201</v>
      </c>
      <c r="C1452" s="2" t="n">
        <v>1</v>
      </c>
      <c r="D1452" s="2" t="s">
        <v>1687</v>
      </c>
      <c r="E1452" s="2" t="s">
        <v>2731</v>
      </c>
      <c r="F1452" s="2"/>
      <c r="G1452" s="2" t="n">
        <v>2</v>
      </c>
      <c r="H1452" s="2" t="s">
        <v>1689</v>
      </c>
      <c r="I1452" s="2" t="n">
        <v>4</v>
      </c>
    </row>
    <row r="1453" customFormat="false" ht="15" hidden="false" customHeight="false" outlineLevel="0" collapsed="false">
      <c r="A1453" s="2" t="s">
        <v>1131</v>
      </c>
      <c r="B1453" s="2" t="s">
        <v>314</v>
      </c>
      <c r="C1453" s="2" t="n">
        <v>1</v>
      </c>
      <c r="D1453" s="2" t="s">
        <v>54</v>
      </c>
      <c r="E1453" s="2" t="s">
        <v>2757</v>
      </c>
      <c r="F1453" s="2" t="n">
        <v>0.5</v>
      </c>
      <c r="G1453" s="2" t="n">
        <v>1.5</v>
      </c>
      <c r="H1453" s="2" t="s">
        <v>1689</v>
      </c>
      <c r="I1453" s="2" t="n">
        <v>5</v>
      </c>
    </row>
    <row r="1454" customFormat="false" ht="15" hidden="false" customHeight="false" outlineLevel="0" collapsed="false">
      <c r="A1454" s="2" t="s">
        <v>1131</v>
      </c>
      <c r="B1454" s="2" t="s">
        <v>394</v>
      </c>
      <c r="C1454" s="2" t="n">
        <v>1</v>
      </c>
      <c r="D1454" s="2" t="s">
        <v>54</v>
      </c>
      <c r="E1454" s="2" t="s">
        <v>2758</v>
      </c>
      <c r="F1454" s="2" t="n">
        <v>0.5</v>
      </c>
      <c r="G1454" s="2" t="n">
        <v>1.5</v>
      </c>
      <c r="H1454" s="2" t="s">
        <v>1689</v>
      </c>
      <c r="I1454" s="2" t="n">
        <v>6</v>
      </c>
    </row>
    <row r="1455" customFormat="false" ht="15" hidden="false" customHeight="false" outlineLevel="0" collapsed="false">
      <c r="A1455" s="2" t="s">
        <v>1135</v>
      </c>
      <c r="B1455" s="2" t="s">
        <v>221</v>
      </c>
      <c r="C1455" s="2" t="n">
        <v>90</v>
      </c>
      <c r="D1455" s="2" t="s">
        <v>54</v>
      </c>
      <c r="E1455" s="2" t="s">
        <v>2759</v>
      </c>
      <c r="F1455" s="2" t="n">
        <v>45</v>
      </c>
      <c r="G1455" s="2" t="n">
        <v>135</v>
      </c>
      <c r="H1455" s="2" t="s">
        <v>1693</v>
      </c>
      <c r="I1455" s="2" t="n">
        <v>1</v>
      </c>
    </row>
    <row r="1456" customFormat="false" ht="15" hidden="false" customHeight="false" outlineLevel="0" collapsed="false">
      <c r="A1456" s="2" t="s">
        <v>1135</v>
      </c>
      <c r="B1456" s="2" t="s">
        <v>502</v>
      </c>
      <c r="C1456" s="2" t="n">
        <v>25</v>
      </c>
      <c r="D1456" s="2" t="s">
        <v>54</v>
      </c>
      <c r="E1456" s="2" t="s">
        <v>2760</v>
      </c>
      <c r="F1456" s="2" t="n">
        <v>12.5</v>
      </c>
      <c r="G1456" s="2" t="n">
        <v>37.5</v>
      </c>
      <c r="H1456" s="2" t="s">
        <v>1689</v>
      </c>
      <c r="I1456" s="2" t="n">
        <v>2</v>
      </c>
    </row>
    <row r="1457" customFormat="false" ht="15" hidden="false" customHeight="false" outlineLevel="0" collapsed="false">
      <c r="A1457" s="2" t="s">
        <v>1135</v>
      </c>
      <c r="B1457" s="2" t="s">
        <v>148</v>
      </c>
      <c r="C1457" s="2" t="n">
        <v>25</v>
      </c>
      <c r="D1457" s="2" t="s">
        <v>54</v>
      </c>
      <c r="E1457" s="2" t="s">
        <v>2761</v>
      </c>
      <c r="F1457" s="2" t="n">
        <v>12.5</v>
      </c>
      <c r="G1457" s="2" t="n">
        <v>37.5</v>
      </c>
      <c r="H1457" s="2" t="s">
        <v>1693</v>
      </c>
      <c r="I1457" s="2" t="n">
        <v>3</v>
      </c>
    </row>
    <row r="1458" customFormat="false" ht="15" hidden="false" customHeight="false" outlineLevel="0" collapsed="false">
      <c r="A1458" s="2" t="s">
        <v>1135</v>
      </c>
      <c r="B1458" s="2" t="s">
        <v>373</v>
      </c>
      <c r="C1458" s="2" t="n">
        <v>15</v>
      </c>
      <c r="D1458" s="2" t="s">
        <v>54</v>
      </c>
      <c r="E1458" s="2" t="s">
        <v>2762</v>
      </c>
      <c r="F1458" s="2" t="n">
        <v>7.5</v>
      </c>
      <c r="G1458" s="2" t="n">
        <v>22.5</v>
      </c>
      <c r="H1458" s="2" t="s">
        <v>1700</v>
      </c>
      <c r="I1458" s="2" t="n">
        <v>4</v>
      </c>
    </row>
    <row r="1459" customFormat="false" ht="15" hidden="false" customHeight="false" outlineLevel="0" collapsed="false">
      <c r="A1459" s="2" t="s">
        <v>1135</v>
      </c>
      <c r="B1459" s="2" t="s">
        <v>271</v>
      </c>
      <c r="C1459" s="2" t="n">
        <v>1.25</v>
      </c>
      <c r="D1459" s="2" t="s">
        <v>54</v>
      </c>
      <c r="E1459" s="2" t="s">
        <v>2763</v>
      </c>
      <c r="F1459" s="2" t="n">
        <v>0.62</v>
      </c>
      <c r="G1459" s="2" t="n">
        <v>1.88</v>
      </c>
      <c r="H1459" s="2" t="s">
        <v>1689</v>
      </c>
      <c r="I1459" s="2" t="n">
        <v>5</v>
      </c>
    </row>
    <row r="1460" customFormat="false" ht="15" hidden="false" customHeight="false" outlineLevel="0" collapsed="false">
      <c r="A1460" s="2" t="s">
        <v>1135</v>
      </c>
      <c r="B1460" s="2" t="s">
        <v>201</v>
      </c>
      <c r="C1460" s="2" t="n">
        <v>1</v>
      </c>
      <c r="D1460" s="2" t="s">
        <v>1687</v>
      </c>
      <c r="E1460" s="2" t="s">
        <v>2731</v>
      </c>
      <c r="F1460" s="2"/>
      <c r="G1460" s="2" t="n">
        <v>2</v>
      </c>
      <c r="H1460" s="2" t="s">
        <v>1689</v>
      </c>
      <c r="I1460" s="2" t="n">
        <v>6</v>
      </c>
    </row>
    <row r="1461" customFormat="false" ht="15" hidden="false" customHeight="false" outlineLevel="0" collapsed="false">
      <c r="A1461" s="2" t="s">
        <v>1135</v>
      </c>
      <c r="B1461" s="2" t="s">
        <v>117</v>
      </c>
      <c r="C1461" s="2" t="n">
        <v>0.25</v>
      </c>
      <c r="D1461" s="2" t="s">
        <v>1687</v>
      </c>
      <c r="E1461" s="2" t="s">
        <v>2558</v>
      </c>
      <c r="F1461" s="2"/>
      <c r="G1461" s="2" t="n">
        <v>1.25</v>
      </c>
      <c r="H1461" s="2" t="s">
        <v>1700</v>
      </c>
      <c r="I1461" s="2" t="n">
        <v>7</v>
      </c>
    </row>
    <row r="1462" customFormat="false" ht="15" hidden="false" customHeight="false" outlineLevel="0" collapsed="false">
      <c r="A1462" s="2" t="s">
        <v>1135</v>
      </c>
      <c r="B1462" s="2" t="s">
        <v>394</v>
      </c>
      <c r="C1462" s="2" t="n">
        <v>1</v>
      </c>
      <c r="D1462" s="2" t="s">
        <v>54</v>
      </c>
      <c r="E1462" s="2" t="s">
        <v>2764</v>
      </c>
      <c r="F1462" s="2" t="n">
        <v>0.5</v>
      </c>
      <c r="G1462" s="2" t="n">
        <v>1.5</v>
      </c>
      <c r="H1462" s="2" t="s">
        <v>1689</v>
      </c>
      <c r="I1462" s="2" t="n">
        <v>8</v>
      </c>
    </row>
    <row r="1463" customFormat="false" ht="15" hidden="false" customHeight="false" outlineLevel="0" collapsed="false">
      <c r="A1463" s="2" t="s">
        <v>1139</v>
      </c>
      <c r="B1463" s="2" t="s">
        <v>353</v>
      </c>
      <c r="C1463" s="2" t="n">
        <v>70</v>
      </c>
      <c r="D1463" s="2" t="s">
        <v>54</v>
      </c>
      <c r="E1463" s="2" t="s">
        <v>2765</v>
      </c>
      <c r="F1463" s="2" t="n">
        <v>35</v>
      </c>
      <c r="G1463" s="2" t="n">
        <v>105</v>
      </c>
      <c r="H1463" s="2" t="s">
        <v>1693</v>
      </c>
      <c r="I1463" s="2" t="n">
        <v>1</v>
      </c>
    </row>
    <row r="1464" customFormat="false" ht="15" hidden="false" customHeight="false" outlineLevel="0" collapsed="false">
      <c r="A1464" s="2" t="s">
        <v>1139</v>
      </c>
      <c r="B1464" s="2" t="s">
        <v>353</v>
      </c>
      <c r="C1464" s="2" t="n">
        <v>35</v>
      </c>
      <c r="D1464" s="2" t="s">
        <v>54</v>
      </c>
      <c r="E1464" s="2" t="s">
        <v>2766</v>
      </c>
      <c r="F1464" s="2" t="n">
        <v>17.5</v>
      </c>
      <c r="G1464" s="2" t="n">
        <v>52.5</v>
      </c>
      <c r="H1464" s="2" t="s">
        <v>1693</v>
      </c>
      <c r="I1464" s="2" t="n">
        <v>2</v>
      </c>
    </row>
    <row r="1465" customFormat="false" ht="15" hidden="false" customHeight="false" outlineLevel="0" collapsed="false">
      <c r="A1465" s="2" t="s">
        <v>1139</v>
      </c>
      <c r="B1465" s="2" t="s">
        <v>339</v>
      </c>
      <c r="C1465" s="2" t="n">
        <v>30</v>
      </c>
      <c r="D1465" s="2" t="s">
        <v>54</v>
      </c>
      <c r="E1465" s="2" t="s">
        <v>2767</v>
      </c>
      <c r="F1465" s="2" t="n">
        <v>15</v>
      </c>
      <c r="G1465" s="2" t="n">
        <v>45</v>
      </c>
      <c r="H1465" s="2" t="s">
        <v>1689</v>
      </c>
      <c r="I1465" s="2" t="n">
        <v>3</v>
      </c>
    </row>
    <row r="1466" customFormat="false" ht="15" hidden="false" customHeight="false" outlineLevel="0" collapsed="false">
      <c r="A1466" s="2" t="s">
        <v>1139</v>
      </c>
      <c r="B1466" s="2" t="s">
        <v>422</v>
      </c>
      <c r="C1466" s="2" t="n">
        <v>30</v>
      </c>
      <c r="D1466" s="2" t="s">
        <v>54</v>
      </c>
      <c r="E1466" s="2" t="s">
        <v>2768</v>
      </c>
      <c r="F1466" s="2" t="n">
        <v>15</v>
      </c>
      <c r="G1466" s="2" t="n">
        <v>45</v>
      </c>
      <c r="H1466" s="2" t="s">
        <v>1689</v>
      </c>
      <c r="I1466" s="2" t="n">
        <v>4</v>
      </c>
    </row>
    <row r="1467" customFormat="false" ht="15" hidden="false" customHeight="false" outlineLevel="0" collapsed="false">
      <c r="A1467" s="2" t="s">
        <v>1139</v>
      </c>
      <c r="B1467" s="2" t="s">
        <v>409</v>
      </c>
      <c r="C1467" s="2" t="n">
        <v>20</v>
      </c>
      <c r="D1467" s="2" t="s">
        <v>54</v>
      </c>
      <c r="E1467" s="2" t="s">
        <v>2769</v>
      </c>
      <c r="F1467" s="2" t="n">
        <v>10</v>
      </c>
      <c r="G1467" s="2" t="n">
        <v>30</v>
      </c>
      <c r="H1467" s="2" t="s">
        <v>1689</v>
      </c>
      <c r="I1467" s="2" t="n">
        <v>5</v>
      </c>
    </row>
    <row r="1468" customFormat="false" ht="15" hidden="false" customHeight="false" outlineLevel="0" collapsed="false">
      <c r="A1468" s="2" t="s">
        <v>1139</v>
      </c>
      <c r="B1468" s="2" t="s">
        <v>312</v>
      </c>
      <c r="C1468" s="2" t="n">
        <v>1</v>
      </c>
      <c r="D1468" s="2" t="s">
        <v>1687</v>
      </c>
      <c r="E1468" s="2" t="s">
        <v>2607</v>
      </c>
      <c r="F1468" s="2"/>
      <c r="G1468" s="2" t="n">
        <v>2</v>
      </c>
      <c r="H1468" s="2" t="s">
        <v>1689</v>
      </c>
      <c r="I1468" s="2" t="n">
        <v>6</v>
      </c>
    </row>
    <row r="1469" customFormat="false" ht="15" hidden="false" customHeight="false" outlineLevel="0" collapsed="false">
      <c r="A1469" s="2" t="s">
        <v>1139</v>
      </c>
      <c r="B1469" s="2" t="s">
        <v>271</v>
      </c>
      <c r="C1469" s="2" t="n">
        <v>1.25</v>
      </c>
      <c r="D1469" s="2" t="s">
        <v>54</v>
      </c>
      <c r="E1469" s="2" t="s">
        <v>2770</v>
      </c>
      <c r="F1469" s="2" t="n">
        <v>0.62</v>
      </c>
      <c r="G1469" s="2" t="n">
        <v>1.88</v>
      </c>
      <c r="H1469" s="2" t="s">
        <v>1689</v>
      </c>
      <c r="I1469" s="2" t="n">
        <v>7</v>
      </c>
    </row>
    <row r="1470" customFormat="false" ht="15" hidden="false" customHeight="false" outlineLevel="0" collapsed="false">
      <c r="A1470" s="2" t="s">
        <v>1139</v>
      </c>
      <c r="B1470" s="2" t="s">
        <v>201</v>
      </c>
      <c r="C1470" s="2" t="n">
        <v>1</v>
      </c>
      <c r="D1470" s="2" t="s">
        <v>1687</v>
      </c>
      <c r="E1470" s="2" t="s">
        <v>2731</v>
      </c>
      <c r="F1470" s="2"/>
      <c r="G1470" s="2" t="n">
        <v>2</v>
      </c>
      <c r="H1470" s="2" t="s">
        <v>1689</v>
      </c>
      <c r="I1470" s="2" t="n">
        <v>8</v>
      </c>
    </row>
    <row r="1471" customFormat="false" ht="15" hidden="false" customHeight="false" outlineLevel="0" collapsed="false">
      <c r="A1471" s="2" t="s">
        <v>1139</v>
      </c>
      <c r="B1471" s="2" t="s">
        <v>462</v>
      </c>
      <c r="C1471" s="2" t="n">
        <v>15</v>
      </c>
      <c r="D1471" s="2" t="s">
        <v>54</v>
      </c>
      <c r="E1471" s="2" t="s">
        <v>2500</v>
      </c>
      <c r="F1471" s="2" t="n">
        <v>7.5</v>
      </c>
      <c r="G1471" s="2" t="n">
        <v>22.5</v>
      </c>
      <c r="H1471" s="2" t="s">
        <v>1693</v>
      </c>
      <c r="I1471" s="2" t="n">
        <v>9</v>
      </c>
    </row>
    <row r="1472" customFormat="false" ht="15" hidden="false" customHeight="false" outlineLevel="0" collapsed="false">
      <c r="A1472" s="2" t="s">
        <v>1139</v>
      </c>
      <c r="B1472" s="2" t="s">
        <v>373</v>
      </c>
      <c r="C1472" s="2" t="n">
        <v>15</v>
      </c>
      <c r="D1472" s="2" t="s">
        <v>54</v>
      </c>
      <c r="E1472" s="2" t="s">
        <v>2762</v>
      </c>
      <c r="F1472" s="2" t="n">
        <v>7.5</v>
      </c>
      <c r="G1472" s="2" t="n">
        <v>22.5</v>
      </c>
      <c r="H1472" s="2" t="s">
        <v>1700</v>
      </c>
      <c r="I1472" s="2" t="n">
        <v>10</v>
      </c>
    </row>
    <row r="1473" customFormat="false" ht="15" hidden="false" customHeight="false" outlineLevel="0" collapsed="false">
      <c r="A1473" s="2" t="s">
        <v>1139</v>
      </c>
      <c r="B1473" s="2" t="s">
        <v>394</v>
      </c>
      <c r="C1473" s="2" t="n">
        <v>1</v>
      </c>
      <c r="D1473" s="2" t="s">
        <v>54</v>
      </c>
      <c r="E1473" s="2" t="s">
        <v>2764</v>
      </c>
      <c r="F1473" s="2" t="n">
        <v>0.5</v>
      </c>
      <c r="G1473" s="2" t="n">
        <v>1.5</v>
      </c>
      <c r="H1473" s="2" t="s">
        <v>1689</v>
      </c>
      <c r="I1473" s="2" t="n">
        <v>11</v>
      </c>
    </row>
    <row r="1474" customFormat="false" ht="15" hidden="false" customHeight="false" outlineLevel="0" collapsed="false">
      <c r="A1474" s="2" t="s">
        <v>1143</v>
      </c>
      <c r="B1474" s="2" t="s">
        <v>341</v>
      </c>
      <c r="C1474" s="2" t="n">
        <v>130</v>
      </c>
      <c r="D1474" s="2" t="s">
        <v>54</v>
      </c>
      <c r="E1474" s="2" t="s">
        <v>2771</v>
      </c>
      <c r="F1474" s="2" t="n">
        <v>65</v>
      </c>
      <c r="G1474" s="2" t="n">
        <v>195</v>
      </c>
      <c r="H1474" s="2" t="s">
        <v>1693</v>
      </c>
      <c r="I1474" s="2" t="n">
        <v>1</v>
      </c>
    </row>
    <row r="1475" customFormat="false" ht="15" hidden="false" customHeight="false" outlineLevel="0" collapsed="false">
      <c r="A1475" s="2" t="s">
        <v>1143</v>
      </c>
      <c r="B1475" s="2" t="s">
        <v>148</v>
      </c>
      <c r="C1475" s="2" t="n">
        <v>30</v>
      </c>
      <c r="D1475" s="2" t="s">
        <v>54</v>
      </c>
      <c r="E1475" s="2" t="s">
        <v>2772</v>
      </c>
      <c r="F1475" s="2" t="n">
        <v>15</v>
      </c>
      <c r="G1475" s="2" t="n">
        <v>45</v>
      </c>
      <c r="H1475" s="2" t="s">
        <v>1693</v>
      </c>
      <c r="I1475" s="2" t="n">
        <v>2</v>
      </c>
    </row>
    <row r="1476" customFormat="false" ht="15" hidden="false" customHeight="false" outlineLevel="0" collapsed="false">
      <c r="A1476" s="2" t="s">
        <v>1143</v>
      </c>
      <c r="B1476" s="2" t="s">
        <v>262</v>
      </c>
      <c r="C1476" s="2" t="n">
        <v>2.5</v>
      </c>
      <c r="D1476" s="2" t="s">
        <v>54</v>
      </c>
      <c r="E1476" s="2" t="s">
        <v>2773</v>
      </c>
      <c r="F1476" s="2" t="n">
        <v>1.25</v>
      </c>
      <c r="G1476" s="2" t="n">
        <v>3.75</v>
      </c>
      <c r="H1476" s="2" t="s">
        <v>1689</v>
      </c>
      <c r="I1476" s="2" t="n">
        <v>3</v>
      </c>
    </row>
    <row r="1477" customFormat="false" ht="15" hidden="false" customHeight="false" outlineLevel="0" collapsed="false">
      <c r="A1477" s="2" t="s">
        <v>1143</v>
      </c>
      <c r="B1477" s="2" t="s">
        <v>452</v>
      </c>
      <c r="C1477" s="2" t="n">
        <v>6.75</v>
      </c>
      <c r="D1477" s="2" t="s">
        <v>54</v>
      </c>
      <c r="E1477" s="2" t="s">
        <v>2774</v>
      </c>
      <c r="F1477" s="2" t="n">
        <v>3.38</v>
      </c>
      <c r="G1477" s="2" t="n">
        <v>10.12</v>
      </c>
      <c r="H1477" s="2" t="s">
        <v>1700</v>
      </c>
      <c r="I1477" s="2" t="n">
        <v>4</v>
      </c>
    </row>
    <row r="1478" customFormat="false" ht="15" hidden="false" customHeight="false" outlineLevel="0" collapsed="false">
      <c r="A1478" s="2" t="s">
        <v>1143</v>
      </c>
      <c r="B1478" s="2" t="s">
        <v>409</v>
      </c>
      <c r="C1478" s="2" t="n">
        <v>40</v>
      </c>
      <c r="D1478" s="2" t="s">
        <v>54</v>
      </c>
      <c r="E1478" s="2" t="s">
        <v>2775</v>
      </c>
      <c r="F1478" s="2" t="n">
        <v>20</v>
      </c>
      <c r="G1478" s="2" t="n">
        <v>60</v>
      </c>
      <c r="H1478" s="2" t="s">
        <v>1689</v>
      </c>
      <c r="I1478" s="2" t="n">
        <v>5</v>
      </c>
    </row>
    <row r="1479" customFormat="false" ht="15" hidden="false" customHeight="false" outlineLevel="0" collapsed="false">
      <c r="A1479" s="2" t="s">
        <v>1143</v>
      </c>
      <c r="B1479" s="2" t="s">
        <v>312</v>
      </c>
      <c r="C1479" s="2" t="n">
        <v>2</v>
      </c>
      <c r="D1479" s="2" t="s">
        <v>1687</v>
      </c>
      <c r="E1479" s="2" t="s">
        <v>2776</v>
      </c>
      <c r="F1479" s="2" t="n">
        <v>1</v>
      </c>
      <c r="G1479" s="2" t="n">
        <v>3</v>
      </c>
      <c r="H1479" s="2" t="s">
        <v>1689</v>
      </c>
      <c r="I1479" s="2" t="n">
        <v>6</v>
      </c>
    </row>
    <row r="1480" customFormat="false" ht="15" hidden="false" customHeight="false" outlineLevel="0" collapsed="false">
      <c r="A1480" s="2" t="s">
        <v>1143</v>
      </c>
      <c r="B1480" s="2" t="s">
        <v>299</v>
      </c>
      <c r="C1480" s="2" t="n">
        <v>1</v>
      </c>
      <c r="D1480" s="2" t="s">
        <v>54</v>
      </c>
      <c r="E1480" s="2" t="s">
        <v>2777</v>
      </c>
      <c r="F1480" s="2"/>
      <c r="G1480" s="2" t="n">
        <v>2</v>
      </c>
      <c r="H1480" s="2" t="s">
        <v>1689</v>
      </c>
      <c r="I1480" s="2" t="n">
        <v>7</v>
      </c>
    </row>
    <row r="1481" customFormat="false" ht="15" hidden="false" customHeight="false" outlineLevel="0" collapsed="false">
      <c r="A1481" s="2" t="s">
        <v>1143</v>
      </c>
      <c r="B1481" s="2" t="s">
        <v>422</v>
      </c>
      <c r="C1481" s="2" t="n">
        <v>100</v>
      </c>
      <c r="D1481" s="2" t="s">
        <v>54</v>
      </c>
      <c r="E1481" s="2" t="s">
        <v>2778</v>
      </c>
      <c r="F1481" s="2" t="n">
        <v>50</v>
      </c>
      <c r="G1481" s="2" t="n">
        <v>150</v>
      </c>
      <c r="H1481" s="2" t="s">
        <v>1689</v>
      </c>
      <c r="I1481" s="2" t="n">
        <v>8</v>
      </c>
    </row>
    <row r="1482" customFormat="false" ht="15" hidden="false" customHeight="false" outlineLevel="0" collapsed="false">
      <c r="A1482" s="2" t="s">
        <v>1143</v>
      </c>
      <c r="B1482" s="2" t="s">
        <v>271</v>
      </c>
      <c r="C1482" s="2" t="n">
        <v>2.5</v>
      </c>
      <c r="D1482" s="2" t="s">
        <v>54</v>
      </c>
      <c r="E1482" s="2" t="s">
        <v>2779</v>
      </c>
      <c r="F1482" s="2" t="n">
        <v>1.25</v>
      </c>
      <c r="G1482" s="2" t="n">
        <v>3.75</v>
      </c>
      <c r="H1482" s="2" t="s">
        <v>1689</v>
      </c>
      <c r="I1482" s="2" t="n">
        <v>9</v>
      </c>
    </row>
    <row r="1483" customFormat="false" ht="15" hidden="false" customHeight="false" outlineLevel="0" collapsed="false">
      <c r="A1483" s="2" t="s">
        <v>1143</v>
      </c>
      <c r="B1483" s="2" t="s">
        <v>271</v>
      </c>
      <c r="C1483" s="2" t="n">
        <v>2.5</v>
      </c>
      <c r="D1483" s="2" t="s">
        <v>54</v>
      </c>
      <c r="E1483" s="2" t="s">
        <v>2722</v>
      </c>
      <c r="F1483" s="2" t="n">
        <v>1.25</v>
      </c>
      <c r="G1483" s="2" t="n">
        <v>3.75</v>
      </c>
      <c r="H1483" s="2" t="s">
        <v>1689</v>
      </c>
      <c r="I1483" s="2" t="n">
        <v>10</v>
      </c>
    </row>
    <row r="1484" customFormat="false" ht="15" hidden="false" customHeight="false" outlineLevel="0" collapsed="false">
      <c r="A1484" s="2" t="s">
        <v>1143</v>
      </c>
      <c r="B1484" s="2" t="s">
        <v>271</v>
      </c>
      <c r="C1484" s="2" t="n">
        <v>1.25</v>
      </c>
      <c r="D1484" s="2" t="s">
        <v>54</v>
      </c>
      <c r="E1484" s="2" t="s">
        <v>2780</v>
      </c>
      <c r="F1484" s="2" t="n">
        <v>0.62</v>
      </c>
      <c r="G1484" s="2" t="n">
        <v>1.88</v>
      </c>
      <c r="H1484" s="2" t="s">
        <v>1689</v>
      </c>
      <c r="I1484" s="2" t="n">
        <v>11</v>
      </c>
    </row>
    <row r="1485" customFormat="false" ht="15" hidden="false" customHeight="false" outlineLevel="0" collapsed="false">
      <c r="A1485" s="2" t="s">
        <v>1143</v>
      </c>
      <c r="B1485" s="2" t="s">
        <v>271</v>
      </c>
      <c r="C1485" s="2" t="n">
        <v>1.25</v>
      </c>
      <c r="D1485" s="2" t="s">
        <v>54</v>
      </c>
      <c r="E1485" s="2" t="s">
        <v>2781</v>
      </c>
      <c r="F1485" s="2" t="n">
        <v>0.62</v>
      </c>
      <c r="G1485" s="2" t="n">
        <v>1.88</v>
      </c>
      <c r="H1485" s="2" t="s">
        <v>1689</v>
      </c>
      <c r="I1485" s="2" t="n">
        <v>12</v>
      </c>
    </row>
    <row r="1486" customFormat="false" ht="15" hidden="false" customHeight="false" outlineLevel="0" collapsed="false">
      <c r="A1486" s="2" t="s">
        <v>1143</v>
      </c>
      <c r="B1486" s="2" t="s">
        <v>148</v>
      </c>
      <c r="C1486" s="2" t="n">
        <v>20</v>
      </c>
      <c r="D1486" s="2" t="s">
        <v>54</v>
      </c>
      <c r="E1486" s="2" t="s">
        <v>2782</v>
      </c>
      <c r="F1486" s="2" t="n">
        <v>10</v>
      </c>
      <c r="G1486" s="2" t="n">
        <v>30</v>
      </c>
      <c r="H1486" s="2" t="s">
        <v>1693</v>
      </c>
      <c r="I1486" s="2" t="n">
        <v>13</v>
      </c>
    </row>
    <row r="1487" customFormat="false" ht="15" hidden="false" customHeight="false" outlineLevel="0" collapsed="false">
      <c r="A1487" s="2" t="s">
        <v>1143</v>
      </c>
      <c r="B1487" s="2" t="s">
        <v>177</v>
      </c>
      <c r="C1487" s="2" t="n">
        <v>35</v>
      </c>
      <c r="D1487" s="2" t="s">
        <v>54</v>
      </c>
      <c r="E1487" s="2" t="s">
        <v>2783</v>
      </c>
      <c r="F1487" s="2" t="n">
        <v>17.5</v>
      </c>
      <c r="G1487" s="2" t="n">
        <v>52.5</v>
      </c>
      <c r="H1487" s="2" t="s">
        <v>1689</v>
      </c>
      <c r="I1487" s="2" t="n">
        <v>14</v>
      </c>
    </row>
    <row r="1488" customFormat="false" ht="15" hidden="false" customHeight="false" outlineLevel="0" collapsed="false">
      <c r="A1488" s="2" t="s">
        <v>1143</v>
      </c>
      <c r="B1488" s="2" t="s">
        <v>301</v>
      </c>
      <c r="C1488" s="2" t="n">
        <v>5</v>
      </c>
      <c r="D1488" s="2" t="s">
        <v>54</v>
      </c>
      <c r="E1488" s="2" t="s">
        <v>2784</v>
      </c>
      <c r="F1488" s="2" t="n">
        <v>2.5</v>
      </c>
      <c r="G1488" s="2" t="n">
        <v>7.5</v>
      </c>
      <c r="H1488" s="2" t="s">
        <v>1689</v>
      </c>
      <c r="I1488" s="2" t="n">
        <v>15</v>
      </c>
    </row>
    <row r="1489" customFormat="false" ht="15" hidden="false" customHeight="false" outlineLevel="0" collapsed="false">
      <c r="A1489" s="2" t="s">
        <v>1143</v>
      </c>
      <c r="B1489" s="2" t="s">
        <v>365</v>
      </c>
      <c r="C1489" s="2" t="n">
        <v>0.25</v>
      </c>
      <c r="D1489" s="2" t="s">
        <v>1687</v>
      </c>
      <c r="E1489" s="2" t="s">
        <v>2785</v>
      </c>
      <c r="F1489" s="2"/>
      <c r="G1489" s="2" t="n">
        <v>1.25</v>
      </c>
      <c r="H1489" s="2" t="s">
        <v>1689</v>
      </c>
      <c r="I1489" s="2" t="n">
        <v>16</v>
      </c>
    </row>
    <row r="1490" customFormat="false" ht="15" hidden="false" customHeight="false" outlineLevel="0" collapsed="false">
      <c r="A1490" s="2" t="s">
        <v>1147</v>
      </c>
      <c r="B1490" s="2" t="s">
        <v>359</v>
      </c>
      <c r="C1490" s="2" t="n">
        <v>100</v>
      </c>
      <c r="D1490" s="2" t="s">
        <v>54</v>
      </c>
      <c r="E1490" s="2" t="s">
        <v>2786</v>
      </c>
      <c r="F1490" s="2" t="n">
        <v>50</v>
      </c>
      <c r="G1490" s="2" t="n">
        <v>150</v>
      </c>
      <c r="H1490" s="2" t="s">
        <v>1693</v>
      </c>
      <c r="I1490" s="2" t="n">
        <v>1</v>
      </c>
    </row>
    <row r="1491" customFormat="false" ht="15" hidden="false" customHeight="false" outlineLevel="0" collapsed="false">
      <c r="A1491" s="2" t="s">
        <v>1147</v>
      </c>
      <c r="B1491" s="2" t="s">
        <v>498</v>
      </c>
      <c r="C1491" s="2" t="n">
        <v>200</v>
      </c>
      <c r="D1491" s="2" t="s">
        <v>54</v>
      </c>
      <c r="E1491" s="2" t="s">
        <v>2787</v>
      </c>
      <c r="F1491" s="2" t="n">
        <v>100</v>
      </c>
      <c r="G1491" s="2" t="n">
        <v>300</v>
      </c>
      <c r="H1491" s="2" t="s">
        <v>1693</v>
      </c>
      <c r="I1491" s="2" t="n">
        <v>2</v>
      </c>
    </row>
    <row r="1492" customFormat="false" ht="15" hidden="false" customHeight="false" outlineLevel="0" collapsed="false">
      <c r="A1492" s="2" t="s">
        <v>1147</v>
      </c>
      <c r="B1492" s="2" t="s">
        <v>409</v>
      </c>
      <c r="C1492" s="2" t="n">
        <v>40</v>
      </c>
      <c r="D1492" s="2" t="s">
        <v>54</v>
      </c>
      <c r="E1492" s="2" t="s">
        <v>2788</v>
      </c>
      <c r="F1492" s="2" t="n">
        <v>20</v>
      </c>
      <c r="G1492" s="2" t="n">
        <v>60</v>
      </c>
      <c r="H1492" s="2" t="s">
        <v>1689</v>
      </c>
      <c r="I1492" s="2" t="n">
        <v>3</v>
      </c>
    </row>
    <row r="1493" customFormat="false" ht="15" hidden="false" customHeight="false" outlineLevel="0" collapsed="false">
      <c r="A1493" s="2" t="s">
        <v>1147</v>
      </c>
      <c r="B1493" s="2" t="s">
        <v>312</v>
      </c>
      <c r="C1493" s="2" t="n">
        <v>2</v>
      </c>
      <c r="D1493" s="2" t="s">
        <v>1687</v>
      </c>
      <c r="E1493" s="2" t="s">
        <v>2776</v>
      </c>
      <c r="F1493" s="2" t="n">
        <v>1</v>
      </c>
      <c r="G1493" s="2" t="n">
        <v>3</v>
      </c>
      <c r="H1493" s="2" t="s">
        <v>1689</v>
      </c>
      <c r="I1493" s="2" t="n">
        <v>4</v>
      </c>
    </row>
    <row r="1494" customFormat="false" ht="15" hidden="false" customHeight="false" outlineLevel="0" collapsed="false">
      <c r="A1494" s="2" t="s">
        <v>1147</v>
      </c>
      <c r="B1494" s="2" t="s">
        <v>299</v>
      </c>
      <c r="C1494" s="2" t="n">
        <v>1</v>
      </c>
      <c r="D1494" s="2" t="s">
        <v>54</v>
      </c>
      <c r="E1494" s="2" t="s">
        <v>2777</v>
      </c>
      <c r="F1494" s="2"/>
      <c r="G1494" s="2" t="n">
        <v>2</v>
      </c>
      <c r="H1494" s="2" t="s">
        <v>1689</v>
      </c>
      <c r="I1494" s="2" t="n">
        <v>5</v>
      </c>
    </row>
    <row r="1495" customFormat="false" ht="15" hidden="false" customHeight="false" outlineLevel="0" collapsed="false">
      <c r="A1495" s="2" t="s">
        <v>1147</v>
      </c>
      <c r="B1495" s="2" t="s">
        <v>452</v>
      </c>
      <c r="C1495" s="2" t="n">
        <v>4.5</v>
      </c>
      <c r="D1495" s="2" t="s">
        <v>54</v>
      </c>
      <c r="E1495" s="2" t="s">
        <v>2789</v>
      </c>
      <c r="F1495" s="2" t="n">
        <v>2.25</v>
      </c>
      <c r="G1495" s="2" t="n">
        <v>6.75</v>
      </c>
      <c r="H1495" s="2" t="s">
        <v>1700</v>
      </c>
      <c r="I1495" s="2" t="n">
        <v>6</v>
      </c>
    </row>
    <row r="1496" customFormat="false" ht="15" hidden="false" customHeight="false" outlineLevel="0" collapsed="false">
      <c r="A1496" s="2" t="s">
        <v>1147</v>
      </c>
      <c r="B1496" s="2" t="s">
        <v>271</v>
      </c>
      <c r="C1496" s="2" t="n">
        <v>2.5</v>
      </c>
      <c r="D1496" s="2" t="s">
        <v>54</v>
      </c>
      <c r="E1496" s="2" t="s">
        <v>2779</v>
      </c>
      <c r="F1496" s="2" t="n">
        <v>1.25</v>
      </c>
      <c r="G1496" s="2" t="n">
        <v>3.75</v>
      </c>
      <c r="H1496" s="2" t="s">
        <v>1689</v>
      </c>
      <c r="I1496" s="2" t="n">
        <v>7</v>
      </c>
    </row>
    <row r="1497" customFormat="false" ht="15" hidden="false" customHeight="false" outlineLevel="0" collapsed="false">
      <c r="A1497" s="2" t="s">
        <v>1147</v>
      </c>
      <c r="B1497" s="2" t="s">
        <v>271</v>
      </c>
      <c r="C1497" s="2" t="n">
        <v>2.5</v>
      </c>
      <c r="D1497" s="2" t="s">
        <v>54</v>
      </c>
      <c r="E1497" s="2" t="s">
        <v>2790</v>
      </c>
      <c r="F1497" s="2" t="n">
        <v>1.25</v>
      </c>
      <c r="G1497" s="2" t="n">
        <v>3.75</v>
      </c>
      <c r="H1497" s="2" t="s">
        <v>1689</v>
      </c>
      <c r="I1497" s="2" t="n">
        <v>8</v>
      </c>
    </row>
    <row r="1498" customFormat="false" ht="15" hidden="false" customHeight="false" outlineLevel="0" collapsed="false">
      <c r="A1498" s="2" t="s">
        <v>1147</v>
      </c>
      <c r="B1498" s="2" t="s">
        <v>271</v>
      </c>
      <c r="C1498" s="2" t="n">
        <v>1.25</v>
      </c>
      <c r="D1498" s="2" t="s">
        <v>54</v>
      </c>
      <c r="E1498" s="2" t="s">
        <v>2791</v>
      </c>
      <c r="F1498" s="2" t="n">
        <v>0.62</v>
      </c>
      <c r="G1498" s="2" t="n">
        <v>1.88</v>
      </c>
      <c r="H1498" s="2" t="s">
        <v>1689</v>
      </c>
      <c r="I1498" s="2" t="n">
        <v>9</v>
      </c>
    </row>
    <row r="1499" customFormat="false" ht="15" hidden="false" customHeight="false" outlineLevel="0" collapsed="false">
      <c r="A1499" s="2" t="s">
        <v>1147</v>
      </c>
      <c r="B1499" s="2" t="s">
        <v>271</v>
      </c>
      <c r="C1499" s="2" t="n">
        <v>0.625</v>
      </c>
      <c r="D1499" s="2" t="s">
        <v>54</v>
      </c>
      <c r="E1499" s="2" t="s">
        <v>2792</v>
      </c>
      <c r="F1499" s="2" t="n">
        <v>0.31</v>
      </c>
      <c r="G1499" s="2" t="n">
        <v>0.94</v>
      </c>
      <c r="H1499" s="2" t="s">
        <v>1689</v>
      </c>
      <c r="I1499" s="2" t="n">
        <v>10</v>
      </c>
    </row>
    <row r="1500" customFormat="false" ht="15" hidden="false" customHeight="false" outlineLevel="0" collapsed="false">
      <c r="A1500" s="2" t="s">
        <v>1147</v>
      </c>
      <c r="B1500" s="2" t="s">
        <v>271</v>
      </c>
      <c r="C1500" s="2" t="n">
        <v>1</v>
      </c>
      <c r="D1500" s="2" t="s">
        <v>54</v>
      </c>
      <c r="E1500" s="2" t="s">
        <v>2793</v>
      </c>
      <c r="F1500" s="2" t="n">
        <v>0.5</v>
      </c>
      <c r="G1500" s="2" t="n">
        <v>1.5</v>
      </c>
      <c r="H1500" s="2" t="s">
        <v>1689</v>
      </c>
      <c r="I1500" s="2" t="n">
        <v>11</v>
      </c>
    </row>
    <row r="1501" customFormat="false" ht="15" hidden="false" customHeight="false" outlineLevel="0" collapsed="false">
      <c r="A1501" s="2" t="s">
        <v>1147</v>
      </c>
      <c r="B1501" s="2" t="s">
        <v>148</v>
      </c>
      <c r="C1501" s="2" t="n">
        <v>30</v>
      </c>
      <c r="D1501" s="2" t="s">
        <v>54</v>
      </c>
      <c r="E1501" s="2" t="s">
        <v>2794</v>
      </c>
      <c r="F1501" s="2" t="n">
        <v>15</v>
      </c>
      <c r="G1501" s="2" t="n">
        <v>45</v>
      </c>
      <c r="H1501" s="2" t="s">
        <v>1693</v>
      </c>
      <c r="I1501" s="2" t="n">
        <v>12</v>
      </c>
    </row>
    <row r="1502" customFormat="false" ht="15" hidden="false" customHeight="false" outlineLevel="0" collapsed="false">
      <c r="A1502" s="2" t="s">
        <v>1147</v>
      </c>
      <c r="B1502" s="2" t="s">
        <v>177</v>
      </c>
      <c r="C1502" s="2" t="n">
        <v>30</v>
      </c>
      <c r="D1502" s="2" t="s">
        <v>54</v>
      </c>
      <c r="E1502" s="2" t="s">
        <v>2795</v>
      </c>
      <c r="F1502" s="2" t="n">
        <v>15</v>
      </c>
      <c r="G1502" s="2" t="n">
        <v>45</v>
      </c>
      <c r="H1502" s="2" t="s">
        <v>1689</v>
      </c>
      <c r="I1502" s="2" t="n">
        <v>13</v>
      </c>
    </row>
    <row r="1503" customFormat="false" ht="15" hidden="false" customHeight="false" outlineLevel="0" collapsed="false">
      <c r="A1503" s="2" t="s">
        <v>1147</v>
      </c>
      <c r="B1503" s="2" t="s">
        <v>301</v>
      </c>
      <c r="C1503" s="2" t="n">
        <v>5</v>
      </c>
      <c r="D1503" s="2" t="s">
        <v>54</v>
      </c>
      <c r="E1503" s="2" t="s">
        <v>2796</v>
      </c>
      <c r="F1503" s="2" t="n">
        <v>2.5</v>
      </c>
      <c r="G1503" s="2" t="n">
        <v>7.5</v>
      </c>
      <c r="H1503" s="2" t="s">
        <v>1689</v>
      </c>
      <c r="I1503" s="2" t="n">
        <v>14</v>
      </c>
    </row>
    <row r="1504" customFormat="false" ht="15" hidden="false" customHeight="false" outlineLevel="0" collapsed="false">
      <c r="A1504" s="2" t="s">
        <v>1151</v>
      </c>
      <c r="B1504" s="2" t="s">
        <v>221</v>
      </c>
      <c r="C1504" s="2" t="n">
        <v>120</v>
      </c>
      <c r="D1504" s="2" t="s">
        <v>54</v>
      </c>
      <c r="E1504" s="2" t="s">
        <v>2797</v>
      </c>
      <c r="F1504" s="2" t="n">
        <v>60</v>
      </c>
      <c r="G1504" s="2" t="n">
        <v>180</v>
      </c>
      <c r="H1504" s="2" t="s">
        <v>1693</v>
      </c>
      <c r="I1504" s="2" t="n">
        <v>1</v>
      </c>
    </row>
    <row r="1505" customFormat="false" ht="15" hidden="false" customHeight="false" outlineLevel="0" collapsed="false">
      <c r="A1505" s="2" t="s">
        <v>1151</v>
      </c>
      <c r="B1505" s="2" t="s">
        <v>148</v>
      </c>
      <c r="C1505" s="2" t="n">
        <v>50</v>
      </c>
      <c r="D1505" s="2" t="s">
        <v>54</v>
      </c>
      <c r="E1505" s="2" t="s">
        <v>2798</v>
      </c>
      <c r="F1505" s="2" t="n">
        <v>25</v>
      </c>
      <c r="G1505" s="2" t="n">
        <v>75</v>
      </c>
      <c r="H1505" s="2" t="s">
        <v>1693</v>
      </c>
      <c r="I1505" s="2" t="n">
        <v>2</v>
      </c>
    </row>
    <row r="1506" customFormat="false" ht="15" hidden="false" customHeight="false" outlineLevel="0" collapsed="false">
      <c r="A1506" s="2" t="s">
        <v>1151</v>
      </c>
      <c r="B1506" s="2" t="s">
        <v>262</v>
      </c>
      <c r="C1506" s="2" t="n">
        <v>7.5</v>
      </c>
      <c r="D1506" s="2" t="s">
        <v>54</v>
      </c>
      <c r="E1506" s="2" t="s">
        <v>2799</v>
      </c>
      <c r="F1506" s="2" t="n">
        <v>3.75</v>
      </c>
      <c r="G1506" s="2" t="n">
        <v>11.25</v>
      </c>
      <c r="H1506" s="2" t="s">
        <v>1689</v>
      </c>
      <c r="I1506" s="2" t="n">
        <v>3</v>
      </c>
    </row>
    <row r="1507" customFormat="false" ht="15" hidden="false" customHeight="false" outlineLevel="0" collapsed="false">
      <c r="A1507" s="2" t="s">
        <v>1151</v>
      </c>
      <c r="B1507" s="2" t="s">
        <v>271</v>
      </c>
      <c r="C1507" s="2" t="n">
        <v>2.5</v>
      </c>
      <c r="D1507" s="2" t="s">
        <v>54</v>
      </c>
      <c r="E1507" s="2" t="s">
        <v>2779</v>
      </c>
      <c r="F1507" s="2" t="n">
        <v>1.25</v>
      </c>
      <c r="G1507" s="2" t="n">
        <v>3.75</v>
      </c>
      <c r="H1507" s="2" t="s">
        <v>1689</v>
      </c>
      <c r="I1507" s="2" t="n">
        <v>4</v>
      </c>
    </row>
    <row r="1508" customFormat="false" ht="15" hidden="false" customHeight="false" outlineLevel="0" collapsed="false">
      <c r="A1508" s="2" t="s">
        <v>1151</v>
      </c>
      <c r="B1508" s="2" t="s">
        <v>271</v>
      </c>
      <c r="C1508" s="2" t="n">
        <v>1.25</v>
      </c>
      <c r="D1508" s="2" t="s">
        <v>54</v>
      </c>
      <c r="E1508" s="2" t="s">
        <v>2692</v>
      </c>
      <c r="F1508" s="2" t="n">
        <v>0.62</v>
      </c>
      <c r="G1508" s="2" t="n">
        <v>1.88</v>
      </c>
      <c r="H1508" s="2" t="s">
        <v>1689</v>
      </c>
      <c r="I1508" s="2" t="n">
        <v>5</v>
      </c>
    </row>
    <row r="1509" customFormat="false" ht="15" hidden="false" customHeight="false" outlineLevel="0" collapsed="false">
      <c r="A1509" s="2" t="s">
        <v>1151</v>
      </c>
      <c r="B1509" s="2" t="s">
        <v>312</v>
      </c>
      <c r="C1509" s="2" t="n">
        <v>1</v>
      </c>
      <c r="D1509" s="2" t="s">
        <v>1687</v>
      </c>
      <c r="E1509" s="2" t="s">
        <v>2800</v>
      </c>
      <c r="F1509" s="2"/>
      <c r="G1509" s="2" t="n">
        <v>2</v>
      </c>
      <c r="H1509" s="2" t="s">
        <v>1689</v>
      </c>
      <c r="I1509" s="2" t="n">
        <v>6</v>
      </c>
    </row>
    <row r="1510" customFormat="false" ht="15" hidden="false" customHeight="false" outlineLevel="0" collapsed="false">
      <c r="A1510" s="2" t="s">
        <v>1151</v>
      </c>
      <c r="B1510" s="2" t="s">
        <v>299</v>
      </c>
      <c r="C1510" s="2" t="n">
        <v>1</v>
      </c>
      <c r="D1510" s="2" t="s">
        <v>54</v>
      </c>
      <c r="E1510" s="2" t="s">
        <v>2777</v>
      </c>
      <c r="F1510" s="2"/>
      <c r="G1510" s="2" t="n">
        <v>2</v>
      </c>
      <c r="H1510" s="2" t="s">
        <v>1689</v>
      </c>
      <c r="I1510" s="2" t="n">
        <v>7</v>
      </c>
    </row>
    <row r="1511" customFormat="false" ht="15" hidden="false" customHeight="false" outlineLevel="0" collapsed="false">
      <c r="A1511" s="2" t="s">
        <v>1151</v>
      </c>
      <c r="B1511" s="2" t="s">
        <v>367</v>
      </c>
      <c r="C1511" s="2" t="n">
        <v>1</v>
      </c>
      <c r="D1511" s="2" t="s">
        <v>76</v>
      </c>
      <c r="E1511" s="2" t="s">
        <v>2411</v>
      </c>
      <c r="F1511" s="2"/>
      <c r="G1511" s="2" t="n">
        <v>2</v>
      </c>
      <c r="H1511" s="2" t="s">
        <v>1689</v>
      </c>
      <c r="I1511" s="2" t="n">
        <v>8</v>
      </c>
    </row>
    <row r="1512" customFormat="false" ht="15" hidden="false" customHeight="false" outlineLevel="0" collapsed="false">
      <c r="A1512" s="2" t="s">
        <v>1151</v>
      </c>
      <c r="B1512" s="2" t="s">
        <v>452</v>
      </c>
      <c r="C1512" s="2" t="n">
        <v>4.5</v>
      </c>
      <c r="D1512" s="2" t="s">
        <v>54</v>
      </c>
      <c r="E1512" s="2" t="s">
        <v>2801</v>
      </c>
      <c r="F1512" s="2" t="n">
        <v>2.25</v>
      </c>
      <c r="G1512" s="2" t="n">
        <v>6.75</v>
      </c>
      <c r="H1512" s="2" t="s">
        <v>1700</v>
      </c>
      <c r="I1512" s="2" t="n">
        <v>9</v>
      </c>
    </row>
    <row r="1513" customFormat="false" ht="15" hidden="false" customHeight="false" outlineLevel="0" collapsed="false">
      <c r="A1513" s="2" t="s">
        <v>1151</v>
      </c>
      <c r="B1513" s="2" t="s">
        <v>177</v>
      </c>
      <c r="C1513" s="2" t="n">
        <v>35</v>
      </c>
      <c r="D1513" s="2" t="s">
        <v>54</v>
      </c>
      <c r="E1513" s="2" t="s">
        <v>2783</v>
      </c>
      <c r="F1513" s="2" t="n">
        <v>17.5</v>
      </c>
      <c r="G1513" s="2" t="n">
        <v>52.5</v>
      </c>
      <c r="H1513" s="2" t="s">
        <v>1689</v>
      </c>
      <c r="I1513" s="2" t="n">
        <v>10</v>
      </c>
    </row>
    <row r="1514" customFormat="false" ht="15" hidden="false" customHeight="false" outlineLevel="0" collapsed="false">
      <c r="A1514" s="2" t="s">
        <v>1151</v>
      </c>
      <c r="B1514" s="2" t="s">
        <v>260</v>
      </c>
      <c r="C1514" s="2" t="n">
        <v>50</v>
      </c>
      <c r="D1514" s="2" t="s">
        <v>54</v>
      </c>
      <c r="E1514" s="2" t="s">
        <v>2802</v>
      </c>
      <c r="F1514" s="2" t="n">
        <v>25</v>
      </c>
      <c r="G1514" s="2" t="n">
        <v>75</v>
      </c>
      <c r="H1514" s="2" t="s">
        <v>1689</v>
      </c>
      <c r="I1514" s="2" t="n">
        <v>11</v>
      </c>
    </row>
    <row r="1515" customFormat="false" ht="15" hidden="false" customHeight="false" outlineLevel="0" collapsed="false">
      <c r="A1515" s="2" t="s">
        <v>1151</v>
      </c>
      <c r="B1515" s="2" t="s">
        <v>148</v>
      </c>
      <c r="C1515" s="2" t="n">
        <v>30</v>
      </c>
      <c r="D1515" s="2" t="s">
        <v>54</v>
      </c>
      <c r="E1515" s="2" t="s">
        <v>2803</v>
      </c>
      <c r="F1515" s="2" t="n">
        <v>15</v>
      </c>
      <c r="G1515" s="2" t="n">
        <v>45</v>
      </c>
      <c r="H1515" s="2" t="s">
        <v>1693</v>
      </c>
      <c r="I1515" s="2" t="n">
        <v>12</v>
      </c>
    </row>
    <row r="1516" customFormat="false" ht="15" hidden="false" customHeight="false" outlineLevel="0" collapsed="false">
      <c r="A1516" s="2" t="s">
        <v>1151</v>
      </c>
      <c r="B1516" s="2" t="s">
        <v>301</v>
      </c>
      <c r="C1516" s="2" t="n">
        <v>5</v>
      </c>
      <c r="D1516" s="2" t="s">
        <v>54</v>
      </c>
      <c r="E1516" s="2" t="s">
        <v>2804</v>
      </c>
      <c r="F1516" s="2" t="n">
        <v>2.5</v>
      </c>
      <c r="G1516" s="2" t="n">
        <v>7.5</v>
      </c>
      <c r="H1516" s="2" t="s">
        <v>1689</v>
      </c>
      <c r="I1516" s="2" t="n">
        <v>13</v>
      </c>
    </row>
    <row r="1517" customFormat="false" ht="15" hidden="false" customHeight="false" outlineLevel="0" collapsed="false">
      <c r="A1517" s="2" t="s">
        <v>1151</v>
      </c>
      <c r="B1517" s="2" t="s">
        <v>365</v>
      </c>
      <c r="C1517" s="2" t="n">
        <v>0.25</v>
      </c>
      <c r="D1517" s="2" t="s">
        <v>1687</v>
      </c>
      <c r="E1517" s="2" t="s">
        <v>2785</v>
      </c>
      <c r="F1517" s="2"/>
      <c r="G1517" s="2" t="n">
        <v>1.25</v>
      </c>
      <c r="H1517" s="2" t="s">
        <v>1689</v>
      </c>
      <c r="I1517" s="2" t="n">
        <v>14</v>
      </c>
    </row>
    <row r="1518" customFormat="false" ht="15" hidden="false" customHeight="false" outlineLevel="0" collapsed="false">
      <c r="A1518" s="2" t="s">
        <v>1154</v>
      </c>
      <c r="B1518" s="2" t="s">
        <v>552</v>
      </c>
      <c r="C1518" s="2" t="n">
        <v>180</v>
      </c>
      <c r="D1518" s="2" t="s">
        <v>54</v>
      </c>
      <c r="E1518" s="2" t="s">
        <v>2805</v>
      </c>
      <c r="F1518" s="2" t="n">
        <v>90</v>
      </c>
      <c r="G1518" s="2" t="n">
        <v>270</v>
      </c>
      <c r="H1518" s="2" t="s">
        <v>1693</v>
      </c>
      <c r="I1518" s="2" t="n">
        <v>1</v>
      </c>
    </row>
    <row r="1519" customFormat="false" ht="15" hidden="false" customHeight="false" outlineLevel="0" collapsed="false">
      <c r="A1519" s="2" t="s">
        <v>1154</v>
      </c>
      <c r="B1519" s="2" t="s">
        <v>371</v>
      </c>
      <c r="C1519" s="2" t="n">
        <v>120</v>
      </c>
      <c r="D1519" s="2" t="s">
        <v>76</v>
      </c>
      <c r="E1519" s="2" t="s">
        <v>2806</v>
      </c>
      <c r="F1519" s="2" t="n">
        <v>60</v>
      </c>
      <c r="G1519" s="2" t="n">
        <v>180</v>
      </c>
      <c r="H1519" s="2" t="s">
        <v>1700</v>
      </c>
      <c r="I1519" s="2" t="n">
        <v>2</v>
      </c>
    </row>
    <row r="1520" customFormat="false" ht="15" hidden="false" customHeight="false" outlineLevel="0" collapsed="false">
      <c r="A1520" s="2" t="s">
        <v>1154</v>
      </c>
      <c r="B1520" s="2" t="s">
        <v>520</v>
      </c>
      <c r="C1520" s="2" t="n">
        <v>31.5</v>
      </c>
      <c r="D1520" s="2" t="s">
        <v>54</v>
      </c>
      <c r="E1520" s="2" t="s">
        <v>2807</v>
      </c>
      <c r="F1520" s="2" t="n">
        <v>15.75</v>
      </c>
      <c r="G1520" s="2" t="n">
        <v>47.25</v>
      </c>
      <c r="H1520" s="2" t="s">
        <v>1689</v>
      </c>
      <c r="I1520" s="2" t="n">
        <v>3</v>
      </c>
    </row>
    <row r="1521" customFormat="false" ht="15" hidden="false" customHeight="false" outlineLevel="0" collapsed="false">
      <c r="A1521" s="2" t="s">
        <v>1154</v>
      </c>
      <c r="B1521" s="2" t="s">
        <v>293</v>
      </c>
      <c r="C1521" s="2" t="n">
        <v>5</v>
      </c>
      <c r="D1521" s="2" t="s">
        <v>76</v>
      </c>
      <c r="E1521" s="2" t="s">
        <v>2808</v>
      </c>
      <c r="F1521" s="2" t="n">
        <v>2.5</v>
      </c>
      <c r="G1521" s="2" t="n">
        <v>7.5</v>
      </c>
      <c r="H1521" s="2" t="s">
        <v>1693</v>
      </c>
      <c r="I1521" s="2" t="n">
        <v>4</v>
      </c>
    </row>
    <row r="1522" customFormat="false" ht="15" hidden="false" customHeight="false" outlineLevel="0" collapsed="false">
      <c r="A1522" s="2" t="s">
        <v>1154</v>
      </c>
      <c r="B1522" s="2" t="s">
        <v>323</v>
      </c>
      <c r="C1522" s="2" t="n">
        <v>50</v>
      </c>
      <c r="D1522" s="2" t="s">
        <v>54</v>
      </c>
      <c r="E1522" s="2" t="s">
        <v>2809</v>
      </c>
      <c r="F1522" s="2" t="n">
        <v>25</v>
      </c>
      <c r="G1522" s="2" t="n">
        <v>75</v>
      </c>
      <c r="H1522" s="2" t="s">
        <v>1689</v>
      </c>
      <c r="I1522" s="2" t="n">
        <v>5</v>
      </c>
    </row>
    <row r="1523" customFormat="false" ht="15" hidden="false" customHeight="false" outlineLevel="0" collapsed="false">
      <c r="A1523" s="2" t="s">
        <v>1154</v>
      </c>
      <c r="B1523" s="2" t="s">
        <v>454</v>
      </c>
      <c r="C1523" s="2" t="n">
        <v>50</v>
      </c>
      <c r="D1523" s="2" t="s">
        <v>54</v>
      </c>
      <c r="E1523" s="2" t="s">
        <v>2810</v>
      </c>
      <c r="F1523" s="2" t="n">
        <v>25</v>
      </c>
      <c r="G1523" s="2" t="n">
        <v>75</v>
      </c>
      <c r="H1523" s="2" t="s">
        <v>1689</v>
      </c>
      <c r="I1523" s="2" t="n">
        <v>6</v>
      </c>
    </row>
    <row r="1524" customFormat="false" ht="15" hidden="false" customHeight="false" outlineLevel="0" collapsed="false">
      <c r="A1524" s="2" t="s">
        <v>1154</v>
      </c>
      <c r="B1524" s="2" t="s">
        <v>172</v>
      </c>
      <c r="C1524" s="2" t="n">
        <v>30</v>
      </c>
      <c r="D1524" s="2" t="s">
        <v>54</v>
      </c>
      <c r="E1524" s="2" t="s">
        <v>2811</v>
      </c>
      <c r="F1524" s="2" t="n">
        <v>15</v>
      </c>
      <c r="G1524" s="2" t="n">
        <v>45</v>
      </c>
      <c r="H1524" s="2" t="s">
        <v>1689</v>
      </c>
      <c r="I1524" s="2" t="n">
        <v>7</v>
      </c>
    </row>
    <row r="1525" customFormat="false" ht="15" hidden="false" customHeight="false" outlineLevel="0" collapsed="false">
      <c r="A1525" s="2" t="s">
        <v>1154</v>
      </c>
      <c r="B1525" s="2" t="s">
        <v>179</v>
      </c>
      <c r="C1525" s="2" t="n">
        <v>1</v>
      </c>
      <c r="D1525" s="2" t="s">
        <v>1687</v>
      </c>
      <c r="E1525" s="2" t="s">
        <v>2812</v>
      </c>
      <c r="F1525" s="2" t="n">
        <v>0.5</v>
      </c>
      <c r="G1525" s="2" t="n">
        <v>1.5</v>
      </c>
      <c r="H1525" s="2" t="s">
        <v>1689</v>
      </c>
      <c r="I1525" s="2" t="n">
        <v>8</v>
      </c>
    </row>
    <row r="1526" customFormat="false" ht="15" hidden="false" customHeight="false" outlineLevel="0" collapsed="false">
      <c r="A1526" s="2" t="s">
        <v>1154</v>
      </c>
      <c r="B1526" s="2" t="s">
        <v>301</v>
      </c>
      <c r="C1526" s="2" t="n">
        <v>5</v>
      </c>
      <c r="D1526" s="2" t="s">
        <v>54</v>
      </c>
      <c r="E1526" s="2" t="s">
        <v>2813</v>
      </c>
      <c r="F1526" s="2" t="n">
        <v>2.5</v>
      </c>
      <c r="G1526" s="2" t="n">
        <v>7.5</v>
      </c>
      <c r="H1526" s="2" t="s">
        <v>1689</v>
      </c>
      <c r="I1526" s="2" t="n">
        <v>9</v>
      </c>
    </row>
    <row r="1527" customFormat="false" ht="15" hidden="false" customHeight="false" outlineLevel="0" collapsed="false">
      <c r="A1527" s="2" t="s">
        <v>1154</v>
      </c>
      <c r="B1527" s="2" t="s">
        <v>177</v>
      </c>
      <c r="C1527" s="2" t="n">
        <v>25</v>
      </c>
      <c r="D1527" s="2" t="s">
        <v>54</v>
      </c>
      <c r="E1527" s="2" t="s">
        <v>2814</v>
      </c>
      <c r="F1527" s="2" t="n">
        <v>12.5</v>
      </c>
      <c r="G1527" s="2" t="n">
        <v>37.5</v>
      </c>
      <c r="H1527" s="2" t="s">
        <v>1689</v>
      </c>
      <c r="I1527" s="2" t="n">
        <v>10</v>
      </c>
    </row>
    <row r="1528" customFormat="false" ht="15" hidden="false" customHeight="false" outlineLevel="0" collapsed="false">
      <c r="A1528" s="2" t="s">
        <v>1154</v>
      </c>
      <c r="B1528" s="2" t="s">
        <v>375</v>
      </c>
      <c r="C1528" s="2" t="n">
        <v>0.25</v>
      </c>
      <c r="D1528" s="2" t="s">
        <v>1687</v>
      </c>
      <c r="E1528" s="2" t="s">
        <v>2815</v>
      </c>
      <c r="F1528" s="2"/>
      <c r="G1528" s="2" t="n">
        <v>1.25</v>
      </c>
      <c r="H1528" s="2" t="s">
        <v>1689</v>
      </c>
      <c r="I1528" s="2" t="n">
        <v>11</v>
      </c>
    </row>
    <row r="1529" customFormat="false" ht="15" hidden="false" customHeight="false" outlineLevel="0" collapsed="false">
      <c r="A1529" s="2" t="s">
        <v>1158</v>
      </c>
      <c r="B1529" s="2" t="s">
        <v>552</v>
      </c>
      <c r="C1529" s="2" t="n">
        <v>160</v>
      </c>
      <c r="D1529" s="2" t="s">
        <v>54</v>
      </c>
      <c r="E1529" s="2" t="s">
        <v>2816</v>
      </c>
      <c r="F1529" s="2" t="n">
        <v>80</v>
      </c>
      <c r="G1529" s="2" t="n">
        <v>240</v>
      </c>
      <c r="H1529" s="2" t="s">
        <v>1693</v>
      </c>
      <c r="I1529" s="2" t="n">
        <v>1</v>
      </c>
    </row>
    <row r="1530" customFormat="false" ht="15" hidden="false" customHeight="false" outlineLevel="0" collapsed="false">
      <c r="A1530" s="2" t="s">
        <v>1158</v>
      </c>
      <c r="B1530" s="2" t="s">
        <v>371</v>
      </c>
      <c r="C1530" s="2" t="n">
        <v>120</v>
      </c>
      <c r="D1530" s="2" t="s">
        <v>76</v>
      </c>
      <c r="E1530" s="2" t="s">
        <v>2806</v>
      </c>
      <c r="F1530" s="2" t="n">
        <v>60</v>
      </c>
      <c r="G1530" s="2" t="n">
        <v>180</v>
      </c>
      <c r="H1530" s="2" t="s">
        <v>1700</v>
      </c>
      <c r="I1530" s="2" t="n">
        <v>2</v>
      </c>
    </row>
    <row r="1531" customFormat="false" ht="15" hidden="false" customHeight="false" outlineLevel="0" collapsed="false">
      <c r="A1531" s="2" t="s">
        <v>1158</v>
      </c>
      <c r="B1531" s="2" t="s">
        <v>520</v>
      </c>
      <c r="C1531" s="2" t="n">
        <v>31.5</v>
      </c>
      <c r="D1531" s="2" t="s">
        <v>54</v>
      </c>
      <c r="E1531" s="2" t="s">
        <v>2817</v>
      </c>
      <c r="F1531" s="2" t="n">
        <v>15.75</v>
      </c>
      <c r="G1531" s="2" t="n">
        <v>47.25</v>
      </c>
      <c r="H1531" s="2" t="s">
        <v>1689</v>
      </c>
      <c r="I1531" s="2" t="n">
        <v>3</v>
      </c>
    </row>
    <row r="1532" customFormat="false" ht="15" hidden="false" customHeight="false" outlineLevel="0" collapsed="false">
      <c r="A1532" s="2" t="s">
        <v>1158</v>
      </c>
      <c r="B1532" s="2" t="s">
        <v>293</v>
      </c>
      <c r="C1532" s="2" t="n">
        <v>5</v>
      </c>
      <c r="D1532" s="2" t="s">
        <v>76</v>
      </c>
      <c r="E1532" s="2" t="s">
        <v>2808</v>
      </c>
      <c r="F1532" s="2" t="n">
        <v>2.5</v>
      </c>
      <c r="G1532" s="2" t="n">
        <v>7.5</v>
      </c>
      <c r="H1532" s="2" t="s">
        <v>1693</v>
      </c>
      <c r="I1532" s="2" t="n">
        <v>4</v>
      </c>
    </row>
    <row r="1533" customFormat="false" ht="15" hidden="false" customHeight="false" outlineLevel="0" collapsed="false">
      <c r="A1533" s="2" t="s">
        <v>1158</v>
      </c>
      <c r="B1533" s="2" t="s">
        <v>323</v>
      </c>
      <c r="C1533" s="2" t="n">
        <v>50</v>
      </c>
      <c r="D1533" s="2" t="s">
        <v>54</v>
      </c>
      <c r="E1533" s="2" t="s">
        <v>2818</v>
      </c>
      <c r="F1533" s="2" t="n">
        <v>25</v>
      </c>
      <c r="G1533" s="2" t="n">
        <v>75</v>
      </c>
      <c r="H1533" s="2" t="s">
        <v>1689</v>
      </c>
      <c r="I1533" s="2" t="n">
        <v>5</v>
      </c>
    </row>
    <row r="1534" customFormat="false" ht="15" hidden="false" customHeight="false" outlineLevel="0" collapsed="false">
      <c r="A1534" s="2" t="s">
        <v>1158</v>
      </c>
      <c r="B1534" s="2" t="s">
        <v>454</v>
      </c>
      <c r="C1534" s="2" t="n">
        <v>30</v>
      </c>
      <c r="D1534" s="2" t="s">
        <v>54</v>
      </c>
      <c r="E1534" s="2" t="s">
        <v>2819</v>
      </c>
      <c r="F1534" s="2" t="n">
        <v>15</v>
      </c>
      <c r="G1534" s="2" t="n">
        <v>45</v>
      </c>
      <c r="H1534" s="2" t="s">
        <v>1689</v>
      </c>
      <c r="I1534" s="2" t="n">
        <v>6</v>
      </c>
    </row>
    <row r="1535" customFormat="false" ht="15" hidden="false" customHeight="false" outlineLevel="0" collapsed="false">
      <c r="A1535" s="2" t="s">
        <v>1158</v>
      </c>
      <c r="B1535" s="2" t="s">
        <v>179</v>
      </c>
      <c r="C1535" s="2" t="n">
        <v>1</v>
      </c>
      <c r="D1535" s="2" t="s">
        <v>1687</v>
      </c>
      <c r="E1535" s="2" t="s">
        <v>2820</v>
      </c>
      <c r="F1535" s="2" t="n">
        <v>0.5</v>
      </c>
      <c r="G1535" s="2" t="n">
        <v>1.5</v>
      </c>
      <c r="H1535" s="2" t="s">
        <v>1689</v>
      </c>
      <c r="I1535" s="2" t="n">
        <v>7</v>
      </c>
    </row>
    <row r="1536" customFormat="false" ht="15" hidden="false" customHeight="false" outlineLevel="0" collapsed="false">
      <c r="A1536" s="2" t="s">
        <v>1158</v>
      </c>
      <c r="B1536" s="2" t="s">
        <v>301</v>
      </c>
      <c r="C1536" s="2" t="n">
        <v>5</v>
      </c>
      <c r="D1536" s="2" t="s">
        <v>54</v>
      </c>
      <c r="E1536" s="2" t="s">
        <v>2821</v>
      </c>
      <c r="F1536" s="2" t="n">
        <v>2.5</v>
      </c>
      <c r="G1536" s="2" t="n">
        <v>7.5</v>
      </c>
      <c r="H1536" s="2" t="s">
        <v>1689</v>
      </c>
      <c r="I1536" s="2" t="n">
        <v>8</v>
      </c>
    </row>
    <row r="1537" customFormat="false" ht="15" hidden="false" customHeight="false" outlineLevel="0" collapsed="false">
      <c r="A1537" s="2" t="s">
        <v>1158</v>
      </c>
      <c r="B1537" s="2" t="s">
        <v>177</v>
      </c>
      <c r="C1537" s="2" t="n">
        <v>25</v>
      </c>
      <c r="D1537" s="2" t="s">
        <v>54</v>
      </c>
      <c r="E1537" s="2" t="s">
        <v>2822</v>
      </c>
      <c r="F1537" s="2" t="n">
        <v>12.5</v>
      </c>
      <c r="G1537" s="2" t="n">
        <v>37.5</v>
      </c>
      <c r="H1537" s="2" t="s">
        <v>1689</v>
      </c>
      <c r="I1537" s="2" t="n">
        <v>9</v>
      </c>
    </row>
    <row r="1538" customFormat="false" ht="15" hidden="false" customHeight="false" outlineLevel="0" collapsed="false">
      <c r="A1538" s="2" t="s">
        <v>1158</v>
      </c>
      <c r="B1538" s="2" t="s">
        <v>375</v>
      </c>
      <c r="C1538" s="2" t="n">
        <v>0.25</v>
      </c>
      <c r="D1538" s="2" t="s">
        <v>1687</v>
      </c>
      <c r="E1538" s="2" t="s">
        <v>2815</v>
      </c>
      <c r="F1538" s="2"/>
      <c r="G1538" s="2" t="n">
        <v>1.25</v>
      </c>
      <c r="H1538" s="2" t="s">
        <v>1689</v>
      </c>
      <c r="I1538" s="2" t="n">
        <v>10</v>
      </c>
    </row>
    <row r="1539" customFormat="false" ht="15" hidden="false" customHeight="false" outlineLevel="0" collapsed="false">
      <c r="A1539" s="2" t="s">
        <v>1162</v>
      </c>
      <c r="B1539" s="2" t="s">
        <v>223</v>
      </c>
      <c r="C1539" s="2" t="n">
        <v>140</v>
      </c>
      <c r="D1539" s="2" t="s">
        <v>54</v>
      </c>
      <c r="E1539" s="2" t="s">
        <v>2823</v>
      </c>
      <c r="F1539" s="2" t="n">
        <v>70</v>
      </c>
      <c r="G1539" s="2" t="n">
        <v>210</v>
      </c>
      <c r="H1539" s="2" t="s">
        <v>1693</v>
      </c>
      <c r="I1539" s="2" t="n">
        <v>1</v>
      </c>
    </row>
    <row r="1540" customFormat="false" ht="15" hidden="false" customHeight="false" outlineLevel="0" collapsed="false">
      <c r="A1540" s="2" t="s">
        <v>1162</v>
      </c>
      <c r="B1540" s="2" t="s">
        <v>496</v>
      </c>
      <c r="C1540" s="2" t="n">
        <v>30</v>
      </c>
      <c r="D1540" s="2" t="s">
        <v>76</v>
      </c>
      <c r="E1540" s="2" t="s">
        <v>2824</v>
      </c>
      <c r="F1540" s="2" t="n">
        <v>15</v>
      </c>
      <c r="G1540" s="2" t="n">
        <v>45</v>
      </c>
      <c r="H1540" s="2" t="s">
        <v>1693</v>
      </c>
      <c r="I1540" s="2" t="n">
        <v>2</v>
      </c>
    </row>
    <row r="1541" customFormat="false" ht="15" hidden="false" customHeight="false" outlineLevel="0" collapsed="false">
      <c r="A1541" s="2" t="s">
        <v>1162</v>
      </c>
      <c r="B1541" s="2" t="s">
        <v>91</v>
      </c>
      <c r="C1541" s="2" t="n">
        <v>7</v>
      </c>
      <c r="D1541" s="2" t="s">
        <v>54</v>
      </c>
      <c r="E1541" s="2" t="s">
        <v>2825</v>
      </c>
      <c r="F1541" s="2" t="n">
        <v>3.5</v>
      </c>
      <c r="G1541" s="2" t="n">
        <v>10.5</v>
      </c>
      <c r="H1541" s="2" t="s">
        <v>1689</v>
      </c>
      <c r="I1541" s="2" t="n">
        <v>3</v>
      </c>
    </row>
    <row r="1542" customFormat="false" ht="15" hidden="false" customHeight="false" outlineLevel="0" collapsed="false">
      <c r="A1542" s="2" t="s">
        <v>1162</v>
      </c>
      <c r="B1542" s="2" t="s">
        <v>506</v>
      </c>
      <c r="C1542" s="2" t="n">
        <v>100</v>
      </c>
      <c r="D1542" s="2" t="s">
        <v>76</v>
      </c>
      <c r="E1542" s="2" t="s">
        <v>2826</v>
      </c>
      <c r="F1542" s="2" t="n">
        <v>50</v>
      </c>
      <c r="G1542" s="2" t="n">
        <v>150</v>
      </c>
      <c r="H1542" s="2" t="s">
        <v>1693</v>
      </c>
      <c r="I1542" s="2" t="n">
        <v>4</v>
      </c>
    </row>
    <row r="1543" customFormat="false" ht="15" hidden="false" customHeight="false" outlineLevel="0" collapsed="false">
      <c r="A1543" s="2" t="s">
        <v>1162</v>
      </c>
      <c r="B1543" s="2" t="s">
        <v>312</v>
      </c>
      <c r="C1543" s="2" t="n">
        <v>2</v>
      </c>
      <c r="D1543" s="2" t="s">
        <v>1687</v>
      </c>
      <c r="E1543" s="2" t="s">
        <v>2776</v>
      </c>
      <c r="F1543" s="2" t="n">
        <v>1</v>
      </c>
      <c r="G1543" s="2" t="n">
        <v>3</v>
      </c>
      <c r="H1543" s="2" t="s">
        <v>1689</v>
      </c>
      <c r="I1543" s="2" t="n">
        <v>5</v>
      </c>
    </row>
    <row r="1544" customFormat="false" ht="15" hidden="false" customHeight="false" outlineLevel="0" collapsed="false">
      <c r="A1544" s="2" t="s">
        <v>1162</v>
      </c>
      <c r="B1544" s="2" t="s">
        <v>299</v>
      </c>
      <c r="C1544" s="2" t="n">
        <v>1</v>
      </c>
      <c r="D1544" s="2" t="s">
        <v>54</v>
      </c>
      <c r="E1544" s="2" t="s">
        <v>2777</v>
      </c>
      <c r="F1544" s="2"/>
      <c r="G1544" s="2" t="n">
        <v>2</v>
      </c>
      <c r="H1544" s="2" t="s">
        <v>1689</v>
      </c>
      <c r="I1544" s="2" t="n">
        <v>6</v>
      </c>
    </row>
    <row r="1545" customFormat="false" ht="15" hidden="false" customHeight="false" outlineLevel="0" collapsed="false">
      <c r="A1545" s="2" t="s">
        <v>1162</v>
      </c>
      <c r="B1545" s="2" t="s">
        <v>179</v>
      </c>
      <c r="C1545" s="2" t="n">
        <v>1</v>
      </c>
      <c r="D1545" s="2" t="s">
        <v>1687</v>
      </c>
      <c r="E1545" s="2" t="s">
        <v>2827</v>
      </c>
      <c r="F1545" s="2" t="n">
        <v>0.5</v>
      </c>
      <c r="G1545" s="2" t="n">
        <v>1.5</v>
      </c>
      <c r="H1545" s="2" t="s">
        <v>1689</v>
      </c>
      <c r="I1545" s="2" t="n">
        <v>7</v>
      </c>
    </row>
    <row r="1546" customFormat="false" ht="15" hidden="false" customHeight="false" outlineLevel="0" collapsed="false">
      <c r="A1546" s="2" t="s">
        <v>1162</v>
      </c>
      <c r="B1546" s="2" t="s">
        <v>486</v>
      </c>
      <c r="C1546" s="2" t="n">
        <v>4.5</v>
      </c>
      <c r="D1546" s="2" t="s">
        <v>54</v>
      </c>
      <c r="E1546" s="2" t="s">
        <v>2828</v>
      </c>
      <c r="F1546" s="2" t="n">
        <v>2.25</v>
      </c>
      <c r="G1546" s="2" t="n">
        <v>6.75</v>
      </c>
      <c r="H1546" s="2" t="s">
        <v>1700</v>
      </c>
      <c r="I1546" s="2" t="n">
        <v>8</v>
      </c>
    </row>
    <row r="1547" customFormat="false" ht="15" hidden="false" customHeight="false" outlineLevel="0" collapsed="false">
      <c r="A1547" s="2" t="s">
        <v>1162</v>
      </c>
      <c r="B1547" s="2" t="s">
        <v>488</v>
      </c>
      <c r="C1547" s="2" t="n">
        <v>5</v>
      </c>
      <c r="D1547" s="2" t="s">
        <v>54</v>
      </c>
      <c r="E1547" s="2" t="s">
        <v>2829</v>
      </c>
      <c r="F1547" s="2" t="n">
        <v>2.5</v>
      </c>
      <c r="G1547" s="2" t="n">
        <v>7.5</v>
      </c>
      <c r="H1547" s="2" t="s">
        <v>1700</v>
      </c>
      <c r="I1547" s="2" t="n">
        <v>9</v>
      </c>
    </row>
    <row r="1548" customFormat="false" ht="15" hidden="false" customHeight="false" outlineLevel="0" collapsed="false">
      <c r="A1548" s="2" t="s">
        <v>1162</v>
      </c>
      <c r="B1548" s="2" t="s">
        <v>500</v>
      </c>
      <c r="C1548" s="2" t="n">
        <v>1</v>
      </c>
      <c r="D1548" s="2" t="s">
        <v>1687</v>
      </c>
      <c r="E1548" s="2" t="s">
        <v>2632</v>
      </c>
      <c r="F1548" s="2"/>
      <c r="G1548" s="2" t="n">
        <v>2</v>
      </c>
      <c r="H1548" s="2" t="s">
        <v>1689</v>
      </c>
      <c r="I1548" s="2" t="n">
        <v>10</v>
      </c>
    </row>
    <row r="1549" customFormat="false" ht="15" hidden="false" customHeight="false" outlineLevel="0" collapsed="false">
      <c r="A1549" s="2" t="s">
        <v>1162</v>
      </c>
      <c r="B1549" s="2" t="s">
        <v>177</v>
      </c>
      <c r="C1549" s="2" t="n">
        <v>30</v>
      </c>
      <c r="D1549" s="2" t="s">
        <v>54</v>
      </c>
      <c r="E1549" s="2" t="s">
        <v>2795</v>
      </c>
      <c r="F1549" s="2" t="n">
        <v>15</v>
      </c>
      <c r="G1549" s="2" t="n">
        <v>45</v>
      </c>
      <c r="H1549" s="2" t="s">
        <v>1689</v>
      </c>
      <c r="I1549" s="2" t="n">
        <v>11</v>
      </c>
    </row>
    <row r="1550" customFormat="false" ht="15" hidden="false" customHeight="false" outlineLevel="0" collapsed="false">
      <c r="A1550" s="2" t="s">
        <v>1166</v>
      </c>
      <c r="B1550" s="2" t="s">
        <v>357</v>
      </c>
      <c r="C1550" s="2" t="n">
        <v>120</v>
      </c>
      <c r="D1550" s="2" t="s">
        <v>54</v>
      </c>
      <c r="E1550" s="2" t="s">
        <v>2830</v>
      </c>
      <c r="F1550" s="2" t="n">
        <v>60</v>
      </c>
      <c r="G1550" s="2" t="n">
        <v>180</v>
      </c>
      <c r="H1550" s="2" t="s">
        <v>1693</v>
      </c>
      <c r="I1550" s="2" t="n">
        <v>1</v>
      </c>
    </row>
    <row r="1551" customFormat="false" ht="15" hidden="false" customHeight="false" outlineLevel="0" collapsed="false">
      <c r="A1551" s="2" t="s">
        <v>1166</v>
      </c>
      <c r="B1551" s="2" t="s">
        <v>193</v>
      </c>
      <c r="C1551" s="2" t="n">
        <v>15</v>
      </c>
      <c r="D1551" s="2" t="s">
        <v>54</v>
      </c>
      <c r="E1551" s="2" t="s">
        <v>2831</v>
      </c>
      <c r="F1551" s="2" t="n">
        <v>7.5</v>
      </c>
      <c r="G1551" s="2" t="n">
        <v>22.5</v>
      </c>
      <c r="H1551" s="2" t="s">
        <v>1689</v>
      </c>
      <c r="I1551" s="2" t="n">
        <v>2</v>
      </c>
    </row>
    <row r="1552" customFormat="false" ht="15" hidden="false" customHeight="false" outlineLevel="0" collapsed="false">
      <c r="A1552" s="2" t="s">
        <v>1166</v>
      </c>
      <c r="B1552" s="2" t="s">
        <v>114</v>
      </c>
      <c r="C1552" s="2" t="n">
        <v>1</v>
      </c>
      <c r="D1552" s="2" t="s">
        <v>1687</v>
      </c>
      <c r="E1552" s="2" t="s">
        <v>2832</v>
      </c>
      <c r="F1552" s="2"/>
      <c r="G1552" s="2" t="n">
        <v>2</v>
      </c>
      <c r="H1552" s="2" t="s">
        <v>1693</v>
      </c>
      <c r="I1552" s="2" t="n">
        <v>3</v>
      </c>
    </row>
    <row r="1553" customFormat="false" ht="15" hidden="false" customHeight="false" outlineLevel="0" collapsed="false">
      <c r="A1553" s="2" t="s">
        <v>1166</v>
      </c>
      <c r="B1553" s="2" t="s">
        <v>312</v>
      </c>
      <c r="C1553" s="2" t="n">
        <v>1</v>
      </c>
      <c r="D1553" s="2" t="s">
        <v>1687</v>
      </c>
      <c r="E1553" s="2" t="s">
        <v>2800</v>
      </c>
      <c r="F1553" s="2"/>
      <c r="G1553" s="2" t="n">
        <v>2</v>
      </c>
      <c r="H1553" s="2" t="s">
        <v>1689</v>
      </c>
      <c r="I1553" s="2" t="n">
        <v>4</v>
      </c>
    </row>
    <row r="1554" customFormat="false" ht="15" hidden="false" customHeight="false" outlineLevel="0" collapsed="false">
      <c r="A1554" s="2" t="s">
        <v>1166</v>
      </c>
      <c r="B1554" s="2" t="s">
        <v>299</v>
      </c>
      <c r="C1554" s="2" t="n">
        <v>1</v>
      </c>
      <c r="D1554" s="2" t="s">
        <v>54</v>
      </c>
      <c r="E1554" s="2" t="s">
        <v>2777</v>
      </c>
      <c r="F1554" s="2"/>
      <c r="G1554" s="2" t="n">
        <v>2</v>
      </c>
      <c r="H1554" s="2" t="s">
        <v>1689</v>
      </c>
      <c r="I1554" s="2" t="n">
        <v>5</v>
      </c>
    </row>
    <row r="1555" customFormat="false" ht="15" hidden="false" customHeight="false" outlineLevel="0" collapsed="false">
      <c r="A1555" s="2" t="s">
        <v>1166</v>
      </c>
      <c r="B1555" s="2" t="s">
        <v>520</v>
      </c>
      <c r="C1555" s="2" t="n">
        <v>31.5</v>
      </c>
      <c r="D1555" s="2" t="s">
        <v>54</v>
      </c>
      <c r="E1555" s="2" t="s">
        <v>2833</v>
      </c>
      <c r="F1555" s="2" t="n">
        <v>15.75</v>
      </c>
      <c r="G1555" s="2" t="n">
        <v>47.25</v>
      </c>
      <c r="H1555" s="2" t="s">
        <v>1689</v>
      </c>
      <c r="I1555" s="2" t="n">
        <v>6</v>
      </c>
    </row>
    <row r="1556" customFormat="false" ht="15" hidden="false" customHeight="false" outlineLevel="0" collapsed="false">
      <c r="A1556" s="2" t="s">
        <v>1166</v>
      </c>
      <c r="B1556" s="2" t="s">
        <v>371</v>
      </c>
      <c r="C1556" s="2" t="n">
        <v>120</v>
      </c>
      <c r="D1556" s="2" t="s">
        <v>76</v>
      </c>
      <c r="E1556" s="2" t="s">
        <v>2806</v>
      </c>
      <c r="F1556" s="2" t="n">
        <v>60</v>
      </c>
      <c r="G1556" s="2" t="n">
        <v>180</v>
      </c>
      <c r="H1556" s="2" t="s">
        <v>1700</v>
      </c>
      <c r="I1556" s="2" t="n">
        <v>7</v>
      </c>
    </row>
    <row r="1557" customFormat="false" ht="15" hidden="false" customHeight="false" outlineLevel="0" collapsed="false">
      <c r="A1557" s="2" t="s">
        <v>1166</v>
      </c>
      <c r="B1557" s="2" t="s">
        <v>210</v>
      </c>
      <c r="C1557" s="2" t="n">
        <v>40</v>
      </c>
      <c r="D1557" s="2" t="s">
        <v>54</v>
      </c>
      <c r="E1557" s="2" t="s">
        <v>2834</v>
      </c>
      <c r="F1557" s="2" t="n">
        <v>20</v>
      </c>
      <c r="G1557" s="2" t="n">
        <v>60</v>
      </c>
      <c r="H1557" s="2" t="s">
        <v>1689</v>
      </c>
      <c r="I1557" s="2" t="n">
        <v>8</v>
      </c>
    </row>
    <row r="1558" customFormat="false" ht="15" hidden="false" customHeight="false" outlineLevel="0" collapsed="false">
      <c r="A1558" s="2" t="s">
        <v>1166</v>
      </c>
      <c r="B1558" s="2" t="s">
        <v>308</v>
      </c>
      <c r="C1558" s="2" t="n">
        <v>30</v>
      </c>
      <c r="D1558" s="2" t="s">
        <v>54</v>
      </c>
      <c r="E1558" s="2" t="s">
        <v>2835</v>
      </c>
      <c r="F1558" s="2" t="n">
        <v>15</v>
      </c>
      <c r="G1558" s="2" t="n">
        <v>45</v>
      </c>
      <c r="H1558" s="2" t="s">
        <v>1689</v>
      </c>
      <c r="I1558" s="2" t="n">
        <v>9</v>
      </c>
    </row>
    <row r="1559" customFormat="false" ht="15" hidden="false" customHeight="false" outlineLevel="0" collapsed="false">
      <c r="A1559" s="2" t="s">
        <v>1166</v>
      </c>
      <c r="B1559" s="2" t="s">
        <v>301</v>
      </c>
      <c r="C1559" s="2" t="n">
        <v>5</v>
      </c>
      <c r="D1559" s="2" t="s">
        <v>54</v>
      </c>
      <c r="E1559" s="2" t="s">
        <v>2836</v>
      </c>
      <c r="F1559" s="2" t="n">
        <v>2.5</v>
      </c>
      <c r="G1559" s="2" t="n">
        <v>7.5</v>
      </c>
      <c r="H1559" s="2" t="s">
        <v>1689</v>
      </c>
      <c r="I1559" s="2" t="n">
        <v>10</v>
      </c>
    </row>
    <row r="1560" customFormat="false" ht="15" hidden="false" customHeight="false" outlineLevel="0" collapsed="false">
      <c r="A1560" s="2" t="s">
        <v>1166</v>
      </c>
      <c r="B1560" s="2" t="s">
        <v>177</v>
      </c>
      <c r="C1560" s="2" t="n">
        <v>20</v>
      </c>
      <c r="D1560" s="2" t="s">
        <v>54</v>
      </c>
      <c r="E1560" s="2" t="s">
        <v>2837</v>
      </c>
      <c r="F1560" s="2" t="n">
        <v>10</v>
      </c>
      <c r="G1560" s="2" t="n">
        <v>30</v>
      </c>
      <c r="H1560" s="2" t="s">
        <v>1689</v>
      </c>
      <c r="I1560" s="2" t="n">
        <v>11</v>
      </c>
    </row>
    <row r="1561" customFormat="false" ht="15" hidden="false" customHeight="false" outlineLevel="0" collapsed="false">
      <c r="A1561" s="2" t="s">
        <v>1166</v>
      </c>
      <c r="B1561" s="2" t="s">
        <v>375</v>
      </c>
      <c r="C1561" s="2" t="n">
        <v>0.25</v>
      </c>
      <c r="D1561" s="2" t="s">
        <v>1687</v>
      </c>
      <c r="E1561" s="2" t="s">
        <v>2815</v>
      </c>
      <c r="F1561" s="2"/>
      <c r="G1561" s="2" t="n">
        <v>1.25</v>
      </c>
      <c r="H1561" s="2" t="s">
        <v>1689</v>
      </c>
      <c r="I1561" s="2" t="n">
        <v>12</v>
      </c>
    </row>
    <row r="1562" customFormat="false" ht="15" hidden="false" customHeight="false" outlineLevel="0" collapsed="false">
      <c r="A1562" s="2" t="s">
        <v>1170</v>
      </c>
      <c r="B1562" s="2" t="s">
        <v>347</v>
      </c>
      <c r="C1562" s="2" t="n">
        <v>140</v>
      </c>
      <c r="D1562" s="2" t="s">
        <v>54</v>
      </c>
      <c r="E1562" s="2" t="s">
        <v>2838</v>
      </c>
      <c r="F1562" s="2" t="n">
        <v>70</v>
      </c>
      <c r="G1562" s="2" t="n">
        <v>210</v>
      </c>
      <c r="H1562" s="2" t="s">
        <v>1693</v>
      </c>
      <c r="I1562" s="2" t="n">
        <v>1</v>
      </c>
    </row>
    <row r="1563" customFormat="false" ht="15" hidden="false" customHeight="false" outlineLevel="0" collapsed="false">
      <c r="A1563" s="2" t="s">
        <v>1170</v>
      </c>
      <c r="B1563" s="2" t="s">
        <v>271</v>
      </c>
      <c r="C1563" s="2" t="n">
        <v>2.5</v>
      </c>
      <c r="D1563" s="2" t="s">
        <v>54</v>
      </c>
      <c r="E1563" s="2" t="s">
        <v>2779</v>
      </c>
      <c r="F1563" s="2" t="n">
        <v>1.25</v>
      </c>
      <c r="G1563" s="2" t="n">
        <v>3.75</v>
      </c>
      <c r="H1563" s="2" t="s">
        <v>1689</v>
      </c>
      <c r="I1563" s="2" t="n">
        <v>2</v>
      </c>
    </row>
    <row r="1564" customFormat="false" ht="15" hidden="false" customHeight="false" outlineLevel="0" collapsed="false">
      <c r="A1564" s="2" t="s">
        <v>1170</v>
      </c>
      <c r="B1564" s="2" t="s">
        <v>271</v>
      </c>
      <c r="C1564" s="2" t="n">
        <v>2.5</v>
      </c>
      <c r="D1564" s="2" t="s">
        <v>54</v>
      </c>
      <c r="E1564" s="2" t="s">
        <v>2790</v>
      </c>
      <c r="F1564" s="2" t="n">
        <v>1.25</v>
      </c>
      <c r="G1564" s="2" t="n">
        <v>3.75</v>
      </c>
      <c r="H1564" s="2" t="s">
        <v>1689</v>
      </c>
      <c r="I1564" s="2" t="n">
        <v>3</v>
      </c>
    </row>
    <row r="1565" customFormat="false" ht="15" hidden="false" customHeight="false" outlineLevel="0" collapsed="false">
      <c r="A1565" s="2" t="s">
        <v>1170</v>
      </c>
      <c r="B1565" s="2" t="s">
        <v>271</v>
      </c>
      <c r="C1565" s="2" t="n">
        <v>1.25</v>
      </c>
      <c r="D1565" s="2" t="s">
        <v>54</v>
      </c>
      <c r="E1565" s="2" t="s">
        <v>2692</v>
      </c>
      <c r="F1565" s="2" t="n">
        <v>0.62</v>
      </c>
      <c r="G1565" s="2" t="n">
        <v>1.88</v>
      </c>
      <c r="H1565" s="2" t="s">
        <v>1689</v>
      </c>
      <c r="I1565" s="2" t="n">
        <v>4</v>
      </c>
    </row>
    <row r="1566" customFormat="false" ht="15" hidden="false" customHeight="false" outlineLevel="0" collapsed="false">
      <c r="A1566" s="2" t="s">
        <v>1170</v>
      </c>
      <c r="B1566" s="2" t="s">
        <v>271</v>
      </c>
      <c r="C1566" s="2" t="n">
        <v>1.25</v>
      </c>
      <c r="D1566" s="2" t="s">
        <v>54</v>
      </c>
      <c r="E1566" s="2" t="s">
        <v>2791</v>
      </c>
      <c r="F1566" s="2" t="n">
        <v>0.62</v>
      </c>
      <c r="G1566" s="2" t="n">
        <v>1.88</v>
      </c>
      <c r="H1566" s="2" t="s">
        <v>1689</v>
      </c>
      <c r="I1566" s="2" t="n">
        <v>5</v>
      </c>
    </row>
    <row r="1567" customFormat="false" ht="15" hidden="false" customHeight="false" outlineLevel="0" collapsed="false">
      <c r="A1567" s="2" t="s">
        <v>1170</v>
      </c>
      <c r="B1567" s="2" t="s">
        <v>271</v>
      </c>
      <c r="C1567" s="2" t="n">
        <v>0.625</v>
      </c>
      <c r="D1567" s="2" t="s">
        <v>54</v>
      </c>
      <c r="E1567" s="2" t="s">
        <v>2839</v>
      </c>
      <c r="F1567" s="2" t="n">
        <v>0.31</v>
      </c>
      <c r="G1567" s="2" t="n">
        <v>0.94</v>
      </c>
      <c r="H1567" s="2" t="s">
        <v>1689</v>
      </c>
      <c r="I1567" s="2" t="n">
        <v>6</v>
      </c>
    </row>
    <row r="1568" customFormat="false" ht="15" hidden="false" customHeight="false" outlineLevel="0" collapsed="false">
      <c r="A1568" s="2" t="s">
        <v>1170</v>
      </c>
      <c r="B1568" s="2" t="s">
        <v>480</v>
      </c>
      <c r="C1568" s="2" t="n">
        <v>1</v>
      </c>
      <c r="D1568" s="2" t="s">
        <v>54</v>
      </c>
      <c r="E1568" s="2" t="s">
        <v>2840</v>
      </c>
      <c r="F1568" s="2" t="n">
        <v>0.5</v>
      </c>
      <c r="G1568" s="2" t="n">
        <v>1.5</v>
      </c>
      <c r="H1568" s="2" t="s">
        <v>1689</v>
      </c>
      <c r="I1568" s="2" t="n">
        <v>7</v>
      </c>
    </row>
    <row r="1569" customFormat="false" ht="15" hidden="false" customHeight="false" outlineLevel="0" collapsed="false">
      <c r="A1569" s="2" t="s">
        <v>1170</v>
      </c>
      <c r="B1569" s="2" t="s">
        <v>312</v>
      </c>
      <c r="C1569" s="2" t="n">
        <v>2</v>
      </c>
      <c r="D1569" s="2" t="s">
        <v>1687</v>
      </c>
      <c r="E1569" s="2" t="s">
        <v>2776</v>
      </c>
      <c r="F1569" s="2" t="n">
        <v>1</v>
      </c>
      <c r="G1569" s="2" t="n">
        <v>3</v>
      </c>
      <c r="H1569" s="2" t="s">
        <v>1689</v>
      </c>
      <c r="I1569" s="2" t="n">
        <v>8</v>
      </c>
    </row>
    <row r="1570" customFormat="false" ht="15" hidden="false" customHeight="false" outlineLevel="0" collapsed="false">
      <c r="A1570" s="2" t="s">
        <v>1170</v>
      </c>
      <c r="B1570" s="2" t="s">
        <v>299</v>
      </c>
      <c r="C1570" s="2" t="n">
        <v>1</v>
      </c>
      <c r="D1570" s="2" t="s">
        <v>54</v>
      </c>
      <c r="E1570" s="2" t="s">
        <v>2777</v>
      </c>
      <c r="F1570" s="2"/>
      <c r="G1570" s="2" t="n">
        <v>2</v>
      </c>
      <c r="H1570" s="2" t="s">
        <v>1689</v>
      </c>
      <c r="I1570" s="2" t="n">
        <v>9</v>
      </c>
    </row>
    <row r="1571" customFormat="false" ht="15" hidden="false" customHeight="false" outlineLevel="0" collapsed="false">
      <c r="A1571" s="2" t="s">
        <v>1170</v>
      </c>
      <c r="B1571" s="2" t="s">
        <v>177</v>
      </c>
      <c r="C1571" s="2" t="n">
        <v>35</v>
      </c>
      <c r="D1571" s="2" t="s">
        <v>54</v>
      </c>
      <c r="E1571" s="2" t="s">
        <v>2783</v>
      </c>
      <c r="F1571" s="2" t="n">
        <v>17.5</v>
      </c>
      <c r="G1571" s="2" t="n">
        <v>52.5</v>
      </c>
      <c r="H1571" s="2" t="s">
        <v>1689</v>
      </c>
      <c r="I1571" s="2" t="n">
        <v>10</v>
      </c>
    </row>
    <row r="1572" customFormat="false" ht="15" hidden="false" customHeight="false" outlineLevel="0" collapsed="false">
      <c r="A1572" s="2" t="s">
        <v>1170</v>
      </c>
      <c r="B1572" s="2" t="s">
        <v>301</v>
      </c>
      <c r="C1572" s="2" t="n">
        <v>5</v>
      </c>
      <c r="D1572" s="2" t="s">
        <v>54</v>
      </c>
      <c r="E1572" s="2" t="s">
        <v>2796</v>
      </c>
      <c r="F1572" s="2" t="n">
        <v>2.5</v>
      </c>
      <c r="G1572" s="2" t="n">
        <v>7.5</v>
      </c>
      <c r="H1572" s="2" t="s">
        <v>1689</v>
      </c>
      <c r="I1572" s="2" t="n">
        <v>11</v>
      </c>
    </row>
    <row r="1573" customFormat="false" ht="15" hidden="false" customHeight="false" outlineLevel="0" collapsed="false">
      <c r="A1573" s="2" t="s">
        <v>1170</v>
      </c>
      <c r="B1573" s="2" t="s">
        <v>365</v>
      </c>
      <c r="C1573" s="2" t="n">
        <v>0.25</v>
      </c>
      <c r="D1573" s="2" t="s">
        <v>1687</v>
      </c>
      <c r="E1573" s="2" t="s">
        <v>2785</v>
      </c>
      <c r="F1573" s="2"/>
      <c r="G1573" s="2" t="n">
        <v>1.25</v>
      </c>
      <c r="H1573" s="2" t="s">
        <v>1689</v>
      </c>
      <c r="I1573" s="2" t="n">
        <v>12</v>
      </c>
    </row>
    <row r="1574" customFormat="false" ht="15" hidden="false" customHeight="false" outlineLevel="0" collapsed="false">
      <c r="A1574" s="2" t="s">
        <v>1174</v>
      </c>
      <c r="B1574" s="2" t="s">
        <v>214</v>
      </c>
      <c r="C1574" s="2" t="n">
        <v>150</v>
      </c>
      <c r="D1574" s="2" t="s">
        <v>54</v>
      </c>
      <c r="E1574" s="2" t="s">
        <v>2841</v>
      </c>
      <c r="F1574" s="2" t="n">
        <v>75</v>
      </c>
      <c r="G1574" s="2" t="n">
        <v>225</v>
      </c>
      <c r="H1574" s="2" t="s">
        <v>1689</v>
      </c>
      <c r="I1574" s="2" t="n">
        <v>1</v>
      </c>
    </row>
    <row r="1575" customFormat="false" ht="15" hidden="false" customHeight="false" outlineLevel="0" collapsed="false">
      <c r="A1575" s="2" t="s">
        <v>1174</v>
      </c>
      <c r="B1575" s="2" t="s">
        <v>446</v>
      </c>
      <c r="C1575" s="2" t="n">
        <v>100</v>
      </c>
      <c r="D1575" s="2" t="s">
        <v>54</v>
      </c>
      <c r="E1575" s="2" t="s">
        <v>2842</v>
      </c>
      <c r="F1575" s="2" t="n">
        <v>50</v>
      </c>
      <c r="G1575" s="2" t="n">
        <v>150</v>
      </c>
      <c r="H1575" s="2" t="s">
        <v>1689</v>
      </c>
      <c r="I1575" s="2" t="n">
        <v>2</v>
      </c>
    </row>
    <row r="1576" customFormat="false" ht="15" hidden="false" customHeight="false" outlineLevel="0" collapsed="false">
      <c r="A1576" s="2" t="s">
        <v>1174</v>
      </c>
      <c r="B1576" s="2" t="s">
        <v>409</v>
      </c>
      <c r="C1576" s="2" t="n">
        <v>20</v>
      </c>
      <c r="D1576" s="2" t="s">
        <v>54</v>
      </c>
      <c r="E1576" s="2" t="s">
        <v>2843</v>
      </c>
      <c r="F1576" s="2" t="n">
        <v>10</v>
      </c>
      <c r="G1576" s="2" t="n">
        <v>30</v>
      </c>
      <c r="H1576" s="2" t="s">
        <v>1689</v>
      </c>
      <c r="I1576" s="2" t="n">
        <v>3</v>
      </c>
    </row>
    <row r="1577" customFormat="false" ht="15" hidden="false" customHeight="false" outlineLevel="0" collapsed="false">
      <c r="A1577" s="2" t="s">
        <v>1174</v>
      </c>
      <c r="B1577" s="2" t="s">
        <v>308</v>
      </c>
      <c r="C1577" s="2" t="n">
        <v>20</v>
      </c>
      <c r="D1577" s="2" t="s">
        <v>54</v>
      </c>
      <c r="E1577" s="2" t="s">
        <v>2844</v>
      </c>
      <c r="F1577" s="2" t="n">
        <v>10</v>
      </c>
      <c r="G1577" s="2" t="n">
        <v>30</v>
      </c>
      <c r="H1577" s="2" t="s">
        <v>1689</v>
      </c>
      <c r="I1577" s="2" t="n">
        <v>4</v>
      </c>
    </row>
    <row r="1578" customFormat="false" ht="15" hidden="false" customHeight="false" outlineLevel="0" collapsed="false">
      <c r="A1578" s="2" t="s">
        <v>1174</v>
      </c>
      <c r="B1578" s="2" t="s">
        <v>452</v>
      </c>
      <c r="C1578" s="2" t="n">
        <v>4.5</v>
      </c>
      <c r="D1578" s="2" t="s">
        <v>54</v>
      </c>
      <c r="E1578" s="2" t="s">
        <v>2845</v>
      </c>
      <c r="F1578" s="2" t="n">
        <v>2.25</v>
      </c>
      <c r="G1578" s="2" t="n">
        <v>6.75</v>
      </c>
      <c r="H1578" s="2" t="s">
        <v>1700</v>
      </c>
      <c r="I1578" s="2" t="n">
        <v>5</v>
      </c>
    </row>
    <row r="1579" customFormat="false" ht="15" hidden="false" customHeight="false" outlineLevel="0" collapsed="false">
      <c r="A1579" s="2" t="s">
        <v>1174</v>
      </c>
      <c r="B1579" s="2" t="s">
        <v>271</v>
      </c>
      <c r="C1579" s="2" t="n">
        <v>1.25</v>
      </c>
      <c r="D1579" s="2" t="s">
        <v>54</v>
      </c>
      <c r="E1579" s="2" t="s">
        <v>2846</v>
      </c>
      <c r="F1579" s="2" t="n">
        <v>0.62</v>
      </c>
      <c r="G1579" s="2" t="n">
        <v>1.88</v>
      </c>
      <c r="H1579" s="2" t="s">
        <v>1689</v>
      </c>
      <c r="I1579" s="2" t="n">
        <v>6</v>
      </c>
    </row>
    <row r="1580" customFormat="false" ht="15" hidden="false" customHeight="false" outlineLevel="0" collapsed="false">
      <c r="A1580" s="2" t="s">
        <v>1174</v>
      </c>
      <c r="B1580" s="2" t="s">
        <v>404</v>
      </c>
      <c r="C1580" s="2" t="n">
        <v>1.25</v>
      </c>
      <c r="D1580" s="2" t="s">
        <v>54</v>
      </c>
      <c r="E1580" s="2" t="s">
        <v>2847</v>
      </c>
      <c r="F1580" s="2" t="n">
        <v>0.62</v>
      </c>
      <c r="G1580" s="2" t="n">
        <v>1.88</v>
      </c>
      <c r="H1580" s="2" t="s">
        <v>1700</v>
      </c>
      <c r="I1580" s="2" t="n">
        <v>7</v>
      </c>
    </row>
    <row r="1581" customFormat="false" ht="15" hidden="false" customHeight="false" outlineLevel="0" collapsed="false">
      <c r="A1581" s="2" t="s">
        <v>1174</v>
      </c>
      <c r="B1581" s="2" t="s">
        <v>271</v>
      </c>
      <c r="C1581" s="2" t="n">
        <v>0.625</v>
      </c>
      <c r="D1581" s="2" t="s">
        <v>54</v>
      </c>
      <c r="E1581" s="2" t="s">
        <v>2792</v>
      </c>
      <c r="F1581" s="2" t="n">
        <v>0.31</v>
      </c>
      <c r="G1581" s="2" t="n">
        <v>0.94</v>
      </c>
      <c r="H1581" s="2" t="s">
        <v>1689</v>
      </c>
      <c r="I1581" s="2" t="n">
        <v>8</v>
      </c>
    </row>
    <row r="1582" customFormat="false" ht="15" hidden="false" customHeight="false" outlineLevel="0" collapsed="false">
      <c r="A1582" s="2" t="s">
        <v>1174</v>
      </c>
      <c r="B1582" s="2" t="s">
        <v>271</v>
      </c>
      <c r="C1582" s="2" t="n">
        <v>1</v>
      </c>
      <c r="D1582" s="2" t="s">
        <v>54</v>
      </c>
      <c r="E1582" s="2" t="s">
        <v>2793</v>
      </c>
      <c r="F1582" s="2" t="n">
        <v>0.5</v>
      </c>
      <c r="G1582" s="2" t="n">
        <v>1.5</v>
      </c>
      <c r="H1582" s="2" t="s">
        <v>1689</v>
      </c>
      <c r="I1582" s="2" t="n">
        <v>9</v>
      </c>
    </row>
    <row r="1583" customFormat="false" ht="15" hidden="false" customHeight="false" outlineLevel="0" collapsed="false">
      <c r="A1583" s="2" t="s">
        <v>1174</v>
      </c>
      <c r="B1583" s="2" t="s">
        <v>312</v>
      </c>
      <c r="C1583" s="2" t="n">
        <v>1</v>
      </c>
      <c r="D1583" s="2" t="s">
        <v>1687</v>
      </c>
      <c r="E1583" s="2" t="s">
        <v>2800</v>
      </c>
      <c r="F1583" s="2"/>
      <c r="G1583" s="2" t="n">
        <v>2</v>
      </c>
      <c r="H1583" s="2" t="s">
        <v>1689</v>
      </c>
      <c r="I1583" s="2" t="n">
        <v>10</v>
      </c>
    </row>
    <row r="1584" customFormat="false" ht="15" hidden="false" customHeight="false" outlineLevel="0" collapsed="false">
      <c r="A1584" s="2" t="s">
        <v>1174</v>
      </c>
      <c r="B1584" s="2" t="s">
        <v>299</v>
      </c>
      <c r="C1584" s="2" t="n">
        <v>1</v>
      </c>
      <c r="D1584" s="2" t="s">
        <v>54</v>
      </c>
      <c r="E1584" s="2" t="s">
        <v>2777</v>
      </c>
      <c r="F1584" s="2"/>
      <c r="G1584" s="2" t="n">
        <v>2</v>
      </c>
      <c r="H1584" s="2" t="s">
        <v>1689</v>
      </c>
      <c r="I1584" s="2" t="n">
        <v>11</v>
      </c>
    </row>
    <row r="1585" customFormat="false" ht="15" hidden="false" customHeight="false" outlineLevel="0" collapsed="false">
      <c r="A1585" s="2" t="s">
        <v>1174</v>
      </c>
      <c r="B1585" s="2" t="s">
        <v>301</v>
      </c>
      <c r="C1585" s="2" t="n">
        <v>5</v>
      </c>
      <c r="D1585" s="2" t="s">
        <v>54</v>
      </c>
      <c r="E1585" s="2" t="s">
        <v>2784</v>
      </c>
      <c r="F1585" s="2" t="n">
        <v>2.5</v>
      </c>
      <c r="G1585" s="2" t="n">
        <v>7.5</v>
      </c>
      <c r="H1585" s="2" t="s">
        <v>1689</v>
      </c>
      <c r="I1585" s="2" t="n">
        <v>12</v>
      </c>
    </row>
    <row r="1586" customFormat="false" ht="15" hidden="false" customHeight="false" outlineLevel="0" collapsed="false">
      <c r="A1586" s="2" t="s">
        <v>1178</v>
      </c>
      <c r="B1586" s="2" t="s">
        <v>359</v>
      </c>
      <c r="C1586" s="2" t="n">
        <v>110</v>
      </c>
      <c r="D1586" s="2" t="s">
        <v>54</v>
      </c>
      <c r="E1586" s="2" t="s">
        <v>2848</v>
      </c>
      <c r="F1586" s="2" t="n">
        <v>55</v>
      </c>
      <c r="G1586" s="2" t="n">
        <v>165</v>
      </c>
      <c r="H1586" s="2" t="s">
        <v>1693</v>
      </c>
      <c r="I1586" s="2" t="n">
        <v>1</v>
      </c>
    </row>
    <row r="1587" customFormat="false" ht="15" hidden="false" customHeight="false" outlineLevel="0" collapsed="false">
      <c r="A1587" s="2" t="s">
        <v>1178</v>
      </c>
      <c r="B1587" s="2" t="s">
        <v>148</v>
      </c>
      <c r="C1587" s="2" t="n">
        <v>30</v>
      </c>
      <c r="D1587" s="2" t="s">
        <v>54</v>
      </c>
      <c r="E1587" s="2" t="s">
        <v>2849</v>
      </c>
      <c r="F1587" s="2" t="n">
        <v>15</v>
      </c>
      <c r="G1587" s="2" t="n">
        <v>45</v>
      </c>
      <c r="H1587" s="2" t="s">
        <v>1693</v>
      </c>
      <c r="I1587" s="2" t="n">
        <v>2</v>
      </c>
    </row>
    <row r="1588" customFormat="false" ht="15" hidden="false" customHeight="false" outlineLevel="0" collapsed="false">
      <c r="A1588" s="2" t="s">
        <v>1178</v>
      </c>
      <c r="B1588" s="2" t="s">
        <v>262</v>
      </c>
      <c r="C1588" s="2" t="n">
        <v>2.5</v>
      </c>
      <c r="D1588" s="2" t="s">
        <v>54</v>
      </c>
      <c r="E1588" s="2" t="s">
        <v>2850</v>
      </c>
      <c r="F1588" s="2" t="n">
        <v>1.25</v>
      </c>
      <c r="G1588" s="2" t="n">
        <v>3.75</v>
      </c>
      <c r="H1588" s="2" t="s">
        <v>1689</v>
      </c>
      <c r="I1588" s="2" t="n">
        <v>3</v>
      </c>
    </row>
    <row r="1589" customFormat="false" ht="15" hidden="false" customHeight="false" outlineLevel="0" collapsed="false">
      <c r="A1589" s="2" t="s">
        <v>1178</v>
      </c>
      <c r="B1589" s="2" t="s">
        <v>271</v>
      </c>
      <c r="C1589" s="2" t="n">
        <v>1.25</v>
      </c>
      <c r="D1589" s="2" t="s">
        <v>54</v>
      </c>
      <c r="E1589" s="2" t="s">
        <v>2780</v>
      </c>
      <c r="F1589" s="2" t="n">
        <v>0.62</v>
      </c>
      <c r="G1589" s="2" t="n">
        <v>1.88</v>
      </c>
      <c r="H1589" s="2" t="s">
        <v>1689</v>
      </c>
      <c r="I1589" s="2" t="n">
        <v>4</v>
      </c>
    </row>
    <row r="1590" customFormat="false" ht="15" hidden="false" customHeight="false" outlineLevel="0" collapsed="false">
      <c r="A1590" s="2" t="s">
        <v>1178</v>
      </c>
      <c r="B1590" s="2" t="s">
        <v>271</v>
      </c>
      <c r="C1590" s="2" t="n">
        <v>1.25</v>
      </c>
      <c r="D1590" s="2" t="s">
        <v>54</v>
      </c>
      <c r="E1590" s="2" t="s">
        <v>2781</v>
      </c>
      <c r="F1590" s="2" t="n">
        <v>0.62</v>
      </c>
      <c r="G1590" s="2" t="n">
        <v>1.88</v>
      </c>
      <c r="H1590" s="2" t="s">
        <v>1689</v>
      </c>
      <c r="I1590" s="2" t="n">
        <v>5</v>
      </c>
    </row>
    <row r="1591" customFormat="false" ht="15" hidden="false" customHeight="false" outlineLevel="0" collapsed="false">
      <c r="A1591" s="2" t="s">
        <v>1178</v>
      </c>
      <c r="B1591" s="2" t="s">
        <v>312</v>
      </c>
      <c r="C1591" s="2" t="n">
        <v>2</v>
      </c>
      <c r="D1591" s="2" t="s">
        <v>1687</v>
      </c>
      <c r="E1591" s="2" t="s">
        <v>2776</v>
      </c>
      <c r="F1591" s="2" t="n">
        <v>1</v>
      </c>
      <c r="G1591" s="2" t="n">
        <v>3</v>
      </c>
      <c r="H1591" s="2" t="s">
        <v>1689</v>
      </c>
      <c r="I1591" s="2" t="n">
        <v>6</v>
      </c>
    </row>
    <row r="1592" customFormat="false" ht="15" hidden="false" customHeight="false" outlineLevel="0" collapsed="false">
      <c r="A1592" s="2" t="s">
        <v>1178</v>
      </c>
      <c r="B1592" s="2" t="s">
        <v>299</v>
      </c>
      <c r="C1592" s="2" t="n">
        <v>1</v>
      </c>
      <c r="D1592" s="2" t="s">
        <v>54</v>
      </c>
      <c r="E1592" s="2" t="s">
        <v>2777</v>
      </c>
      <c r="F1592" s="2"/>
      <c r="G1592" s="2" t="n">
        <v>2</v>
      </c>
      <c r="H1592" s="2" t="s">
        <v>1689</v>
      </c>
      <c r="I1592" s="2" t="n">
        <v>7</v>
      </c>
    </row>
    <row r="1593" customFormat="false" ht="15" hidden="false" customHeight="false" outlineLevel="0" collapsed="false">
      <c r="A1593" s="2" t="s">
        <v>1178</v>
      </c>
      <c r="B1593" s="2" t="s">
        <v>177</v>
      </c>
      <c r="C1593" s="2" t="n">
        <v>55</v>
      </c>
      <c r="D1593" s="2" t="s">
        <v>54</v>
      </c>
      <c r="E1593" s="2" t="s">
        <v>2851</v>
      </c>
      <c r="F1593" s="2" t="n">
        <v>27.5</v>
      </c>
      <c r="G1593" s="2" t="n">
        <v>82.5</v>
      </c>
      <c r="H1593" s="2" t="s">
        <v>1689</v>
      </c>
      <c r="I1593" s="2" t="n">
        <v>8</v>
      </c>
    </row>
    <row r="1594" customFormat="false" ht="15" hidden="false" customHeight="false" outlineLevel="0" collapsed="false">
      <c r="A1594" s="2" t="s">
        <v>1178</v>
      </c>
      <c r="B1594" s="2" t="s">
        <v>452</v>
      </c>
      <c r="C1594" s="2" t="n">
        <v>6.75</v>
      </c>
      <c r="D1594" s="2" t="s">
        <v>54</v>
      </c>
      <c r="E1594" s="2" t="s">
        <v>2852</v>
      </c>
      <c r="F1594" s="2" t="n">
        <v>3.38</v>
      </c>
      <c r="G1594" s="2" t="n">
        <v>10.12</v>
      </c>
      <c r="H1594" s="2" t="s">
        <v>1700</v>
      </c>
      <c r="I1594" s="2" t="n">
        <v>9</v>
      </c>
    </row>
    <row r="1595" customFormat="false" ht="15" hidden="false" customHeight="false" outlineLevel="0" collapsed="false">
      <c r="A1595" s="2" t="s">
        <v>1178</v>
      </c>
      <c r="B1595" s="2" t="s">
        <v>409</v>
      </c>
      <c r="C1595" s="2" t="n">
        <v>40</v>
      </c>
      <c r="D1595" s="2" t="s">
        <v>54</v>
      </c>
      <c r="E1595" s="2" t="s">
        <v>2853</v>
      </c>
      <c r="F1595" s="2" t="n">
        <v>20</v>
      </c>
      <c r="G1595" s="2" t="n">
        <v>60</v>
      </c>
      <c r="H1595" s="2" t="s">
        <v>1689</v>
      </c>
      <c r="I1595" s="2" t="n">
        <v>10</v>
      </c>
    </row>
    <row r="1596" customFormat="false" ht="15" hidden="false" customHeight="false" outlineLevel="0" collapsed="false">
      <c r="A1596" s="2" t="s">
        <v>1178</v>
      </c>
      <c r="B1596" s="2" t="s">
        <v>450</v>
      </c>
      <c r="C1596" s="2" t="n">
        <v>10</v>
      </c>
      <c r="D1596" s="2" t="s">
        <v>54</v>
      </c>
      <c r="E1596" s="2" t="s">
        <v>2854</v>
      </c>
      <c r="F1596" s="2" t="n">
        <v>5</v>
      </c>
      <c r="G1596" s="2" t="n">
        <v>15</v>
      </c>
      <c r="H1596" s="2" t="s">
        <v>1689</v>
      </c>
      <c r="I1596" s="2" t="n">
        <v>11</v>
      </c>
    </row>
    <row r="1597" customFormat="false" ht="15" hidden="false" customHeight="false" outlineLevel="0" collapsed="false">
      <c r="A1597" s="2" t="s">
        <v>1178</v>
      </c>
      <c r="B1597" s="2" t="s">
        <v>179</v>
      </c>
      <c r="C1597" s="2" t="n">
        <v>2</v>
      </c>
      <c r="D1597" s="2" t="s">
        <v>1687</v>
      </c>
      <c r="E1597" s="2" t="s">
        <v>2855</v>
      </c>
      <c r="F1597" s="2" t="n">
        <v>1</v>
      </c>
      <c r="G1597" s="2" t="n">
        <v>3</v>
      </c>
      <c r="H1597" s="2" t="s">
        <v>1689</v>
      </c>
      <c r="I1597" s="2" t="n">
        <v>12</v>
      </c>
    </row>
    <row r="1598" customFormat="false" ht="15" hidden="false" customHeight="false" outlineLevel="0" collapsed="false">
      <c r="A1598" s="2" t="s">
        <v>1178</v>
      </c>
      <c r="B1598" s="2" t="s">
        <v>179</v>
      </c>
      <c r="C1598" s="2" t="n">
        <v>1</v>
      </c>
      <c r="D1598" s="2" t="s">
        <v>1687</v>
      </c>
      <c r="E1598" s="2" t="s">
        <v>2856</v>
      </c>
      <c r="F1598" s="2" t="n">
        <v>0.5</v>
      </c>
      <c r="G1598" s="2" t="n">
        <v>1.5</v>
      </c>
      <c r="H1598" s="2" t="s">
        <v>1689</v>
      </c>
      <c r="I1598" s="2" t="n">
        <v>13</v>
      </c>
    </row>
    <row r="1599" customFormat="false" ht="15" hidden="false" customHeight="false" outlineLevel="0" collapsed="false">
      <c r="A1599" s="2" t="s">
        <v>1178</v>
      </c>
      <c r="B1599" s="2" t="s">
        <v>179</v>
      </c>
      <c r="C1599" s="2" t="n">
        <v>1</v>
      </c>
      <c r="D1599" s="2" t="s">
        <v>1687</v>
      </c>
      <c r="E1599" s="2" t="s">
        <v>2857</v>
      </c>
      <c r="F1599" s="2" t="n">
        <v>0.5</v>
      </c>
      <c r="G1599" s="2" t="n">
        <v>1.5</v>
      </c>
      <c r="H1599" s="2" t="s">
        <v>1689</v>
      </c>
      <c r="I1599" s="2" t="n">
        <v>14</v>
      </c>
    </row>
    <row r="1600" customFormat="false" ht="15" hidden="false" customHeight="false" outlineLevel="0" collapsed="false">
      <c r="A1600" s="2" t="s">
        <v>1178</v>
      </c>
      <c r="B1600" s="2" t="s">
        <v>472</v>
      </c>
      <c r="C1600" s="2" t="n">
        <v>1</v>
      </c>
      <c r="D1600" s="2" t="s">
        <v>54</v>
      </c>
      <c r="E1600" s="2" t="s">
        <v>2858</v>
      </c>
      <c r="F1600" s="2" t="n">
        <v>0.5</v>
      </c>
      <c r="G1600" s="2" t="n">
        <v>1.5</v>
      </c>
      <c r="H1600" s="2" t="s">
        <v>1689</v>
      </c>
      <c r="I1600" s="2" t="n">
        <v>15</v>
      </c>
    </row>
    <row r="1601" customFormat="false" ht="15" hidden="false" customHeight="false" outlineLevel="0" collapsed="false">
      <c r="A1601" s="2" t="s">
        <v>1178</v>
      </c>
      <c r="B1601" s="2" t="s">
        <v>301</v>
      </c>
      <c r="C1601" s="2" t="n">
        <v>5</v>
      </c>
      <c r="D1601" s="2" t="s">
        <v>54</v>
      </c>
      <c r="E1601" s="2" t="s">
        <v>2859</v>
      </c>
      <c r="F1601" s="2" t="n">
        <v>2.5</v>
      </c>
      <c r="G1601" s="2" t="n">
        <v>7.5</v>
      </c>
      <c r="H1601" s="2" t="s">
        <v>1689</v>
      </c>
      <c r="I1601" s="2" t="n">
        <v>16</v>
      </c>
    </row>
    <row r="1602" customFormat="false" ht="15" hidden="false" customHeight="false" outlineLevel="0" collapsed="false">
      <c r="A1602" s="2" t="s">
        <v>1182</v>
      </c>
      <c r="B1602" s="2" t="s">
        <v>361</v>
      </c>
      <c r="C1602" s="2" t="n">
        <v>110</v>
      </c>
      <c r="D1602" s="2" t="s">
        <v>54</v>
      </c>
      <c r="E1602" s="2" t="s">
        <v>2860</v>
      </c>
      <c r="F1602" s="2" t="n">
        <v>55</v>
      </c>
      <c r="G1602" s="2" t="n">
        <v>165</v>
      </c>
      <c r="H1602" s="2" t="s">
        <v>1693</v>
      </c>
      <c r="I1602" s="2" t="n">
        <v>1</v>
      </c>
    </row>
    <row r="1603" customFormat="false" ht="15" hidden="false" customHeight="false" outlineLevel="0" collapsed="false">
      <c r="A1603" s="2" t="s">
        <v>1182</v>
      </c>
      <c r="B1603" s="2" t="s">
        <v>409</v>
      </c>
      <c r="C1603" s="2" t="n">
        <v>40</v>
      </c>
      <c r="D1603" s="2" t="s">
        <v>54</v>
      </c>
      <c r="E1603" s="2" t="s">
        <v>2775</v>
      </c>
      <c r="F1603" s="2" t="n">
        <v>20</v>
      </c>
      <c r="G1603" s="2" t="n">
        <v>60</v>
      </c>
      <c r="H1603" s="2" t="s">
        <v>1689</v>
      </c>
      <c r="I1603" s="2" t="n">
        <v>2</v>
      </c>
    </row>
    <row r="1604" customFormat="false" ht="15" hidden="false" customHeight="false" outlineLevel="0" collapsed="false">
      <c r="A1604" s="2" t="s">
        <v>1182</v>
      </c>
      <c r="B1604" s="2" t="s">
        <v>312</v>
      </c>
      <c r="C1604" s="2" t="n">
        <v>2</v>
      </c>
      <c r="D1604" s="2" t="s">
        <v>1687</v>
      </c>
      <c r="E1604" s="2" t="s">
        <v>2776</v>
      </c>
      <c r="F1604" s="2" t="n">
        <v>1</v>
      </c>
      <c r="G1604" s="2" t="n">
        <v>3</v>
      </c>
      <c r="H1604" s="2" t="s">
        <v>1689</v>
      </c>
      <c r="I1604" s="2" t="n">
        <v>3</v>
      </c>
    </row>
    <row r="1605" customFormat="false" ht="15" hidden="false" customHeight="false" outlineLevel="0" collapsed="false">
      <c r="A1605" s="2" t="s">
        <v>1182</v>
      </c>
      <c r="B1605" s="2" t="s">
        <v>299</v>
      </c>
      <c r="C1605" s="2" t="n">
        <v>1</v>
      </c>
      <c r="D1605" s="2" t="s">
        <v>54</v>
      </c>
      <c r="E1605" s="2" t="s">
        <v>2777</v>
      </c>
      <c r="F1605" s="2"/>
      <c r="G1605" s="2" t="n">
        <v>2</v>
      </c>
      <c r="H1605" s="2" t="s">
        <v>1689</v>
      </c>
      <c r="I1605" s="2" t="n">
        <v>4</v>
      </c>
    </row>
    <row r="1606" customFormat="false" ht="15" hidden="false" customHeight="false" outlineLevel="0" collapsed="false">
      <c r="A1606" s="2" t="s">
        <v>1182</v>
      </c>
      <c r="B1606" s="2" t="s">
        <v>524</v>
      </c>
      <c r="C1606" s="2" t="n">
        <v>80</v>
      </c>
      <c r="D1606" s="2" t="s">
        <v>54</v>
      </c>
      <c r="E1606" s="2" t="s">
        <v>2861</v>
      </c>
      <c r="F1606" s="2" t="n">
        <v>40</v>
      </c>
      <c r="G1606" s="2" t="n">
        <v>120</v>
      </c>
      <c r="H1606" s="2" t="s">
        <v>1689</v>
      </c>
      <c r="I1606" s="2" t="n">
        <v>5</v>
      </c>
    </row>
    <row r="1607" customFormat="false" ht="15" hidden="false" customHeight="false" outlineLevel="0" collapsed="false">
      <c r="A1607" s="2" t="s">
        <v>1182</v>
      </c>
      <c r="B1607" s="2" t="s">
        <v>308</v>
      </c>
      <c r="C1607" s="2" t="n">
        <v>20</v>
      </c>
      <c r="D1607" s="2" t="s">
        <v>54</v>
      </c>
      <c r="E1607" s="2" t="s">
        <v>2844</v>
      </c>
      <c r="F1607" s="2" t="n">
        <v>10</v>
      </c>
      <c r="G1607" s="2" t="n">
        <v>30</v>
      </c>
      <c r="H1607" s="2" t="s">
        <v>1689</v>
      </c>
      <c r="I1607" s="2" t="n">
        <v>6</v>
      </c>
    </row>
    <row r="1608" customFormat="false" ht="15" hidden="false" customHeight="false" outlineLevel="0" collapsed="false">
      <c r="A1608" s="2" t="s">
        <v>1182</v>
      </c>
      <c r="B1608" s="2" t="s">
        <v>271</v>
      </c>
      <c r="C1608" s="2" t="n">
        <v>2.5</v>
      </c>
      <c r="D1608" s="2" t="s">
        <v>54</v>
      </c>
      <c r="E1608" s="2" t="s">
        <v>2779</v>
      </c>
      <c r="F1608" s="2" t="n">
        <v>1.25</v>
      </c>
      <c r="G1608" s="2" t="n">
        <v>3.75</v>
      </c>
      <c r="H1608" s="2" t="s">
        <v>1689</v>
      </c>
      <c r="I1608" s="2" t="n">
        <v>7</v>
      </c>
    </row>
    <row r="1609" customFormat="false" ht="15" hidden="false" customHeight="false" outlineLevel="0" collapsed="false">
      <c r="A1609" s="2" t="s">
        <v>1182</v>
      </c>
      <c r="B1609" s="2" t="s">
        <v>271</v>
      </c>
      <c r="C1609" s="2" t="n">
        <v>2.5</v>
      </c>
      <c r="D1609" s="2" t="s">
        <v>54</v>
      </c>
      <c r="E1609" s="2" t="s">
        <v>2790</v>
      </c>
      <c r="F1609" s="2" t="n">
        <v>1.25</v>
      </c>
      <c r="G1609" s="2" t="n">
        <v>3.75</v>
      </c>
      <c r="H1609" s="2" t="s">
        <v>1689</v>
      </c>
      <c r="I1609" s="2" t="n">
        <v>8</v>
      </c>
    </row>
    <row r="1610" customFormat="false" ht="15" hidden="false" customHeight="false" outlineLevel="0" collapsed="false">
      <c r="A1610" s="2" t="s">
        <v>1182</v>
      </c>
      <c r="B1610" s="2" t="s">
        <v>271</v>
      </c>
      <c r="C1610" s="2" t="n">
        <v>1.25</v>
      </c>
      <c r="D1610" s="2" t="s">
        <v>54</v>
      </c>
      <c r="E1610" s="2" t="s">
        <v>2791</v>
      </c>
      <c r="F1610" s="2" t="n">
        <v>0.62</v>
      </c>
      <c r="G1610" s="2" t="n">
        <v>1.88</v>
      </c>
      <c r="H1610" s="2" t="s">
        <v>1689</v>
      </c>
      <c r="I1610" s="2" t="n">
        <v>9</v>
      </c>
    </row>
    <row r="1611" customFormat="false" ht="15" hidden="false" customHeight="false" outlineLevel="0" collapsed="false">
      <c r="A1611" s="2" t="s">
        <v>1182</v>
      </c>
      <c r="B1611" s="2" t="s">
        <v>271</v>
      </c>
      <c r="C1611" s="2" t="n">
        <v>0.625</v>
      </c>
      <c r="D1611" s="2" t="s">
        <v>54</v>
      </c>
      <c r="E1611" s="2" t="s">
        <v>2792</v>
      </c>
      <c r="F1611" s="2" t="n">
        <v>0.31</v>
      </c>
      <c r="G1611" s="2" t="n">
        <v>0.94</v>
      </c>
      <c r="H1611" s="2" t="s">
        <v>1689</v>
      </c>
      <c r="I1611" s="2" t="n">
        <v>10</v>
      </c>
    </row>
    <row r="1612" customFormat="false" ht="15" hidden="false" customHeight="false" outlineLevel="0" collapsed="false">
      <c r="A1612" s="2" t="s">
        <v>1182</v>
      </c>
      <c r="B1612" s="2" t="s">
        <v>271</v>
      </c>
      <c r="C1612" s="2" t="n">
        <v>1</v>
      </c>
      <c r="D1612" s="2" t="s">
        <v>54</v>
      </c>
      <c r="E1612" s="2" t="s">
        <v>2793</v>
      </c>
      <c r="F1612" s="2" t="n">
        <v>0.5</v>
      </c>
      <c r="G1612" s="2" t="n">
        <v>1.5</v>
      </c>
      <c r="H1612" s="2" t="s">
        <v>1689</v>
      </c>
      <c r="I1612" s="2" t="n">
        <v>11</v>
      </c>
    </row>
    <row r="1613" customFormat="false" ht="15" hidden="false" customHeight="false" outlineLevel="0" collapsed="false">
      <c r="A1613" s="2" t="s">
        <v>1182</v>
      </c>
      <c r="B1613" s="2" t="s">
        <v>191</v>
      </c>
      <c r="C1613" s="2" t="n">
        <v>1</v>
      </c>
      <c r="D1613" s="2" t="s">
        <v>1687</v>
      </c>
      <c r="E1613" s="2" t="s">
        <v>2862</v>
      </c>
      <c r="F1613" s="2"/>
      <c r="G1613" s="2" t="n">
        <v>2</v>
      </c>
      <c r="H1613" s="2" t="s">
        <v>1689</v>
      </c>
      <c r="I1613" s="2" t="n">
        <v>12</v>
      </c>
    </row>
    <row r="1614" customFormat="false" ht="15" hidden="false" customHeight="false" outlineLevel="0" collapsed="false">
      <c r="A1614" s="2" t="s">
        <v>1182</v>
      </c>
      <c r="B1614" s="2" t="s">
        <v>301</v>
      </c>
      <c r="C1614" s="2" t="n">
        <v>5</v>
      </c>
      <c r="D1614" s="2" t="s">
        <v>54</v>
      </c>
      <c r="E1614" s="2" t="s">
        <v>2796</v>
      </c>
      <c r="F1614" s="2" t="n">
        <v>2.5</v>
      </c>
      <c r="G1614" s="2" t="n">
        <v>7.5</v>
      </c>
      <c r="H1614" s="2" t="s">
        <v>1689</v>
      </c>
      <c r="I1614" s="2" t="n">
        <v>13</v>
      </c>
    </row>
    <row r="1615" customFormat="false" ht="15" hidden="false" customHeight="false" outlineLevel="0" collapsed="false">
      <c r="A1615" s="2" t="s">
        <v>1182</v>
      </c>
      <c r="B1615" s="2" t="s">
        <v>375</v>
      </c>
      <c r="C1615" s="2" t="n">
        <v>0.25</v>
      </c>
      <c r="D1615" s="2" t="s">
        <v>1687</v>
      </c>
      <c r="E1615" s="2" t="s">
        <v>2815</v>
      </c>
      <c r="F1615" s="2"/>
      <c r="G1615" s="2" t="n">
        <v>1.25</v>
      </c>
      <c r="H1615" s="2" t="s">
        <v>1689</v>
      </c>
      <c r="I1615" s="2" t="n">
        <v>14</v>
      </c>
    </row>
    <row r="1616" customFormat="false" ht="15" hidden="false" customHeight="false" outlineLevel="0" collapsed="false">
      <c r="A1616" s="2" t="s">
        <v>1186</v>
      </c>
      <c r="B1616" s="2" t="s">
        <v>359</v>
      </c>
      <c r="C1616" s="2" t="n">
        <v>110</v>
      </c>
      <c r="D1616" s="2" t="s">
        <v>54</v>
      </c>
      <c r="E1616" s="2" t="s">
        <v>2863</v>
      </c>
      <c r="F1616" s="2" t="n">
        <v>55</v>
      </c>
      <c r="G1616" s="2" t="n">
        <v>165</v>
      </c>
      <c r="H1616" s="2" t="s">
        <v>1693</v>
      </c>
      <c r="I1616" s="2" t="n">
        <v>1</v>
      </c>
    </row>
    <row r="1617" customFormat="false" ht="15" hidden="false" customHeight="false" outlineLevel="0" collapsed="false">
      <c r="A1617" s="2" t="s">
        <v>1186</v>
      </c>
      <c r="B1617" s="2" t="s">
        <v>371</v>
      </c>
      <c r="C1617" s="2" t="n">
        <v>120</v>
      </c>
      <c r="D1617" s="2" t="s">
        <v>76</v>
      </c>
      <c r="E1617" s="2" t="s">
        <v>2806</v>
      </c>
      <c r="F1617" s="2" t="n">
        <v>60</v>
      </c>
      <c r="G1617" s="2" t="n">
        <v>180</v>
      </c>
      <c r="H1617" s="2" t="s">
        <v>1700</v>
      </c>
      <c r="I1617" s="2" t="n">
        <v>2</v>
      </c>
    </row>
    <row r="1618" customFormat="false" ht="15" hidden="false" customHeight="false" outlineLevel="0" collapsed="false">
      <c r="A1618" s="2" t="s">
        <v>1186</v>
      </c>
      <c r="B1618" s="2" t="s">
        <v>520</v>
      </c>
      <c r="C1618" s="2" t="n">
        <v>31.5</v>
      </c>
      <c r="D1618" s="2" t="s">
        <v>54</v>
      </c>
      <c r="E1618" s="2" t="s">
        <v>2864</v>
      </c>
      <c r="F1618" s="2" t="n">
        <v>15.75</v>
      </c>
      <c r="G1618" s="2" t="n">
        <v>47.25</v>
      </c>
      <c r="H1618" s="2" t="s">
        <v>1689</v>
      </c>
      <c r="I1618" s="2" t="n">
        <v>3</v>
      </c>
    </row>
    <row r="1619" customFormat="false" ht="15" hidden="false" customHeight="false" outlineLevel="0" collapsed="false">
      <c r="A1619" s="2" t="s">
        <v>1186</v>
      </c>
      <c r="B1619" s="2" t="s">
        <v>446</v>
      </c>
      <c r="C1619" s="2" t="n">
        <v>130</v>
      </c>
      <c r="D1619" s="2" t="s">
        <v>54</v>
      </c>
      <c r="E1619" s="2" t="s">
        <v>2865</v>
      </c>
      <c r="F1619" s="2" t="n">
        <v>65</v>
      </c>
      <c r="G1619" s="2" t="n">
        <v>195</v>
      </c>
      <c r="H1619" s="2" t="s">
        <v>1689</v>
      </c>
      <c r="I1619" s="2" t="n">
        <v>4</v>
      </c>
    </row>
    <row r="1620" customFormat="false" ht="15" hidden="false" customHeight="false" outlineLevel="0" collapsed="false">
      <c r="A1620" s="2" t="s">
        <v>1186</v>
      </c>
      <c r="B1620" s="2" t="s">
        <v>409</v>
      </c>
      <c r="C1620" s="2" t="n">
        <v>30</v>
      </c>
      <c r="D1620" s="2" t="s">
        <v>54</v>
      </c>
      <c r="E1620" s="2" t="s">
        <v>2866</v>
      </c>
      <c r="F1620" s="2" t="n">
        <v>15</v>
      </c>
      <c r="G1620" s="2" t="n">
        <v>45</v>
      </c>
      <c r="H1620" s="2" t="s">
        <v>1689</v>
      </c>
      <c r="I1620" s="2" t="n">
        <v>5</v>
      </c>
    </row>
    <row r="1621" customFormat="false" ht="15" hidden="false" customHeight="false" outlineLevel="0" collapsed="false">
      <c r="A1621" s="2" t="s">
        <v>1186</v>
      </c>
      <c r="B1621" s="2" t="s">
        <v>468</v>
      </c>
      <c r="C1621" s="2" t="n">
        <v>5</v>
      </c>
      <c r="D1621" s="2" t="s">
        <v>54</v>
      </c>
      <c r="E1621" s="2" t="s">
        <v>2867</v>
      </c>
      <c r="F1621" s="2" t="n">
        <v>2.5</v>
      </c>
      <c r="G1621" s="2" t="n">
        <v>7.5</v>
      </c>
      <c r="H1621" s="2" t="s">
        <v>1700</v>
      </c>
      <c r="I1621" s="2" t="n">
        <v>6</v>
      </c>
    </row>
    <row r="1622" customFormat="false" ht="15" hidden="false" customHeight="false" outlineLevel="0" collapsed="false">
      <c r="A1622" s="2" t="s">
        <v>1186</v>
      </c>
      <c r="B1622" s="2" t="s">
        <v>197</v>
      </c>
      <c r="C1622" s="2" t="n">
        <v>5</v>
      </c>
      <c r="D1622" s="2" t="s">
        <v>54</v>
      </c>
      <c r="E1622" s="2" t="s">
        <v>2868</v>
      </c>
      <c r="F1622" s="2" t="n">
        <v>2.5</v>
      </c>
      <c r="G1622" s="2" t="n">
        <v>7.5</v>
      </c>
      <c r="H1622" s="2" t="s">
        <v>1689</v>
      </c>
      <c r="I1622" s="2" t="n">
        <v>7</v>
      </c>
    </row>
    <row r="1623" customFormat="false" ht="15" hidden="false" customHeight="false" outlineLevel="0" collapsed="false">
      <c r="A1623" s="2" t="s">
        <v>1186</v>
      </c>
      <c r="B1623" s="2" t="s">
        <v>293</v>
      </c>
      <c r="C1623" s="2" t="n">
        <v>5</v>
      </c>
      <c r="D1623" s="2" t="s">
        <v>76</v>
      </c>
      <c r="E1623" s="2" t="s">
        <v>2808</v>
      </c>
      <c r="F1623" s="2" t="n">
        <v>2.5</v>
      </c>
      <c r="G1623" s="2" t="n">
        <v>7.5</v>
      </c>
      <c r="H1623" s="2" t="s">
        <v>1693</v>
      </c>
      <c r="I1623" s="2" t="n">
        <v>8</v>
      </c>
    </row>
    <row r="1624" customFormat="false" ht="15" hidden="false" customHeight="false" outlineLevel="0" collapsed="false">
      <c r="A1624" s="2" t="s">
        <v>1186</v>
      </c>
      <c r="B1624" s="2" t="s">
        <v>227</v>
      </c>
      <c r="C1624" s="2" t="n">
        <v>7</v>
      </c>
      <c r="D1624" s="2" t="s">
        <v>54</v>
      </c>
      <c r="E1624" s="2" t="s">
        <v>2869</v>
      </c>
      <c r="F1624" s="2" t="n">
        <v>3.5</v>
      </c>
      <c r="G1624" s="2" t="n">
        <v>10.5</v>
      </c>
      <c r="H1624" s="2" t="s">
        <v>1689</v>
      </c>
      <c r="I1624" s="2" t="n">
        <v>9</v>
      </c>
    </row>
    <row r="1625" customFormat="false" ht="15" hidden="false" customHeight="false" outlineLevel="0" collapsed="false">
      <c r="A1625" s="2" t="s">
        <v>1186</v>
      </c>
      <c r="B1625" s="2" t="s">
        <v>179</v>
      </c>
      <c r="C1625" s="2" t="n">
        <v>1</v>
      </c>
      <c r="D1625" s="2" t="s">
        <v>1687</v>
      </c>
      <c r="E1625" s="2" t="s">
        <v>2870</v>
      </c>
      <c r="F1625" s="2" t="n">
        <v>0.5</v>
      </c>
      <c r="G1625" s="2" t="n">
        <v>1.5</v>
      </c>
      <c r="H1625" s="2" t="s">
        <v>1689</v>
      </c>
      <c r="I1625" s="2" t="n">
        <v>10</v>
      </c>
    </row>
    <row r="1626" customFormat="false" ht="15" hidden="false" customHeight="false" outlineLevel="0" collapsed="false">
      <c r="A1626" s="2" t="s">
        <v>1186</v>
      </c>
      <c r="B1626" s="2" t="s">
        <v>301</v>
      </c>
      <c r="C1626" s="2" t="n">
        <v>5</v>
      </c>
      <c r="D1626" s="2" t="s">
        <v>54</v>
      </c>
      <c r="E1626" s="2" t="s">
        <v>2784</v>
      </c>
      <c r="F1626" s="2" t="n">
        <v>2.5</v>
      </c>
      <c r="G1626" s="2" t="n">
        <v>7.5</v>
      </c>
      <c r="H1626" s="2" t="s">
        <v>1689</v>
      </c>
      <c r="I1626" s="2" t="n">
        <v>11</v>
      </c>
    </row>
    <row r="1627" customFormat="false" ht="15" hidden="false" customHeight="false" outlineLevel="0" collapsed="false">
      <c r="A1627" s="2" t="s">
        <v>1190</v>
      </c>
      <c r="B1627" s="2" t="s">
        <v>355</v>
      </c>
      <c r="C1627" s="2" t="n">
        <v>130</v>
      </c>
      <c r="D1627" s="2" t="s">
        <v>54</v>
      </c>
      <c r="E1627" s="2" t="s">
        <v>2871</v>
      </c>
      <c r="F1627" s="2" t="n">
        <v>65</v>
      </c>
      <c r="G1627" s="2" t="n">
        <v>195</v>
      </c>
      <c r="H1627" s="2" t="s">
        <v>1693</v>
      </c>
      <c r="I1627" s="2" t="n">
        <v>1</v>
      </c>
    </row>
    <row r="1628" customFormat="false" ht="15" hidden="false" customHeight="false" outlineLevel="0" collapsed="false">
      <c r="A1628" s="2" t="s">
        <v>1190</v>
      </c>
      <c r="B1628" s="2" t="s">
        <v>249</v>
      </c>
      <c r="C1628" s="2" t="n">
        <v>15</v>
      </c>
      <c r="D1628" s="2" t="s">
        <v>54</v>
      </c>
      <c r="E1628" s="2" t="s">
        <v>2872</v>
      </c>
      <c r="F1628" s="2" t="n">
        <v>7.5</v>
      </c>
      <c r="G1628" s="2" t="n">
        <v>22.5</v>
      </c>
      <c r="H1628" s="2" t="s">
        <v>1689</v>
      </c>
      <c r="I1628" s="2" t="n">
        <v>2</v>
      </c>
    </row>
    <row r="1629" customFormat="false" ht="15" hidden="false" customHeight="false" outlineLevel="0" collapsed="false">
      <c r="A1629" s="2" t="s">
        <v>1190</v>
      </c>
      <c r="B1629" s="2" t="s">
        <v>486</v>
      </c>
      <c r="C1629" s="2" t="n">
        <v>4.5</v>
      </c>
      <c r="D1629" s="2" t="s">
        <v>54</v>
      </c>
      <c r="E1629" s="2" t="s">
        <v>2828</v>
      </c>
      <c r="F1629" s="2" t="n">
        <v>2.25</v>
      </c>
      <c r="G1629" s="2" t="n">
        <v>6.75</v>
      </c>
      <c r="H1629" s="2" t="s">
        <v>1700</v>
      </c>
      <c r="I1629" s="2" t="n">
        <v>3</v>
      </c>
    </row>
    <row r="1630" customFormat="false" ht="15" hidden="false" customHeight="false" outlineLevel="0" collapsed="false">
      <c r="A1630" s="2" t="s">
        <v>1190</v>
      </c>
      <c r="B1630" s="2" t="s">
        <v>512</v>
      </c>
      <c r="C1630" s="2" t="n">
        <v>42</v>
      </c>
      <c r="D1630" s="2" t="s">
        <v>54</v>
      </c>
      <c r="E1630" s="2" t="s">
        <v>2873</v>
      </c>
      <c r="F1630" s="2" t="n">
        <v>21</v>
      </c>
      <c r="G1630" s="2" t="n">
        <v>63</v>
      </c>
      <c r="H1630" s="2" t="s">
        <v>1689</v>
      </c>
      <c r="I1630" s="2" t="n">
        <v>4</v>
      </c>
    </row>
    <row r="1631" customFormat="false" ht="15" hidden="false" customHeight="false" outlineLevel="0" collapsed="false">
      <c r="A1631" s="2" t="s">
        <v>1190</v>
      </c>
      <c r="B1631" s="2" t="s">
        <v>456</v>
      </c>
      <c r="C1631" s="2" t="n">
        <v>1</v>
      </c>
      <c r="D1631" s="2" t="s">
        <v>1687</v>
      </c>
      <c r="E1631" s="2" t="s">
        <v>2874</v>
      </c>
      <c r="F1631" s="2"/>
      <c r="G1631" s="2" t="n">
        <v>2</v>
      </c>
      <c r="H1631" s="2" t="s">
        <v>1689</v>
      </c>
      <c r="I1631" s="2" t="n">
        <v>5</v>
      </c>
    </row>
    <row r="1632" customFormat="false" ht="15" hidden="false" customHeight="false" outlineLevel="0" collapsed="false">
      <c r="A1632" s="2" t="s">
        <v>1190</v>
      </c>
      <c r="B1632" s="2" t="s">
        <v>312</v>
      </c>
      <c r="C1632" s="2" t="n">
        <v>1</v>
      </c>
      <c r="D1632" s="2" t="s">
        <v>1687</v>
      </c>
      <c r="E1632" s="2" t="s">
        <v>2875</v>
      </c>
      <c r="F1632" s="2"/>
      <c r="G1632" s="2" t="n">
        <v>2</v>
      </c>
      <c r="H1632" s="2" t="s">
        <v>1689</v>
      </c>
      <c r="I1632" s="2" t="n">
        <v>6</v>
      </c>
    </row>
    <row r="1633" customFormat="false" ht="15" hidden="false" customHeight="false" outlineLevel="0" collapsed="false">
      <c r="A1633" s="2" t="s">
        <v>1190</v>
      </c>
      <c r="B1633" s="2" t="s">
        <v>299</v>
      </c>
      <c r="C1633" s="2" t="n">
        <v>1</v>
      </c>
      <c r="D1633" s="2" t="s">
        <v>54</v>
      </c>
      <c r="E1633" s="2" t="s">
        <v>2876</v>
      </c>
      <c r="F1633" s="2"/>
      <c r="G1633" s="2" t="n">
        <v>2</v>
      </c>
      <c r="H1633" s="2" t="s">
        <v>1689</v>
      </c>
      <c r="I1633" s="2" t="n">
        <v>7</v>
      </c>
    </row>
    <row r="1634" customFormat="false" ht="15" hidden="false" customHeight="false" outlineLevel="0" collapsed="false">
      <c r="A1634" s="2" t="s">
        <v>1190</v>
      </c>
      <c r="B1634" s="2" t="s">
        <v>500</v>
      </c>
      <c r="C1634" s="2" t="n">
        <v>2</v>
      </c>
      <c r="D1634" s="2" t="s">
        <v>1687</v>
      </c>
      <c r="E1634" s="2" t="s">
        <v>2877</v>
      </c>
      <c r="F1634" s="2" t="n">
        <v>1</v>
      </c>
      <c r="G1634" s="2" t="n">
        <v>3</v>
      </c>
      <c r="H1634" s="2" t="s">
        <v>1689</v>
      </c>
      <c r="I1634" s="2" t="n">
        <v>8</v>
      </c>
    </row>
    <row r="1635" customFormat="false" ht="15" hidden="false" customHeight="false" outlineLevel="0" collapsed="false">
      <c r="A1635" s="2" t="s">
        <v>1190</v>
      </c>
      <c r="B1635" s="2" t="s">
        <v>177</v>
      </c>
      <c r="C1635" s="2" t="n">
        <v>30</v>
      </c>
      <c r="D1635" s="2" t="s">
        <v>54</v>
      </c>
      <c r="E1635" s="2" t="s">
        <v>2878</v>
      </c>
      <c r="F1635" s="2" t="n">
        <v>15</v>
      </c>
      <c r="G1635" s="2" t="n">
        <v>45</v>
      </c>
      <c r="H1635" s="2" t="s">
        <v>1689</v>
      </c>
      <c r="I1635" s="2" t="n">
        <v>9</v>
      </c>
    </row>
    <row r="1636" customFormat="false" ht="15" hidden="false" customHeight="false" outlineLevel="0" collapsed="false">
      <c r="A1636" s="2" t="s">
        <v>1194</v>
      </c>
      <c r="B1636" s="2" t="s">
        <v>278</v>
      </c>
      <c r="C1636" s="2" t="n">
        <v>70</v>
      </c>
      <c r="D1636" s="2" t="s">
        <v>54</v>
      </c>
      <c r="E1636" s="2" t="s">
        <v>2879</v>
      </c>
      <c r="F1636" s="2" t="n">
        <v>35</v>
      </c>
      <c r="G1636" s="2" t="n">
        <v>105</v>
      </c>
      <c r="H1636" s="2" t="s">
        <v>1693</v>
      </c>
      <c r="I1636" s="2" t="n">
        <v>1</v>
      </c>
    </row>
    <row r="1637" customFormat="false" ht="15" hidden="false" customHeight="false" outlineLevel="0" collapsed="false">
      <c r="A1637" s="2" t="s">
        <v>1194</v>
      </c>
      <c r="B1637" s="2" t="s">
        <v>177</v>
      </c>
      <c r="C1637" s="2" t="n">
        <v>55</v>
      </c>
      <c r="D1637" s="2" t="s">
        <v>54</v>
      </c>
      <c r="E1637" s="2" t="s">
        <v>2880</v>
      </c>
      <c r="F1637" s="2" t="n">
        <v>27.5</v>
      </c>
      <c r="G1637" s="2" t="n">
        <v>82.5</v>
      </c>
      <c r="H1637" s="2" t="s">
        <v>1689</v>
      </c>
      <c r="I1637" s="2" t="n">
        <v>2</v>
      </c>
    </row>
    <row r="1638" customFormat="false" ht="15" hidden="false" customHeight="false" outlineLevel="0" collapsed="false">
      <c r="A1638" s="2" t="s">
        <v>1194</v>
      </c>
      <c r="B1638" s="2" t="s">
        <v>110</v>
      </c>
      <c r="C1638" s="2" t="n">
        <v>1</v>
      </c>
      <c r="D1638" s="2" t="s">
        <v>1687</v>
      </c>
      <c r="E1638" s="2" t="s">
        <v>1853</v>
      </c>
      <c r="F1638" s="2"/>
      <c r="G1638" s="2" t="n">
        <v>2</v>
      </c>
      <c r="H1638" s="2" t="s">
        <v>1693</v>
      </c>
      <c r="I1638" s="2" t="n">
        <v>3</v>
      </c>
    </row>
    <row r="1639" customFormat="false" ht="15" hidden="false" customHeight="false" outlineLevel="0" collapsed="false">
      <c r="A1639" s="2" t="s">
        <v>1194</v>
      </c>
      <c r="B1639" s="2" t="s">
        <v>308</v>
      </c>
      <c r="C1639" s="2" t="n">
        <v>50</v>
      </c>
      <c r="D1639" s="2" t="s">
        <v>54</v>
      </c>
      <c r="E1639" s="2" t="s">
        <v>2881</v>
      </c>
      <c r="F1639" s="2" t="n">
        <v>25</v>
      </c>
      <c r="G1639" s="2" t="n">
        <v>75</v>
      </c>
      <c r="H1639" s="2" t="s">
        <v>1689</v>
      </c>
      <c r="I1639" s="2" t="n">
        <v>4</v>
      </c>
    </row>
    <row r="1640" customFormat="false" ht="15" hidden="false" customHeight="false" outlineLevel="0" collapsed="false">
      <c r="A1640" s="2" t="s">
        <v>1194</v>
      </c>
      <c r="B1640" s="2" t="s">
        <v>496</v>
      </c>
      <c r="C1640" s="2" t="n">
        <v>15</v>
      </c>
      <c r="D1640" s="2" t="s">
        <v>76</v>
      </c>
      <c r="E1640" s="2" t="s">
        <v>2882</v>
      </c>
      <c r="F1640" s="2" t="n">
        <v>7.5</v>
      </c>
      <c r="G1640" s="2" t="n">
        <v>22.5</v>
      </c>
      <c r="H1640" s="2" t="s">
        <v>1693</v>
      </c>
      <c r="I1640" s="2" t="n">
        <v>5</v>
      </c>
    </row>
    <row r="1641" customFormat="false" ht="15" hidden="false" customHeight="false" outlineLevel="0" collapsed="false">
      <c r="A1641" s="2" t="s">
        <v>1194</v>
      </c>
      <c r="B1641" s="2" t="s">
        <v>486</v>
      </c>
      <c r="C1641" s="2" t="n">
        <v>4.5</v>
      </c>
      <c r="D1641" s="2" t="s">
        <v>54</v>
      </c>
      <c r="E1641" s="2" t="s">
        <v>2828</v>
      </c>
      <c r="F1641" s="2" t="n">
        <v>2.25</v>
      </c>
      <c r="G1641" s="2" t="n">
        <v>6.75</v>
      </c>
      <c r="H1641" s="2" t="s">
        <v>1700</v>
      </c>
      <c r="I1641" s="2" t="n">
        <v>6</v>
      </c>
    </row>
    <row r="1642" customFormat="false" ht="15" hidden="false" customHeight="false" outlineLevel="0" collapsed="false">
      <c r="A1642" s="2" t="s">
        <v>1194</v>
      </c>
      <c r="B1642" s="2" t="s">
        <v>500</v>
      </c>
      <c r="C1642" s="2" t="n">
        <v>2</v>
      </c>
      <c r="D1642" s="2" t="s">
        <v>1687</v>
      </c>
      <c r="E1642" s="2" t="s">
        <v>2877</v>
      </c>
      <c r="F1642" s="2" t="n">
        <v>1</v>
      </c>
      <c r="G1642" s="2" t="n">
        <v>3</v>
      </c>
      <c r="H1642" s="2" t="s">
        <v>1689</v>
      </c>
      <c r="I1642" s="2" t="n">
        <v>7</v>
      </c>
    </row>
    <row r="1643" customFormat="false" ht="15" hidden="false" customHeight="false" outlineLevel="0" collapsed="false">
      <c r="A1643" s="2" t="s">
        <v>1194</v>
      </c>
      <c r="B1643" s="2" t="s">
        <v>312</v>
      </c>
      <c r="C1643" s="2" t="n">
        <v>1</v>
      </c>
      <c r="D1643" s="2" t="s">
        <v>1687</v>
      </c>
      <c r="E1643" s="2" t="s">
        <v>2875</v>
      </c>
      <c r="F1643" s="2"/>
      <c r="G1643" s="2" t="n">
        <v>2</v>
      </c>
      <c r="H1643" s="2" t="s">
        <v>1689</v>
      </c>
      <c r="I1643" s="2" t="n">
        <v>8</v>
      </c>
    </row>
    <row r="1644" customFormat="false" ht="15" hidden="false" customHeight="false" outlineLevel="0" collapsed="false">
      <c r="A1644" s="2" t="s">
        <v>1194</v>
      </c>
      <c r="B1644" s="2" t="s">
        <v>299</v>
      </c>
      <c r="C1644" s="2" t="n">
        <v>1</v>
      </c>
      <c r="D1644" s="2" t="s">
        <v>54</v>
      </c>
      <c r="E1644" s="2" t="s">
        <v>2876</v>
      </c>
      <c r="F1644" s="2"/>
      <c r="G1644" s="2" t="n">
        <v>2</v>
      </c>
      <c r="H1644" s="2" t="s">
        <v>1689</v>
      </c>
      <c r="I1644" s="2" t="n">
        <v>9</v>
      </c>
    </row>
    <row r="1645" customFormat="false" ht="15" hidden="false" customHeight="false" outlineLevel="0" collapsed="false">
      <c r="A1645" s="2" t="s">
        <v>1198</v>
      </c>
      <c r="B1645" s="2" t="s">
        <v>345</v>
      </c>
      <c r="C1645" s="2" t="n">
        <v>100</v>
      </c>
      <c r="D1645" s="2" t="s">
        <v>54</v>
      </c>
      <c r="E1645" s="2" t="s">
        <v>2883</v>
      </c>
      <c r="F1645" s="2" t="n">
        <v>50</v>
      </c>
      <c r="G1645" s="2" t="n">
        <v>150</v>
      </c>
      <c r="H1645" s="2" t="s">
        <v>1700</v>
      </c>
      <c r="I1645" s="2" t="n">
        <v>1</v>
      </c>
    </row>
    <row r="1646" customFormat="false" ht="15" hidden="false" customHeight="false" outlineLevel="0" collapsed="false">
      <c r="A1646" s="2" t="s">
        <v>1198</v>
      </c>
      <c r="B1646" s="2" t="s">
        <v>225</v>
      </c>
      <c r="C1646" s="2" t="n">
        <v>4</v>
      </c>
      <c r="D1646" s="2" t="s">
        <v>1687</v>
      </c>
      <c r="E1646" s="2" t="s">
        <v>2884</v>
      </c>
      <c r="F1646" s="2" t="n">
        <v>3</v>
      </c>
      <c r="G1646" s="2" t="n">
        <v>5</v>
      </c>
      <c r="H1646" s="2" t="s">
        <v>1689</v>
      </c>
      <c r="I1646" s="2" t="n">
        <v>2</v>
      </c>
    </row>
    <row r="1647" customFormat="false" ht="15" hidden="false" customHeight="false" outlineLevel="0" collapsed="false">
      <c r="A1647" s="2" t="s">
        <v>1198</v>
      </c>
      <c r="B1647" s="2" t="s">
        <v>331</v>
      </c>
      <c r="C1647" s="2" t="n">
        <v>42</v>
      </c>
      <c r="D1647" s="2" t="s">
        <v>54</v>
      </c>
      <c r="E1647" s="2" t="s">
        <v>2885</v>
      </c>
      <c r="F1647" s="2" t="n">
        <v>21</v>
      </c>
      <c r="G1647" s="2" t="n">
        <v>63</v>
      </c>
      <c r="H1647" s="2" t="s">
        <v>1689</v>
      </c>
      <c r="I1647" s="2" t="n">
        <v>3</v>
      </c>
    </row>
    <row r="1648" customFormat="false" ht="15" hidden="false" customHeight="false" outlineLevel="0" collapsed="false">
      <c r="A1648" s="2" t="s">
        <v>1198</v>
      </c>
      <c r="B1648" s="2" t="s">
        <v>260</v>
      </c>
      <c r="C1648" s="2" t="n">
        <v>75</v>
      </c>
      <c r="D1648" s="2" t="s">
        <v>54</v>
      </c>
      <c r="E1648" s="2" t="s">
        <v>2886</v>
      </c>
      <c r="F1648" s="2" t="n">
        <v>37.5</v>
      </c>
      <c r="G1648" s="2" t="n">
        <v>112.5</v>
      </c>
      <c r="H1648" s="2" t="s">
        <v>1689</v>
      </c>
      <c r="I1648" s="2" t="n">
        <v>4</v>
      </c>
    </row>
    <row r="1649" customFormat="false" ht="15" hidden="false" customHeight="false" outlineLevel="0" collapsed="false">
      <c r="A1649" s="2" t="s">
        <v>1198</v>
      </c>
      <c r="B1649" s="2" t="s">
        <v>500</v>
      </c>
      <c r="C1649" s="2" t="n">
        <v>2</v>
      </c>
      <c r="D1649" s="2" t="s">
        <v>1687</v>
      </c>
      <c r="E1649" s="2" t="s">
        <v>2887</v>
      </c>
      <c r="F1649" s="2" t="n">
        <v>1</v>
      </c>
      <c r="G1649" s="2" t="n">
        <v>3</v>
      </c>
      <c r="H1649" s="2" t="s">
        <v>1689</v>
      </c>
      <c r="I1649" s="2" t="n">
        <v>5</v>
      </c>
    </row>
    <row r="1650" customFormat="false" ht="15" hidden="false" customHeight="false" outlineLevel="0" collapsed="false">
      <c r="A1650" s="2" t="s">
        <v>1202</v>
      </c>
      <c r="B1650" s="2" t="s">
        <v>341</v>
      </c>
      <c r="C1650" s="2" t="n">
        <v>170</v>
      </c>
      <c r="D1650" s="2" t="s">
        <v>54</v>
      </c>
      <c r="E1650" s="2" t="s">
        <v>2888</v>
      </c>
      <c r="F1650" s="2" t="n">
        <v>85</v>
      </c>
      <c r="G1650" s="2" t="n">
        <v>255</v>
      </c>
      <c r="H1650" s="2" t="s">
        <v>1693</v>
      </c>
      <c r="I1650" s="2" t="n">
        <v>1</v>
      </c>
    </row>
    <row r="1651" customFormat="false" ht="15" hidden="false" customHeight="false" outlineLevel="0" collapsed="false">
      <c r="A1651" s="2" t="s">
        <v>1202</v>
      </c>
      <c r="B1651" s="2" t="s">
        <v>177</v>
      </c>
      <c r="C1651" s="2" t="n">
        <v>25</v>
      </c>
      <c r="D1651" s="2" t="s">
        <v>54</v>
      </c>
      <c r="E1651" s="2" t="s">
        <v>2822</v>
      </c>
      <c r="F1651" s="2" t="n">
        <v>12.5</v>
      </c>
      <c r="G1651" s="2" t="n">
        <v>37.5</v>
      </c>
      <c r="H1651" s="2" t="s">
        <v>1689</v>
      </c>
      <c r="I1651" s="2" t="n">
        <v>2</v>
      </c>
    </row>
    <row r="1652" customFormat="false" ht="15" hidden="false" customHeight="false" outlineLevel="0" collapsed="false">
      <c r="A1652" s="2" t="s">
        <v>1202</v>
      </c>
      <c r="B1652" s="2" t="s">
        <v>454</v>
      </c>
      <c r="C1652" s="2" t="n">
        <v>75</v>
      </c>
      <c r="D1652" s="2" t="s">
        <v>54</v>
      </c>
      <c r="E1652" s="2" t="s">
        <v>2889</v>
      </c>
      <c r="F1652" s="2" t="n">
        <v>37.5</v>
      </c>
      <c r="G1652" s="2" t="n">
        <v>112.5</v>
      </c>
      <c r="H1652" s="2" t="s">
        <v>1689</v>
      </c>
      <c r="I1652" s="2" t="n">
        <v>3</v>
      </c>
    </row>
    <row r="1653" customFormat="false" ht="15" hidden="false" customHeight="false" outlineLevel="0" collapsed="false">
      <c r="A1653" s="2" t="s">
        <v>1202</v>
      </c>
      <c r="B1653" s="2" t="s">
        <v>409</v>
      </c>
      <c r="C1653" s="2" t="n">
        <v>37.5</v>
      </c>
      <c r="D1653" s="2" t="s">
        <v>54</v>
      </c>
      <c r="E1653" s="2" t="s">
        <v>2890</v>
      </c>
      <c r="F1653" s="2" t="n">
        <v>18.75</v>
      </c>
      <c r="G1653" s="2" t="n">
        <v>56.25</v>
      </c>
      <c r="H1653" s="2" t="s">
        <v>1689</v>
      </c>
      <c r="I1653" s="2" t="n">
        <v>4</v>
      </c>
    </row>
    <row r="1654" customFormat="false" ht="15" hidden="false" customHeight="false" outlineLevel="0" collapsed="false">
      <c r="A1654" s="2" t="s">
        <v>1202</v>
      </c>
      <c r="B1654" s="2" t="s">
        <v>434</v>
      </c>
      <c r="C1654" s="2" t="n">
        <v>80</v>
      </c>
      <c r="D1654" s="2" t="s">
        <v>54</v>
      </c>
      <c r="E1654" s="2" t="s">
        <v>2891</v>
      </c>
      <c r="F1654" s="2" t="n">
        <v>40</v>
      </c>
      <c r="G1654" s="2" t="n">
        <v>120</v>
      </c>
      <c r="H1654" s="2" t="s">
        <v>1689</v>
      </c>
      <c r="I1654" s="2" t="n">
        <v>5</v>
      </c>
    </row>
    <row r="1655" customFormat="false" ht="15" hidden="false" customHeight="false" outlineLevel="0" collapsed="false">
      <c r="A1655" s="2" t="s">
        <v>1202</v>
      </c>
      <c r="B1655" s="2" t="s">
        <v>526</v>
      </c>
      <c r="C1655" s="2" t="n">
        <v>21</v>
      </c>
      <c r="D1655" s="2" t="s">
        <v>54</v>
      </c>
      <c r="E1655" s="2" t="s">
        <v>2892</v>
      </c>
      <c r="F1655" s="2" t="n">
        <v>10.5</v>
      </c>
      <c r="G1655" s="2" t="n">
        <v>31.5</v>
      </c>
      <c r="H1655" s="2" t="s">
        <v>1689</v>
      </c>
      <c r="I1655" s="2" t="n">
        <v>6</v>
      </c>
    </row>
    <row r="1656" customFormat="false" ht="15" hidden="false" customHeight="false" outlineLevel="0" collapsed="false">
      <c r="A1656" s="2" t="s">
        <v>1202</v>
      </c>
      <c r="B1656" s="2" t="s">
        <v>197</v>
      </c>
      <c r="C1656" s="2" t="n">
        <v>7</v>
      </c>
      <c r="D1656" s="2" t="s">
        <v>54</v>
      </c>
      <c r="E1656" s="2" t="s">
        <v>2893</v>
      </c>
      <c r="F1656" s="2" t="n">
        <v>3.5</v>
      </c>
      <c r="G1656" s="2" t="n">
        <v>10.5</v>
      </c>
      <c r="H1656" s="2" t="s">
        <v>1689</v>
      </c>
      <c r="I1656" s="2" t="n">
        <v>7</v>
      </c>
    </row>
    <row r="1657" customFormat="false" ht="15" hidden="false" customHeight="false" outlineLevel="0" collapsed="false">
      <c r="A1657" s="2" t="s">
        <v>1202</v>
      </c>
      <c r="B1657" s="2" t="s">
        <v>249</v>
      </c>
      <c r="C1657" s="2" t="n">
        <v>3</v>
      </c>
      <c r="D1657" s="2" t="s">
        <v>54</v>
      </c>
      <c r="E1657" s="2" t="s">
        <v>2894</v>
      </c>
      <c r="F1657" s="2" t="n">
        <v>1.5</v>
      </c>
      <c r="G1657" s="2" t="n">
        <v>4.5</v>
      </c>
      <c r="H1657" s="2" t="s">
        <v>1689</v>
      </c>
      <c r="I1657" s="2" t="n">
        <v>8</v>
      </c>
    </row>
    <row r="1658" customFormat="false" ht="15" hidden="false" customHeight="false" outlineLevel="0" collapsed="false">
      <c r="A1658" s="2" t="s">
        <v>1202</v>
      </c>
      <c r="B1658" s="2" t="s">
        <v>466</v>
      </c>
      <c r="C1658" s="2" t="n">
        <v>15</v>
      </c>
      <c r="D1658" s="2" t="s">
        <v>76</v>
      </c>
      <c r="E1658" s="2" t="s">
        <v>2895</v>
      </c>
      <c r="F1658" s="2" t="n">
        <v>7.5</v>
      </c>
      <c r="G1658" s="2" t="n">
        <v>22.5</v>
      </c>
      <c r="H1658" s="2" t="s">
        <v>1689</v>
      </c>
      <c r="I1658" s="2" t="n">
        <v>9</v>
      </c>
    </row>
    <row r="1659" customFormat="false" ht="15" hidden="false" customHeight="false" outlineLevel="0" collapsed="false">
      <c r="A1659" s="2" t="s">
        <v>1202</v>
      </c>
      <c r="B1659" s="2" t="s">
        <v>540</v>
      </c>
      <c r="C1659" s="2" t="n">
        <v>6.75</v>
      </c>
      <c r="D1659" s="2" t="s">
        <v>54</v>
      </c>
      <c r="E1659" s="2" t="s">
        <v>2896</v>
      </c>
      <c r="F1659" s="2" t="n">
        <v>3.38</v>
      </c>
      <c r="G1659" s="2" t="n">
        <v>10.12</v>
      </c>
      <c r="H1659" s="2" t="s">
        <v>1700</v>
      </c>
      <c r="I1659" s="2" t="n">
        <v>10</v>
      </c>
    </row>
    <row r="1660" customFormat="false" ht="15" hidden="false" customHeight="false" outlineLevel="0" collapsed="false">
      <c r="A1660" s="2" t="s">
        <v>1202</v>
      </c>
      <c r="B1660" s="2" t="s">
        <v>312</v>
      </c>
      <c r="C1660" s="2" t="n">
        <v>1</v>
      </c>
      <c r="D1660" s="2" t="s">
        <v>1687</v>
      </c>
      <c r="E1660" s="2" t="s">
        <v>2875</v>
      </c>
      <c r="F1660" s="2"/>
      <c r="G1660" s="2" t="n">
        <v>2</v>
      </c>
      <c r="H1660" s="2" t="s">
        <v>1689</v>
      </c>
      <c r="I1660" s="2" t="n">
        <v>11</v>
      </c>
    </row>
    <row r="1661" customFormat="false" ht="15" hidden="false" customHeight="false" outlineLevel="0" collapsed="false">
      <c r="A1661" s="2" t="s">
        <v>1206</v>
      </c>
      <c r="B1661" s="2" t="s">
        <v>185</v>
      </c>
      <c r="C1661" s="2" t="n">
        <v>120</v>
      </c>
      <c r="D1661" s="2" t="s">
        <v>54</v>
      </c>
      <c r="E1661" s="2" t="s">
        <v>2897</v>
      </c>
      <c r="F1661" s="2" t="n">
        <v>60</v>
      </c>
      <c r="G1661" s="2" t="n">
        <v>180</v>
      </c>
      <c r="H1661" s="2" t="s">
        <v>1693</v>
      </c>
      <c r="I1661" s="2" t="n">
        <v>1</v>
      </c>
    </row>
    <row r="1662" customFormat="false" ht="15" hidden="false" customHeight="false" outlineLevel="0" collapsed="false">
      <c r="A1662" s="2" t="s">
        <v>1206</v>
      </c>
      <c r="B1662" s="2" t="s">
        <v>534</v>
      </c>
      <c r="C1662" s="2" t="n">
        <v>65</v>
      </c>
      <c r="D1662" s="2" t="s">
        <v>54</v>
      </c>
      <c r="E1662" s="2" t="s">
        <v>2898</v>
      </c>
      <c r="F1662" s="2" t="n">
        <v>32.5</v>
      </c>
      <c r="G1662" s="2" t="n">
        <v>97.5</v>
      </c>
      <c r="H1662" s="2" t="s">
        <v>1689</v>
      </c>
      <c r="I1662" s="2" t="n">
        <v>2</v>
      </c>
    </row>
    <row r="1663" customFormat="false" ht="15" hidden="false" customHeight="false" outlineLevel="0" collapsed="false">
      <c r="A1663" s="2" t="s">
        <v>1206</v>
      </c>
      <c r="B1663" s="2" t="s">
        <v>506</v>
      </c>
      <c r="C1663" s="2" t="n">
        <v>300</v>
      </c>
      <c r="D1663" s="2" t="s">
        <v>76</v>
      </c>
      <c r="E1663" s="2" t="s">
        <v>2899</v>
      </c>
      <c r="F1663" s="2" t="n">
        <v>150</v>
      </c>
      <c r="G1663" s="2" t="n">
        <v>450</v>
      </c>
      <c r="H1663" s="2" t="s">
        <v>1693</v>
      </c>
      <c r="I1663" s="2" t="n">
        <v>3</v>
      </c>
    </row>
    <row r="1664" customFormat="false" ht="15" hidden="false" customHeight="false" outlineLevel="0" collapsed="false">
      <c r="A1664" s="2" t="s">
        <v>1206</v>
      </c>
      <c r="B1664" s="2" t="s">
        <v>496</v>
      </c>
      <c r="C1664" s="2" t="n">
        <v>15</v>
      </c>
      <c r="D1664" s="2" t="s">
        <v>76</v>
      </c>
      <c r="E1664" s="2" t="s">
        <v>2882</v>
      </c>
      <c r="F1664" s="2" t="n">
        <v>7.5</v>
      </c>
      <c r="G1664" s="2" t="n">
        <v>22.5</v>
      </c>
      <c r="H1664" s="2" t="s">
        <v>1693</v>
      </c>
      <c r="I1664" s="2" t="n">
        <v>4</v>
      </c>
    </row>
    <row r="1665" customFormat="false" ht="15" hidden="false" customHeight="false" outlineLevel="0" collapsed="false">
      <c r="A1665" s="2" t="s">
        <v>1206</v>
      </c>
      <c r="B1665" s="2" t="s">
        <v>390</v>
      </c>
      <c r="C1665" s="2" t="n">
        <v>5</v>
      </c>
      <c r="D1665" s="2" t="s">
        <v>76</v>
      </c>
      <c r="E1665" s="2" t="s">
        <v>2900</v>
      </c>
      <c r="F1665" s="2" t="n">
        <v>2.5</v>
      </c>
      <c r="G1665" s="2" t="n">
        <v>7.5</v>
      </c>
      <c r="H1665" s="2" t="s">
        <v>1689</v>
      </c>
      <c r="I1665" s="2" t="n">
        <v>5</v>
      </c>
    </row>
    <row r="1666" customFormat="false" ht="15" hidden="false" customHeight="false" outlineLevel="0" collapsed="false">
      <c r="A1666" s="2" t="s">
        <v>1206</v>
      </c>
      <c r="B1666" s="2" t="s">
        <v>418</v>
      </c>
      <c r="C1666" s="2" t="n">
        <v>50</v>
      </c>
      <c r="D1666" s="2" t="s">
        <v>54</v>
      </c>
      <c r="E1666" s="2" t="s">
        <v>2901</v>
      </c>
      <c r="F1666" s="2" t="n">
        <v>25</v>
      </c>
      <c r="G1666" s="2" t="n">
        <v>75</v>
      </c>
      <c r="H1666" s="2" t="s">
        <v>1693</v>
      </c>
      <c r="I1666" s="2" t="n">
        <v>6</v>
      </c>
    </row>
    <row r="1667" customFormat="false" ht="15" hidden="false" customHeight="false" outlineLevel="0" collapsed="false">
      <c r="A1667" s="2" t="s">
        <v>1206</v>
      </c>
      <c r="B1667" s="2" t="s">
        <v>312</v>
      </c>
      <c r="C1667" s="2" t="n">
        <v>1</v>
      </c>
      <c r="D1667" s="2" t="s">
        <v>1687</v>
      </c>
      <c r="E1667" s="2" t="s">
        <v>2402</v>
      </c>
      <c r="F1667" s="2"/>
      <c r="G1667" s="2" t="n">
        <v>2</v>
      </c>
      <c r="H1667" s="2" t="s">
        <v>1689</v>
      </c>
      <c r="I1667" s="2" t="n">
        <v>7</v>
      </c>
    </row>
    <row r="1668" customFormat="false" ht="15" hidden="false" customHeight="false" outlineLevel="0" collapsed="false">
      <c r="A1668" s="2" t="s">
        <v>1206</v>
      </c>
      <c r="B1668" s="2" t="s">
        <v>299</v>
      </c>
      <c r="C1668" s="2" t="n">
        <v>1</v>
      </c>
      <c r="D1668" s="2" t="s">
        <v>54</v>
      </c>
      <c r="E1668" s="2" t="s">
        <v>2902</v>
      </c>
      <c r="F1668" s="2"/>
      <c r="G1668" s="2" t="n">
        <v>2</v>
      </c>
      <c r="H1668" s="2" t="s">
        <v>1689</v>
      </c>
      <c r="I1668" s="2" t="n">
        <v>8</v>
      </c>
    </row>
    <row r="1669" customFormat="false" ht="15" hidden="false" customHeight="false" outlineLevel="0" collapsed="false">
      <c r="A1669" s="2" t="s">
        <v>1206</v>
      </c>
      <c r="B1669" s="2" t="s">
        <v>500</v>
      </c>
      <c r="C1669" s="2" t="n">
        <v>1</v>
      </c>
      <c r="D1669" s="2" t="s">
        <v>1687</v>
      </c>
      <c r="E1669" s="2" t="s">
        <v>2632</v>
      </c>
      <c r="F1669" s="2"/>
      <c r="G1669" s="2" t="n">
        <v>2</v>
      </c>
      <c r="H1669" s="2" t="s">
        <v>1689</v>
      </c>
      <c r="I1669" s="2" t="n">
        <v>9</v>
      </c>
    </row>
    <row r="1670" customFormat="false" ht="15" hidden="false" customHeight="false" outlineLevel="0" collapsed="false">
      <c r="A1670" s="2" t="s">
        <v>1210</v>
      </c>
      <c r="B1670" s="2" t="s">
        <v>187</v>
      </c>
      <c r="C1670" s="2" t="n">
        <v>85</v>
      </c>
      <c r="D1670" s="2" t="s">
        <v>54</v>
      </c>
      <c r="E1670" s="2" t="s">
        <v>2903</v>
      </c>
      <c r="F1670" s="2" t="n">
        <v>42.5</v>
      </c>
      <c r="G1670" s="2" t="n">
        <v>127.5</v>
      </c>
      <c r="H1670" s="2" t="s">
        <v>1693</v>
      </c>
      <c r="I1670" s="2" t="n">
        <v>1</v>
      </c>
    </row>
    <row r="1671" customFormat="false" ht="15" hidden="false" customHeight="false" outlineLevel="0" collapsed="false">
      <c r="A1671" s="2" t="s">
        <v>1210</v>
      </c>
      <c r="B1671" s="2" t="s">
        <v>504</v>
      </c>
      <c r="C1671" s="2" t="n">
        <v>2</v>
      </c>
      <c r="D1671" s="2" t="s">
        <v>1687</v>
      </c>
      <c r="E1671" s="2" t="s">
        <v>2904</v>
      </c>
      <c r="F1671" s="2" t="n">
        <v>1</v>
      </c>
      <c r="G1671" s="2" t="n">
        <v>3</v>
      </c>
      <c r="H1671" s="2" t="s">
        <v>1689</v>
      </c>
      <c r="I1671" s="2" t="n">
        <v>2</v>
      </c>
    </row>
    <row r="1672" customFormat="false" ht="15" hidden="false" customHeight="false" outlineLevel="0" collapsed="false">
      <c r="A1672" s="2" t="s">
        <v>1210</v>
      </c>
      <c r="B1672" s="2" t="s">
        <v>331</v>
      </c>
      <c r="C1672" s="2" t="n">
        <v>52.5</v>
      </c>
      <c r="D1672" s="2" t="s">
        <v>54</v>
      </c>
      <c r="E1672" s="2" t="s">
        <v>2905</v>
      </c>
      <c r="F1672" s="2" t="n">
        <v>26.25</v>
      </c>
      <c r="G1672" s="2" t="n">
        <v>78.75</v>
      </c>
      <c r="H1672" s="2" t="s">
        <v>1689</v>
      </c>
      <c r="I1672" s="2" t="n">
        <v>3</v>
      </c>
    </row>
    <row r="1673" customFormat="false" ht="15" hidden="false" customHeight="false" outlineLevel="0" collapsed="false">
      <c r="A1673" s="2" t="s">
        <v>1210</v>
      </c>
      <c r="B1673" s="2" t="s">
        <v>260</v>
      </c>
      <c r="C1673" s="2" t="n">
        <v>75</v>
      </c>
      <c r="D1673" s="2" t="s">
        <v>54</v>
      </c>
      <c r="E1673" s="2" t="s">
        <v>2886</v>
      </c>
      <c r="F1673" s="2" t="n">
        <v>37.5</v>
      </c>
      <c r="G1673" s="2" t="n">
        <v>112.5</v>
      </c>
      <c r="H1673" s="2" t="s">
        <v>1689</v>
      </c>
      <c r="I1673" s="2" t="n">
        <v>4</v>
      </c>
    </row>
    <row r="1674" customFormat="false" ht="15" hidden="false" customHeight="false" outlineLevel="0" collapsed="false">
      <c r="A1674" s="2" t="s">
        <v>1210</v>
      </c>
      <c r="B1674" s="2" t="s">
        <v>500</v>
      </c>
      <c r="C1674" s="2" t="n">
        <v>1</v>
      </c>
      <c r="D1674" s="2" t="s">
        <v>1687</v>
      </c>
      <c r="E1674" s="2" t="s">
        <v>2906</v>
      </c>
      <c r="F1674" s="2"/>
      <c r="G1674" s="2" t="n">
        <v>2</v>
      </c>
      <c r="H1674" s="2" t="s">
        <v>1689</v>
      </c>
      <c r="I1674" s="2" t="n">
        <v>5</v>
      </c>
    </row>
    <row r="1675" customFormat="false" ht="15" hidden="false" customHeight="false" outlineLevel="0" collapsed="false">
      <c r="A1675" s="2" t="s">
        <v>1210</v>
      </c>
      <c r="B1675" s="2" t="s">
        <v>312</v>
      </c>
      <c r="C1675" s="2" t="n">
        <v>1</v>
      </c>
      <c r="D1675" s="2" t="s">
        <v>1687</v>
      </c>
      <c r="E1675" s="2" t="s">
        <v>2402</v>
      </c>
      <c r="F1675" s="2"/>
      <c r="G1675" s="2" t="n">
        <v>2</v>
      </c>
      <c r="H1675" s="2" t="s">
        <v>1689</v>
      </c>
      <c r="I1675" s="2" t="n">
        <v>6</v>
      </c>
    </row>
    <row r="1676" customFormat="false" ht="15" hidden="false" customHeight="false" outlineLevel="0" collapsed="false">
      <c r="A1676" s="2" t="s">
        <v>1210</v>
      </c>
      <c r="B1676" s="2" t="s">
        <v>299</v>
      </c>
      <c r="C1676" s="2" t="n">
        <v>1</v>
      </c>
      <c r="D1676" s="2" t="s">
        <v>54</v>
      </c>
      <c r="E1676" s="2" t="s">
        <v>2902</v>
      </c>
      <c r="F1676" s="2"/>
      <c r="G1676" s="2" t="n">
        <v>2</v>
      </c>
      <c r="H1676" s="2" t="s">
        <v>1689</v>
      </c>
      <c r="I1676" s="2" t="n">
        <v>7</v>
      </c>
    </row>
    <row r="1677" customFormat="false" ht="15" hidden="false" customHeight="false" outlineLevel="0" collapsed="false">
      <c r="A1677" s="2" t="s">
        <v>1214</v>
      </c>
      <c r="B1677" s="2" t="s">
        <v>359</v>
      </c>
      <c r="C1677" s="2" t="n">
        <v>130</v>
      </c>
      <c r="D1677" s="2" t="s">
        <v>54</v>
      </c>
      <c r="E1677" s="2" t="s">
        <v>2907</v>
      </c>
      <c r="F1677" s="2" t="n">
        <v>65</v>
      </c>
      <c r="G1677" s="2" t="n">
        <v>195</v>
      </c>
      <c r="H1677" s="2" t="s">
        <v>1693</v>
      </c>
      <c r="I1677" s="2" t="n">
        <v>1</v>
      </c>
    </row>
    <row r="1678" customFormat="false" ht="15" hidden="false" customHeight="false" outlineLevel="0" collapsed="false">
      <c r="A1678" s="2" t="s">
        <v>1214</v>
      </c>
      <c r="B1678" s="2" t="s">
        <v>177</v>
      </c>
      <c r="C1678" s="2" t="n">
        <v>30</v>
      </c>
      <c r="D1678" s="2" t="s">
        <v>54</v>
      </c>
      <c r="E1678" s="2" t="s">
        <v>2795</v>
      </c>
      <c r="F1678" s="2" t="n">
        <v>15</v>
      </c>
      <c r="G1678" s="2" t="n">
        <v>45</v>
      </c>
      <c r="H1678" s="2" t="s">
        <v>1689</v>
      </c>
      <c r="I1678" s="2" t="n">
        <v>2</v>
      </c>
    </row>
    <row r="1679" customFormat="false" ht="15" hidden="false" customHeight="false" outlineLevel="0" collapsed="false">
      <c r="A1679" s="2" t="s">
        <v>1214</v>
      </c>
      <c r="B1679" s="2" t="s">
        <v>540</v>
      </c>
      <c r="C1679" s="2" t="n">
        <v>2.25</v>
      </c>
      <c r="D1679" s="2" t="s">
        <v>54</v>
      </c>
      <c r="E1679" s="2" t="s">
        <v>2908</v>
      </c>
      <c r="F1679" s="2" t="n">
        <v>1.12</v>
      </c>
      <c r="G1679" s="2" t="n">
        <v>3.38</v>
      </c>
      <c r="H1679" s="2" t="s">
        <v>1700</v>
      </c>
      <c r="I1679" s="2" t="n">
        <v>3</v>
      </c>
    </row>
    <row r="1680" customFormat="false" ht="15" hidden="false" customHeight="false" outlineLevel="0" collapsed="false">
      <c r="A1680" s="2" t="s">
        <v>1214</v>
      </c>
      <c r="B1680" s="2" t="s">
        <v>454</v>
      </c>
      <c r="C1680" s="2" t="n">
        <v>75</v>
      </c>
      <c r="D1680" s="2" t="s">
        <v>54</v>
      </c>
      <c r="E1680" s="2" t="s">
        <v>2909</v>
      </c>
      <c r="F1680" s="2" t="n">
        <v>37.5</v>
      </c>
      <c r="G1680" s="2" t="n">
        <v>112.5</v>
      </c>
      <c r="H1680" s="2" t="s">
        <v>1689</v>
      </c>
      <c r="I1680" s="2" t="n">
        <v>4</v>
      </c>
    </row>
    <row r="1681" customFormat="false" ht="15" hidden="false" customHeight="false" outlineLevel="0" collapsed="false">
      <c r="A1681" s="2" t="s">
        <v>1214</v>
      </c>
      <c r="B1681" s="2" t="s">
        <v>409</v>
      </c>
      <c r="C1681" s="2" t="n">
        <v>37.5</v>
      </c>
      <c r="D1681" s="2" t="s">
        <v>54</v>
      </c>
      <c r="E1681" s="2" t="s">
        <v>2910</v>
      </c>
      <c r="F1681" s="2" t="n">
        <v>18.75</v>
      </c>
      <c r="G1681" s="2" t="n">
        <v>56.25</v>
      </c>
      <c r="H1681" s="2" t="s">
        <v>1689</v>
      </c>
      <c r="I1681" s="2" t="n">
        <v>5</v>
      </c>
    </row>
    <row r="1682" customFormat="false" ht="15" hidden="false" customHeight="false" outlineLevel="0" collapsed="false">
      <c r="A1682" s="2" t="s">
        <v>1214</v>
      </c>
      <c r="B1682" s="2" t="s">
        <v>323</v>
      </c>
      <c r="C1682" s="2" t="n">
        <v>40</v>
      </c>
      <c r="D1682" s="2" t="s">
        <v>54</v>
      </c>
      <c r="E1682" s="2" t="s">
        <v>2911</v>
      </c>
      <c r="F1682" s="2" t="n">
        <v>20</v>
      </c>
      <c r="G1682" s="2" t="n">
        <v>60</v>
      </c>
      <c r="H1682" s="2" t="s">
        <v>1689</v>
      </c>
      <c r="I1682" s="2" t="n">
        <v>6</v>
      </c>
    </row>
    <row r="1683" customFormat="false" ht="15" hidden="false" customHeight="false" outlineLevel="0" collapsed="false">
      <c r="A1683" s="2" t="s">
        <v>1214</v>
      </c>
      <c r="B1683" s="2" t="s">
        <v>271</v>
      </c>
      <c r="C1683" s="2" t="n">
        <v>1.25</v>
      </c>
      <c r="D1683" s="2" t="s">
        <v>54</v>
      </c>
      <c r="E1683" s="2" t="s">
        <v>2912</v>
      </c>
      <c r="F1683" s="2" t="n">
        <v>0.62</v>
      </c>
      <c r="G1683" s="2" t="n">
        <v>1.88</v>
      </c>
      <c r="H1683" s="2" t="s">
        <v>1689</v>
      </c>
      <c r="I1683" s="2" t="n">
        <v>7</v>
      </c>
    </row>
    <row r="1684" customFormat="false" ht="15" hidden="false" customHeight="false" outlineLevel="0" collapsed="false">
      <c r="A1684" s="2" t="s">
        <v>1214</v>
      </c>
      <c r="B1684" s="2" t="s">
        <v>456</v>
      </c>
      <c r="C1684" s="2" t="n">
        <v>1</v>
      </c>
      <c r="D1684" s="2" t="s">
        <v>1687</v>
      </c>
      <c r="E1684" s="2" t="s">
        <v>2913</v>
      </c>
      <c r="F1684" s="2"/>
      <c r="G1684" s="2" t="n">
        <v>2</v>
      </c>
      <c r="H1684" s="2" t="s">
        <v>1689</v>
      </c>
      <c r="I1684" s="2" t="n">
        <v>8</v>
      </c>
    </row>
    <row r="1685" customFormat="false" ht="15" hidden="false" customHeight="false" outlineLevel="0" collapsed="false">
      <c r="A1685" s="2" t="s">
        <v>1214</v>
      </c>
      <c r="B1685" s="2" t="s">
        <v>312</v>
      </c>
      <c r="C1685" s="2" t="n">
        <v>1</v>
      </c>
      <c r="D1685" s="2" t="s">
        <v>1687</v>
      </c>
      <c r="E1685" s="2" t="s">
        <v>2875</v>
      </c>
      <c r="F1685" s="2"/>
      <c r="G1685" s="2" t="n">
        <v>2</v>
      </c>
      <c r="H1685" s="2" t="s">
        <v>1689</v>
      </c>
      <c r="I1685" s="2" t="n">
        <v>9</v>
      </c>
    </row>
    <row r="1686" customFormat="false" ht="15" hidden="false" customHeight="false" outlineLevel="0" collapsed="false">
      <c r="A1686" s="2" t="s">
        <v>1214</v>
      </c>
      <c r="B1686" s="2" t="s">
        <v>299</v>
      </c>
      <c r="C1686" s="2" t="n">
        <v>1</v>
      </c>
      <c r="D1686" s="2" t="s">
        <v>54</v>
      </c>
      <c r="E1686" s="2" t="s">
        <v>2876</v>
      </c>
      <c r="F1686" s="2"/>
      <c r="G1686" s="2" t="n">
        <v>2</v>
      </c>
      <c r="H1686" s="2" t="s">
        <v>1689</v>
      </c>
      <c r="I1686" s="2" t="n">
        <v>10</v>
      </c>
    </row>
    <row r="1687" customFormat="false" ht="15" hidden="false" customHeight="false" outlineLevel="0" collapsed="false">
      <c r="A1687" s="2" t="s">
        <v>1214</v>
      </c>
      <c r="B1687" s="2" t="s">
        <v>496</v>
      </c>
      <c r="C1687" s="2" t="n">
        <v>15</v>
      </c>
      <c r="D1687" s="2" t="s">
        <v>76</v>
      </c>
      <c r="E1687" s="2" t="s">
        <v>2882</v>
      </c>
      <c r="F1687" s="2" t="n">
        <v>7.5</v>
      </c>
      <c r="G1687" s="2" t="n">
        <v>22.5</v>
      </c>
      <c r="H1687" s="2" t="s">
        <v>1693</v>
      </c>
      <c r="I1687" s="2" t="n">
        <v>11</v>
      </c>
    </row>
    <row r="1688" customFormat="false" ht="15" hidden="false" customHeight="false" outlineLevel="0" collapsed="false">
      <c r="A1688" s="2" t="s">
        <v>1214</v>
      </c>
      <c r="B1688" s="2" t="s">
        <v>91</v>
      </c>
      <c r="C1688" s="2" t="n">
        <v>7</v>
      </c>
      <c r="D1688" s="2" t="s">
        <v>54</v>
      </c>
      <c r="E1688" s="2" t="s">
        <v>2825</v>
      </c>
      <c r="F1688" s="2" t="n">
        <v>3.5</v>
      </c>
      <c r="G1688" s="2" t="n">
        <v>10.5</v>
      </c>
      <c r="H1688" s="2" t="s">
        <v>1689</v>
      </c>
      <c r="I1688" s="2" t="n">
        <v>12</v>
      </c>
    </row>
    <row r="1689" customFormat="false" ht="15" hidden="false" customHeight="false" outlineLevel="0" collapsed="false">
      <c r="A1689" s="2" t="s">
        <v>1214</v>
      </c>
      <c r="B1689" s="2" t="s">
        <v>249</v>
      </c>
      <c r="C1689" s="2" t="n">
        <v>3</v>
      </c>
      <c r="D1689" s="2" t="s">
        <v>54</v>
      </c>
      <c r="E1689" s="2" t="s">
        <v>2894</v>
      </c>
      <c r="F1689" s="2" t="n">
        <v>1.5</v>
      </c>
      <c r="G1689" s="2" t="n">
        <v>4.5</v>
      </c>
      <c r="H1689" s="2" t="s">
        <v>1689</v>
      </c>
      <c r="I1689" s="2" t="n">
        <v>13</v>
      </c>
    </row>
    <row r="1690" customFormat="false" ht="15" hidden="false" customHeight="false" outlineLevel="0" collapsed="false">
      <c r="A1690" s="2" t="s">
        <v>1218</v>
      </c>
      <c r="B1690" s="2" t="s">
        <v>548</v>
      </c>
      <c r="C1690" s="2" t="n">
        <v>1</v>
      </c>
      <c r="D1690" s="2" t="s">
        <v>1687</v>
      </c>
      <c r="E1690" s="2" t="s">
        <v>2914</v>
      </c>
      <c r="F1690" s="2"/>
      <c r="G1690" s="2" t="n">
        <v>2</v>
      </c>
      <c r="H1690" s="2" t="s">
        <v>1689</v>
      </c>
      <c r="I1690" s="2" t="n">
        <v>1</v>
      </c>
    </row>
    <row r="1691" customFormat="false" ht="15" hidden="false" customHeight="false" outlineLevel="0" collapsed="false">
      <c r="A1691" s="2" t="s">
        <v>1218</v>
      </c>
      <c r="B1691" s="2" t="s">
        <v>341</v>
      </c>
      <c r="C1691" s="2" t="n">
        <v>25</v>
      </c>
      <c r="D1691" s="2" t="s">
        <v>54</v>
      </c>
      <c r="E1691" s="2" t="s">
        <v>2915</v>
      </c>
      <c r="F1691" s="2" t="n">
        <v>12.5</v>
      </c>
      <c r="G1691" s="2" t="n">
        <v>37.5</v>
      </c>
      <c r="H1691" s="2" t="s">
        <v>1693</v>
      </c>
      <c r="I1691" s="2" t="n">
        <v>2</v>
      </c>
    </row>
    <row r="1692" customFormat="false" ht="15" hidden="false" customHeight="false" outlineLevel="0" collapsed="false">
      <c r="A1692" s="2" t="s">
        <v>1218</v>
      </c>
      <c r="B1692" s="2" t="s">
        <v>114</v>
      </c>
      <c r="C1692" s="2" t="n">
        <v>1</v>
      </c>
      <c r="D1692" s="2" t="s">
        <v>1687</v>
      </c>
      <c r="E1692" s="2" t="s">
        <v>2635</v>
      </c>
      <c r="F1692" s="2"/>
      <c r="G1692" s="2" t="n">
        <v>2</v>
      </c>
      <c r="H1692" s="2" t="s">
        <v>1693</v>
      </c>
      <c r="I1692" s="2" t="n">
        <v>3</v>
      </c>
    </row>
    <row r="1693" customFormat="false" ht="15" hidden="false" customHeight="false" outlineLevel="0" collapsed="false">
      <c r="A1693" s="2" t="s">
        <v>1218</v>
      </c>
      <c r="B1693" s="2" t="s">
        <v>488</v>
      </c>
      <c r="C1693" s="2" t="n">
        <v>7.5</v>
      </c>
      <c r="D1693" s="2" t="s">
        <v>54</v>
      </c>
      <c r="E1693" s="2" t="s">
        <v>2916</v>
      </c>
      <c r="F1693" s="2" t="n">
        <v>3.75</v>
      </c>
      <c r="G1693" s="2" t="n">
        <v>11.25</v>
      </c>
      <c r="H1693" s="2" t="s">
        <v>1700</v>
      </c>
      <c r="I1693" s="2" t="n">
        <v>4</v>
      </c>
    </row>
    <row r="1694" customFormat="false" ht="15" hidden="false" customHeight="false" outlineLevel="0" collapsed="false">
      <c r="A1694" s="2" t="s">
        <v>1218</v>
      </c>
      <c r="B1694" s="2" t="s">
        <v>486</v>
      </c>
      <c r="C1694" s="2" t="n">
        <v>2.25</v>
      </c>
      <c r="D1694" s="2" t="s">
        <v>54</v>
      </c>
      <c r="E1694" s="2" t="s">
        <v>2917</v>
      </c>
      <c r="F1694" s="2" t="n">
        <v>1.12</v>
      </c>
      <c r="G1694" s="2" t="n">
        <v>3.38</v>
      </c>
      <c r="H1694" s="2" t="s">
        <v>1700</v>
      </c>
      <c r="I1694" s="2" t="n">
        <v>5</v>
      </c>
    </row>
    <row r="1695" customFormat="false" ht="15" hidden="false" customHeight="false" outlineLevel="0" collapsed="false">
      <c r="A1695" s="2" t="s">
        <v>1218</v>
      </c>
      <c r="B1695" s="2" t="s">
        <v>500</v>
      </c>
      <c r="C1695" s="2" t="n">
        <v>1</v>
      </c>
      <c r="D1695" s="2" t="s">
        <v>1687</v>
      </c>
      <c r="E1695" s="2" t="s">
        <v>2918</v>
      </c>
      <c r="F1695" s="2"/>
      <c r="G1695" s="2" t="n">
        <v>2</v>
      </c>
      <c r="H1695" s="2" t="s">
        <v>1689</v>
      </c>
      <c r="I1695" s="2" t="n">
        <v>6</v>
      </c>
    </row>
    <row r="1696" customFormat="false" ht="15" hidden="false" customHeight="false" outlineLevel="0" collapsed="false">
      <c r="A1696" s="2" t="s">
        <v>1218</v>
      </c>
      <c r="B1696" s="2" t="s">
        <v>299</v>
      </c>
      <c r="C1696" s="2" t="n">
        <v>0.5</v>
      </c>
      <c r="D1696" s="2" t="s">
        <v>54</v>
      </c>
      <c r="E1696" s="2" t="s">
        <v>2919</v>
      </c>
      <c r="F1696" s="2"/>
      <c r="G1696" s="2" t="n">
        <v>1.5</v>
      </c>
      <c r="H1696" s="2" t="s">
        <v>1689</v>
      </c>
      <c r="I1696" s="2" t="n">
        <v>7</v>
      </c>
    </row>
    <row r="1697" customFormat="false" ht="15" hidden="false" customHeight="false" outlineLevel="0" collapsed="false">
      <c r="A1697" s="2" t="s">
        <v>1222</v>
      </c>
      <c r="B1697" s="2" t="s">
        <v>221</v>
      </c>
      <c r="C1697" s="2" t="n">
        <v>120</v>
      </c>
      <c r="D1697" s="2" t="s">
        <v>54</v>
      </c>
      <c r="E1697" s="2" t="s">
        <v>2920</v>
      </c>
      <c r="F1697" s="2" t="n">
        <v>60</v>
      </c>
      <c r="G1697" s="2" t="n">
        <v>180</v>
      </c>
      <c r="H1697" s="2" t="s">
        <v>1693</v>
      </c>
      <c r="I1697" s="2" t="n">
        <v>1</v>
      </c>
    </row>
    <row r="1698" customFormat="false" ht="15" hidden="false" customHeight="false" outlineLevel="0" collapsed="false">
      <c r="A1698" s="2" t="s">
        <v>1222</v>
      </c>
      <c r="B1698" s="2" t="s">
        <v>177</v>
      </c>
      <c r="C1698" s="2" t="n">
        <v>22</v>
      </c>
      <c r="D1698" s="2" t="s">
        <v>54</v>
      </c>
      <c r="E1698" s="2" t="s">
        <v>2921</v>
      </c>
      <c r="F1698" s="2" t="n">
        <v>11</v>
      </c>
      <c r="G1698" s="2" t="n">
        <v>33</v>
      </c>
      <c r="H1698" s="2" t="s">
        <v>1689</v>
      </c>
      <c r="I1698" s="2" t="n">
        <v>2</v>
      </c>
    </row>
    <row r="1699" customFormat="false" ht="15" hidden="false" customHeight="false" outlineLevel="0" collapsed="false">
      <c r="A1699" s="2" t="s">
        <v>1222</v>
      </c>
      <c r="B1699" s="2" t="s">
        <v>249</v>
      </c>
      <c r="C1699" s="2" t="n">
        <v>10</v>
      </c>
      <c r="D1699" s="2" t="s">
        <v>54</v>
      </c>
      <c r="E1699" s="2" t="s">
        <v>2922</v>
      </c>
      <c r="F1699" s="2" t="n">
        <v>5</v>
      </c>
      <c r="G1699" s="2" t="n">
        <v>15</v>
      </c>
      <c r="H1699" s="2" t="s">
        <v>1689</v>
      </c>
      <c r="I1699" s="2" t="n">
        <v>3</v>
      </c>
    </row>
    <row r="1700" customFormat="false" ht="15" hidden="false" customHeight="false" outlineLevel="0" collapsed="false">
      <c r="A1700" s="2" t="s">
        <v>1222</v>
      </c>
      <c r="B1700" s="2" t="s">
        <v>249</v>
      </c>
      <c r="C1700" s="2" t="n">
        <v>3</v>
      </c>
      <c r="D1700" s="2" t="s">
        <v>54</v>
      </c>
      <c r="E1700" s="2" t="s">
        <v>2923</v>
      </c>
      <c r="F1700" s="2" t="n">
        <v>1.5</v>
      </c>
      <c r="G1700" s="2" t="n">
        <v>4.5</v>
      </c>
      <c r="H1700" s="2" t="s">
        <v>1689</v>
      </c>
      <c r="I1700" s="2" t="n">
        <v>4</v>
      </c>
    </row>
    <row r="1701" customFormat="false" ht="15" hidden="false" customHeight="false" outlineLevel="0" collapsed="false">
      <c r="A1701" s="2" t="s">
        <v>1222</v>
      </c>
      <c r="B1701" s="2" t="s">
        <v>91</v>
      </c>
      <c r="C1701" s="2" t="n">
        <v>21</v>
      </c>
      <c r="D1701" s="2" t="s">
        <v>54</v>
      </c>
      <c r="E1701" s="2" t="s">
        <v>2924</v>
      </c>
      <c r="F1701" s="2" t="n">
        <v>10.5</v>
      </c>
      <c r="G1701" s="2" t="n">
        <v>31.5</v>
      </c>
      <c r="H1701" s="2" t="s">
        <v>1689</v>
      </c>
      <c r="I1701" s="2" t="n">
        <v>5</v>
      </c>
    </row>
    <row r="1702" customFormat="false" ht="15" hidden="false" customHeight="false" outlineLevel="0" collapsed="false">
      <c r="A1702" s="2" t="s">
        <v>1222</v>
      </c>
      <c r="B1702" s="2" t="s">
        <v>496</v>
      </c>
      <c r="C1702" s="2" t="n">
        <v>15</v>
      </c>
      <c r="D1702" s="2" t="s">
        <v>76</v>
      </c>
      <c r="E1702" s="2" t="s">
        <v>2882</v>
      </c>
      <c r="F1702" s="2" t="n">
        <v>7.5</v>
      </c>
      <c r="G1702" s="2" t="n">
        <v>22.5</v>
      </c>
      <c r="H1702" s="2" t="s">
        <v>1693</v>
      </c>
      <c r="I1702" s="2" t="n">
        <v>6</v>
      </c>
    </row>
    <row r="1703" customFormat="false" ht="15" hidden="false" customHeight="false" outlineLevel="0" collapsed="false">
      <c r="A1703" s="2" t="s">
        <v>1222</v>
      </c>
      <c r="B1703" s="2" t="s">
        <v>486</v>
      </c>
      <c r="C1703" s="2" t="n">
        <v>4.5</v>
      </c>
      <c r="D1703" s="2" t="s">
        <v>54</v>
      </c>
      <c r="E1703" s="2" t="s">
        <v>2828</v>
      </c>
      <c r="F1703" s="2" t="n">
        <v>2.25</v>
      </c>
      <c r="G1703" s="2" t="n">
        <v>6.75</v>
      </c>
      <c r="H1703" s="2" t="s">
        <v>1700</v>
      </c>
      <c r="I1703" s="2" t="n">
        <v>7</v>
      </c>
    </row>
    <row r="1704" customFormat="false" ht="15" hidden="false" customHeight="false" outlineLevel="0" collapsed="false">
      <c r="A1704" s="2" t="s">
        <v>1222</v>
      </c>
      <c r="B1704" s="2" t="s">
        <v>488</v>
      </c>
      <c r="C1704" s="2" t="n">
        <v>5</v>
      </c>
      <c r="D1704" s="2" t="s">
        <v>54</v>
      </c>
      <c r="E1704" s="2" t="s">
        <v>2829</v>
      </c>
      <c r="F1704" s="2" t="n">
        <v>2.5</v>
      </c>
      <c r="G1704" s="2" t="n">
        <v>7.5</v>
      </c>
      <c r="H1704" s="2" t="s">
        <v>1700</v>
      </c>
      <c r="I1704" s="2" t="n">
        <v>8</v>
      </c>
    </row>
    <row r="1705" customFormat="false" ht="15" hidden="false" customHeight="false" outlineLevel="0" collapsed="false">
      <c r="A1705" s="2" t="s">
        <v>1222</v>
      </c>
      <c r="B1705" s="2" t="s">
        <v>312</v>
      </c>
      <c r="C1705" s="2" t="n">
        <v>1</v>
      </c>
      <c r="D1705" s="2" t="s">
        <v>1687</v>
      </c>
      <c r="E1705" s="2" t="s">
        <v>2875</v>
      </c>
      <c r="F1705" s="2"/>
      <c r="G1705" s="2" t="n">
        <v>2</v>
      </c>
      <c r="H1705" s="2" t="s">
        <v>1689</v>
      </c>
      <c r="I1705" s="2" t="n">
        <v>9</v>
      </c>
    </row>
    <row r="1706" customFormat="false" ht="15" hidden="false" customHeight="false" outlineLevel="0" collapsed="false">
      <c r="A1706" s="2" t="s">
        <v>1222</v>
      </c>
      <c r="B1706" s="2" t="s">
        <v>299</v>
      </c>
      <c r="C1706" s="2" t="n">
        <v>1</v>
      </c>
      <c r="D1706" s="2" t="s">
        <v>54</v>
      </c>
      <c r="E1706" s="2" t="s">
        <v>2876</v>
      </c>
      <c r="F1706" s="2"/>
      <c r="G1706" s="2" t="n">
        <v>2</v>
      </c>
      <c r="H1706" s="2" t="s">
        <v>1689</v>
      </c>
      <c r="I1706" s="2" t="n">
        <v>10</v>
      </c>
    </row>
    <row r="1707" customFormat="false" ht="15" hidden="false" customHeight="false" outlineLevel="0" collapsed="false">
      <c r="A1707" s="2" t="s">
        <v>1226</v>
      </c>
      <c r="B1707" s="2" t="s">
        <v>552</v>
      </c>
      <c r="C1707" s="2" t="n">
        <v>150</v>
      </c>
      <c r="D1707" s="2" t="s">
        <v>54</v>
      </c>
      <c r="E1707" s="2" t="s">
        <v>2925</v>
      </c>
      <c r="F1707" s="2" t="n">
        <v>75</v>
      </c>
      <c r="G1707" s="2" t="n">
        <v>225</v>
      </c>
      <c r="H1707" s="2" t="s">
        <v>1693</v>
      </c>
      <c r="I1707" s="2" t="n">
        <v>1</v>
      </c>
    </row>
    <row r="1708" customFormat="false" ht="15" hidden="false" customHeight="false" outlineLevel="0" collapsed="false">
      <c r="A1708" s="2" t="s">
        <v>1226</v>
      </c>
      <c r="B1708" s="2" t="s">
        <v>454</v>
      </c>
      <c r="C1708" s="2" t="n">
        <v>100</v>
      </c>
      <c r="D1708" s="2" t="s">
        <v>54</v>
      </c>
      <c r="E1708" s="2" t="s">
        <v>2926</v>
      </c>
      <c r="F1708" s="2" t="n">
        <v>50</v>
      </c>
      <c r="G1708" s="2" t="n">
        <v>150</v>
      </c>
      <c r="H1708" s="2" t="s">
        <v>1689</v>
      </c>
      <c r="I1708" s="2" t="n">
        <v>2</v>
      </c>
    </row>
    <row r="1709" customFormat="false" ht="15" hidden="false" customHeight="false" outlineLevel="0" collapsed="false">
      <c r="A1709" s="2" t="s">
        <v>1226</v>
      </c>
      <c r="B1709" s="2" t="s">
        <v>458</v>
      </c>
      <c r="C1709" s="2" t="n">
        <v>50</v>
      </c>
      <c r="D1709" s="2" t="s">
        <v>54</v>
      </c>
      <c r="E1709" s="2" t="s">
        <v>2927</v>
      </c>
      <c r="F1709" s="2" t="n">
        <v>25</v>
      </c>
      <c r="G1709" s="2" t="n">
        <v>75</v>
      </c>
      <c r="H1709" s="2" t="s">
        <v>1689</v>
      </c>
      <c r="I1709" s="2" t="n">
        <v>3</v>
      </c>
    </row>
    <row r="1710" customFormat="false" ht="15" hidden="false" customHeight="false" outlineLevel="0" collapsed="false">
      <c r="A1710" s="2" t="s">
        <v>1226</v>
      </c>
      <c r="B1710" s="2" t="s">
        <v>243</v>
      </c>
      <c r="C1710" s="2" t="n">
        <v>2</v>
      </c>
      <c r="D1710" s="2" t="s">
        <v>1687</v>
      </c>
      <c r="E1710" s="2" t="s">
        <v>2928</v>
      </c>
      <c r="F1710" s="2" t="n">
        <v>1</v>
      </c>
      <c r="G1710" s="2" t="n">
        <v>3</v>
      </c>
      <c r="H1710" s="2" t="s">
        <v>1689</v>
      </c>
      <c r="I1710" s="2" t="n">
        <v>4</v>
      </c>
    </row>
    <row r="1711" customFormat="false" ht="15" hidden="false" customHeight="false" outlineLevel="0" collapsed="false">
      <c r="A1711" s="2" t="s">
        <v>1226</v>
      </c>
      <c r="B1711" s="2" t="s">
        <v>129</v>
      </c>
      <c r="C1711" s="2" t="n">
        <v>4.5</v>
      </c>
      <c r="D1711" s="2" t="s">
        <v>54</v>
      </c>
      <c r="E1711" s="2" t="s">
        <v>2929</v>
      </c>
      <c r="F1711" s="2" t="n">
        <v>2.25</v>
      </c>
      <c r="G1711" s="2" t="n">
        <v>6.75</v>
      </c>
      <c r="H1711" s="2" t="s">
        <v>1700</v>
      </c>
      <c r="I1711" s="2" t="n">
        <v>5</v>
      </c>
    </row>
    <row r="1712" customFormat="false" ht="15" hidden="false" customHeight="false" outlineLevel="0" collapsed="false">
      <c r="A1712" s="2" t="s">
        <v>1226</v>
      </c>
      <c r="B1712" s="2" t="s">
        <v>262</v>
      </c>
      <c r="C1712" s="2" t="n">
        <v>2.5</v>
      </c>
      <c r="D1712" s="2" t="s">
        <v>54</v>
      </c>
      <c r="E1712" s="2" t="s">
        <v>2930</v>
      </c>
      <c r="F1712" s="2" t="n">
        <v>1.25</v>
      </c>
      <c r="G1712" s="2" t="n">
        <v>3.75</v>
      </c>
      <c r="H1712" s="2" t="s">
        <v>1689</v>
      </c>
      <c r="I1712" s="2" t="n">
        <v>6</v>
      </c>
    </row>
    <row r="1713" customFormat="false" ht="15" hidden="false" customHeight="false" outlineLevel="0" collapsed="false">
      <c r="A1713" s="2" t="s">
        <v>1226</v>
      </c>
      <c r="B1713" s="2" t="s">
        <v>148</v>
      </c>
      <c r="C1713" s="2" t="n">
        <v>30</v>
      </c>
      <c r="D1713" s="2" t="s">
        <v>54</v>
      </c>
      <c r="E1713" s="2" t="s">
        <v>2794</v>
      </c>
      <c r="F1713" s="2" t="n">
        <v>15</v>
      </c>
      <c r="G1713" s="2" t="n">
        <v>45</v>
      </c>
      <c r="H1713" s="2" t="s">
        <v>1693</v>
      </c>
      <c r="I1713" s="2" t="n">
        <v>7</v>
      </c>
    </row>
    <row r="1714" customFormat="false" ht="15" hidden="false" customHeight="false" outlineLevel="0" collapsed="false">
      <c r="A1714" s="2" t="s">
        <v>1226</v>
      </c>
      <c r="B1714" s="2" t="s">
        <v>375</v>
      </c>
      <c r="C1714" s="2" t="n">
        <v>0.25</v>
      </c>
      <c r="D1714" s="2" t="s">
        <v>1687</v>
      </c>
      <c r="E1714" s="2" t="s">
        <v>2931</v>
      </c>
      <c r="F1714" s="2"/>
      <c r="G1714" s="2" t="n">
        <v>1.25</v>
      </c>
      <c r="H1714" s="2" t="s">
        <v>1689</v>
      </c>
      <c r="I1714" s="2" t="n">
        <v>8</v>
      </c>
    </row>
    <row r="1715" customFormat="false" ht="15" hidden="false" customHeight="false" outlineLevel="0" collapsed="false">
      <c r="A1715" s="2" t="s">
        <v>1226</v>
      </c>
      <c r="B1715" s="2" t="s">
        <v>301</v>
      </c>
      <c r="C1715" s="2" t="n">
        <v>5</v>
      </c>
      <c r="D1715" s="2" t="s">
        <v>54</v>
      </c>
      <c r="E1715" s="2" t="s">
        <v>2697</v>
      </c>
      <c r="F1715" s="2" t="n">
        <v>2.5</v>
      </c>
      <c r="G1715" s="2" t="n">
        <v>7.5</v>
      </c>
      <c r="H1715" s="2" t="s">
        <v>1689</v>
      </c>
      <c r="I1715" s="2" t="n">
        <v>9</v>
      </c>
    </row>
    <row r="1716" customFormat="false" ht="15" hidden="false" customHeight="false" outlineLevel="0" collapsed="false">
      <c r="A1716" s="2" t="s">
        <v>1230</v>
      </c>
      <c r="B1716" s="2" t="s">
        <v>351</v>
      </c>
      <c r="C1716" s="2" t="n">
        <v>120</v>
      </c>
      <c r="D1716" s="2" t="s">
        <v>54</v>
      </c>
      <c r="E1716" s="2" t="s">
        <v>2932</v>
      </c>
      <c r="F1716" s="2" t="n">
        <v>60</v>
      </c>
      <c r="G1716" s="2" t="n">
        <v>180</v>
      </c>
      <c r="H1716" s="2" t="s">
        <v>1693</v>
      </c>
      <c r="I1716" s="2" t="n">
        <v>1</v>
      </c>
    </row>
    <row r="1717" customFormat="false" ht="15" hidden="false" customHeight="false" outlineLevel="0" collapsed="false">
      <c r="A1717" s="2" t="s">
        <v>1230</v>
      </c>
      <c r="B1717" s="2" t="s">
        <v>129</v>
      </c>
      <c r="C1717" s="2" t="n">
        <v>4.5</v>
      </c>
      <c r="D1717" s="2" t="s">
        <v>54</v>
      </c>
      <c r="E1717" s="2" t="s">
        <v>2929</v>
      </c>
      <c r="F1717" s="2" t="n">
        <v>2.25</v>
      </c>
      <c r="G1717" s="2" t="n">
        <v>6.75</v>
      </c>
      <c r="H1717" s="2" t="s">
        <v>1700</v>
      </c>
      <c r="I1717" s="2" t="n">
        <v>2</v>
      </c>
    </row>
    <row r="1718" customFormat="false" ht="15" hidden="false" customHeight="false" outlineLevel="0" collapsed="false">
      <c r="A1718" s="2" t="s">
        <v>1230</v>
      </c>
      <c r="B1718" s="2" t="s">
        <v>409</v>
      </c>
      <c r="C1718" s="2" t="n">
        <v>75</v>
      </c>
      <c r="D1718" s="2" t="s">
        <v>54</v>
      </c>
      <c r="E1718" s="2" t="s">
        <v>2933</v>
      </c>
      <c r="F1718" s="2" t="n">
        <v>37.5</v>
      </c>
      <c r="G1718" s="2" t="n">
        <v>112.5</v>
      </c>
      <c r="H1718" s="2" t="s">
        <v>1689</v>
      </c>
      <c r="I1718" s="2" t="n">
        <v>3</v>
      </c>
    </row>
    <row r="1719" customFormat="false" ht="15" hidden="false" customHeight="false" outlineLevel="0" collapsed="false">
      <c r="A1719" s="2" t="s">
        <v>1230</v>
      </c>
      <c r="B1719" s="2" t="s">
        <v>312</v>
      </c>
      <c r="C1719" s="2" t="n">
        <v>2</v>
      </c>
      <c r="D1719" s="2" t="s">
        <v>1687</v>
      </c>
      <c r="E1719" s="2" t="s">
        <v>2934</v>
      </c>
      <c r="F1719" s="2" t="n">
        <v>1</v>
      </c>
      <c r="G1719" s="2" t="n">
        <v>3</v>
      </c>
      <c r="H1719" s="2" t="s">
        <v>1689</v>
      </c>
      <c r="I1719" s="2" t="n">
        <v>4</v>
      </c>
    </row>
    <row r="1720" customFormat="false" ht="15" hidden="false" customHeight="false" outlineLevel="0" collapsed="false">
      <c r="A1720" s="2" t="s">
        <v>1230</v>
      </c>
      <c r="B1720" s="2" t="s">
        <v>227</v>
      </c>
      <c r="C1720" s="2" t="n">
        <v>15</v>
      </c>
      <c r="D1720" s="2" t="s">
        <v>54</v>
      </c>
      <c r="E1720" s="2" t="s">
        <v>2935</v>
      </c>
      <c r="F1720" s="2" t="n">
        <v>7.5</v>
      </c>
      <c r="G1720" s="2" t="n">
        <v>22.5</v>
      </c>
      <c r="H1720" s="2" t="s">
        <v>1689</v>
      </c>
      <c r="I1720" s="2" t="n">
        <v>5</v>
      </c>
    </row>
    <row r="1721" customFormat="false" ht="15" hidden="false" customHeight="false" outlineLevel="0" collapsed="false">
      <c r="A1721" s="2" t="s">
        <v>1230</v>
      </c>
      <c r="B1721" s="2" t="s">
        <v>422</v>
      </c>
      <c r="C1721" s="2" t="n">
        <v>100</v>
      </c>
      <c r="D1721" s="2" t="s">
        <v>54</v>
      </c>
      <c r="E1721" s="2" t="s">
        <v>2778</v>
      </c>
      <c r="F1721" s="2" t="n">
        <v>50</v>
      </c>
      <c r="G1721" s="2" t="n">
        <v>150</v>
      </c>
      <c r="H1721" s="2" t="s">
        <v>1689</v>
      </c>
      <c r="I1721" s="2" t="n">
        <v>6</v>
      </c>
    </row>
    <row r="1722" customFormat="false" ht="15" hidden="false" customHeight="false" outlineLevel="0" collapsed="false">
      <c r="A1722" s="2" t="s">
        <v>1230</v>
      </c>
      <c r="B1722" s="2" t="s">
        <v>506</v>
      </c>
      <c r="C1722" s="2" t="n">
        <v>200</v>
      </c>
      <c r="D1722" s="2" t="s">
        <v>76</v>
      </c>
      <c r="E1722" s="2" t="s">
        <v>2936</v>
      </c>
      <c r="F1722" s="2" t="n">
        <v>100</v>
      </c>
      <c r="G1722" s="2" t="n">
        <v>300</v>
      </c>
      <c r="H1722" s="2" t="s">
        <v>1693</v>
      </c>
      <c r="I1722" s="2" t="n">
        <v>7</v>
      </c>
    </row>
    <row r="1723" customFormat="false" ht="15" hidden="false" customHeight="false" outlineLevel="0" collapsed="false">
      <c r="A1723" s="2" t="s">
        <v>1230</v>
      </c>
      <c r="B1723" s="2" t="s">
        <v>271</v>
      </c>
      <c r="C1723" s="2" t="n">
        <v>1.25</v>
      </c>
      <c r="D1723" s="2" t="s">
        <v>54</v>
      </c>
      <c r="E1723" s="2" t="s">
        <v>2723</v>
      </c>
      <c r="F1723" s="2" t="n">
        <v>0.62</v>
      </c>
      <c r="G1723" s="2" t="n">
        <v>1.88</v>
      </c>
      <c r="H1723" s="2" t="s">
        <v>1689</v>
      </c>
      <c r="I1723" s="2" t="n">
        <v>8</v>
      </c>
    </row>
    <row r="1724" customFormat="false" ht="15" hidden="false" customHeight="false" outlineLevel="0" collapsed="false">
      <c r="A1724" s="2" t="s">
        <v>1230</v>
      </c>
      <c r="B1724" s="2" t="s">
        <v>271</v>
      </c>
      <c r="C1724" s="2" t="n">
        <v>1.25</v>
      </c>
      <c r="D1724" s="2" t="s">
        <v>54</v>
      </c>
      <c r="E1724" s="2" t="s">
        <v>2708</v>
      </c>
      <c r="F1724" s="2" t="n">
        <v>0.62</v>
      </c>
      <c r="G1724" s="2" t="n">
        <v>1.88</v>
      </c>
      <c r="H1724" s="2" t="s">
        <v>1689</v>
      </c>
      <c r="I1724" s="2" t="n">
        <v>9</v>
      </c>
    </row>
    <row r="1725" customFormat="false" ht="15" hidden="false" customHeight="false" outlineLevel="0" collapsed="false">
      <c r="A1725" s="2" t="s">
        <v>1230</v>
      </c>
      <c r="B1725" s="2" t="s">
        <v>179</v>
      </c>
      <c r="C1725" s="2" t="n">
        <v>1</v>
      </c>
      <c r="D1725" s="2" t="s">
        <v>1687</v>
      </c>
      <c r="E1725" s="2" t="s">
        <v>2608</v>
      </c>
      <c r="F1725" s="2" t="n">
        <v>0.5</v>
      </c>
      <c r="G1725" s="2" t="n">
        <v>1.5</v>
      </c>
      <c r="H1725" s="2" t="s">
        <v>1689</v>
      </c>
      <c r="I1725" s="2" t="n">
        <v>10</v>
      </c>
    </row>
    <row r="1726" customFormat="false" ht="15" hidden="false" customHeight="false" outlineLevel="0" collapsed="false">
      <c r="A1726" s="2" t="s">
        <v>1230</v>
      </c>
      <c r="B1726" s="2" t="s">
        <v>243</v>
      </c>
      <c r="C1726" s="2" t="n">
        <v>1</v>
      </c>
      <c r="D1726" s="2" t="s">
        <v>1687</v>
      </c>
      <c r="E1726" s="2" t="s">
        <v>2937</v>
      </c>
      <c r="F1726" s="2"/>
      <c r="G1726" s="2" t="n">
        <v>2</v>
      </c>
      <c r="H1726" s="2" t="s">
        <v>1689</v>
      </c>
      <c r="I1726" s="2" t="n">
        <v>11</v>
      </c>
    </row>
    <row r="1727" customFormat="false" ht="15" hidden="false" customHeight="false" outlineLevel="0" collapsed="false">
      <c r="A1727" s="2" t="s">
        <v>1230</v>
      </c>
      <c r="B1727" s="2" t="s">
        <v>375</v>
      </c>
      <c r="C1727" s="2" t="n">
        <v>0.25</v>
      </c>
      <c r="D1727" s="2" t="s">
        <v>1687</v>
      </c>
      <c r="E1727" s="2" t="s">
        <v>2931</v>
      </c>
      <c r="F1727" s="2"/>
      <c r="G1727" s="2" t="n">
        <v>1.25</v>
      </c>
      <c r="H1727" s="2" t="s">
        <v>1689</v>
      </c>
      <c r="I1727" s="2" t="n">
        <v>12</v>
      </c>
    </row>
    <row r="1728" customFormat="false" ht="15" hidden="false" customHeight="false" outlineLevel="0" collapsed="false">
      <c r="A1728" s="2" t="s">
        <v>1230</v>
      </c>
      <c r="B1728" s="2" t="s">
        <v>301</v>
      </c>
      <c r="C1728" s="2" t="n">
        <v>5</v>
      </c>
      <c r="D1728" s="2" t="s">
        <v>54</v>
      </c>
      <c r="E1728" s="2" t="s">
        <v>2697</v>
      </c>
      <c r="F1728" s="2" t="n">
        <v>2.5</v>
      </c>
      <c r="G1728" s="2" t="n">
        <v>7.5</v>
      </c>
      <c r="H1728" s="2" t="s">
        <v>1689</v>
      </c>
      <c r="I1728" s="2" t="n">
        <v>13</v>
      </c>
    </row>
    <row r="1729" customFormat="false" ht="15" hidden="false" customHeight="false" outlineLevel="0" collapsed="false">
      <c r="A1729" s="2" t="s">
        <v>1234</v>
      </c>
      <c r="B1729" s="2" t="s">
        <v>351</v>
      </c>
      <c r="C1729" s="2" t="n">
        <v>100</v>
      </c>
      <c r="D1729" s="2" t="s">
        <v>54</v>
      </c>
      <c r="E1729" s="2" t="s">
        <v>2938</v>
      </c>
      <c r="F1729" s="2" t="n">
        <v>50</v>
      </c>
      <c r="G1729" s="2" t="n">
        <v>150</v>
      </c>
      <c r="H1729" s="2" t="s">
        <v>1693</v>
      </c>
      <c r="I1729" s="2" t="n">
        <v>1</v>
      </c>
    </row>
    <row r="1730" customFormat="false" ht="15" hidden="false" customHeight="false" outlineLevel="0" collapsed="false">
      <c r="A1730" s="2" t="s">
        <v>1234</v>
      </c>
      <c r="B1730" s="2" t="s">
        <v>129</v>
      </c>
      <c r="C1730" s="2" t="n">
        <v>4.5</v>
      </c>
      <c r="D1730" s="2" t="s">
        <v>54</v>
      </c>
      <c r="E1730" s="2" t="s">
        <v>2929</v>
      </c>
      <c r="F1730" s="2" t="n">
        <v>2.25</v>
      </c>
      <c r="G1730" s="2" t="n">
        <v>6.75</v>
      </c>
      <c r="H1730" s="2" t="s">
        <v>1700</v>
      </c>
      <c r="I1730" s="2" t="n">
        <v>2</v>
      </c>
    </row>
    <row r="1731" customFormat="false" ht="15" hidden="false" customHeight="false" outlineLevel="0" collapsed="false">
      <c r="A1731" s="2" t="s">
        <v>1234</v>
      </c>
      <c r="B1731" s="2" t="s">
        <v>409</v>
      </c>
      <c r="C1731" s="2" t="n">
        <v>75</v>
      </c>
      <c r="D1731" s="2" t="s">
        <v>54</v>
      </c>
      <c r="E1731" s="2" t="s">
        <v>2939</v>
      </c>
      <c r="F1731" s="2" t="n">
        <v>37.5</v>
      </c>
      <c r="G1731" s="2" t="n">
        <v>112.5</v>
      </c>
      <c r="H1731" s="2" t="s">
        <v>1689</v>
      </c>
      <c r="I1731" s="2" t="n">
        <v>3</v>
      </c>
    </row>
    <row r="1732" customFormat="false" ht="15" hidden="false" customHeight="false" outlineLevel="0" collapsed="false">
      <c r="A1732" s="2" t="s">
        <v>1234</v>
      </c>
      <c r="B1732" s="2" t="s">
        <v>312</v>
      </c>
      <c r="C1732" s="2" t="n">
        <v>1</v>
      </c>
      <c r="D1732" s="2" t="s">
        <v>1687</v>
      </c>
      <c r="E1732" s="2" t="s">
        <v>2607</v>
      </c>
      <c r="F1732" s="2"/>
      <c r="G1732" s="2" t="n">
        <v>2</v>
      </c>
      <c r="H1732" s="2" t="s">
        <v>1689</v>
      </c>
      <c r="I1732" s="2" t="n">
        <v>4</v>
      </c>
    </row>
    <row r="1733" customFormat="false" ht="15" hidden="false" customHeight="false" outlineLevel="0" collapsed="false">
      <c r="A1733" s="2" t="s">
        <v>1234</v>
      </c>
      <c r="B1733" s="2" t="s">
        <v>189</v>
      </c>
      <c r="C1733" s="2" t="n">
        <v>150</v>
      </c>
      <c r="D1733" s="2" t="s">
        <v>54</v>
      </c>
      <c r="E1733" s="2" t="s">
        <v>2940</v>
      </c>
      <c r="F1733" s="2" t="n">
        <v>75</v>
      </c>
      <c r="G1733" s="2" t="n">
        <v>225</v>
      </c>
      <c r="H1733" s="2" t="s">
        <v>1689</v>
      </c>
      <c r="I1733" s="2" t="n">
        <v>5</v>
      </c>
    </row>
    <row r="1734" customFormat="false" ht="15" hidden="false" customHeight="false" outlineLevel="0" collapsed="false">
      <c r="A1734" s="2" t="s">
        <v>1234</v>
      </c>
      <c r="B1734" s="2" t="s">
        <v>422</v>
      </c>
      <c r="C1734" s="2" t="n">
        <v>150</v>
      </c>
      <c r="D1734" s="2" t="s">
        <v>54</v>
      </c>
      <c r="E1734" s="2" t="s">
        <v>2941</v>
      </c>
      <c r="F1734" s="2" t="n">
        <v>75</v>
      </c>
      <c r="G1734" s="2" t="n">
        <v>225</v>
      </c>
      <c r="H1734" s="2" t="s">
        <v>1689</v>
      </c>
      <c r="I1734" s="2" t="n">
        <v>6</v>
      </c>
    </row>
    <row r="1735" customFormat="false" ht="15" hidden="false" customHeight="false" outlineLevel="0" collapsed="false">
      <c r="A1735" s="2" t="s">
        <v>1234</v>
      </c>
      <c r="B1735" s="2" t="s">
        <v>506</v>
      </c>
      <c r="C1735" s="2" t="n">
        <v>100</v>
      </c>
      <c r="D1735" s="2" t="s">
        <v>76</v>
      </c>
      <c r="E1735" s="2" t="s">
        <v>2603</v>
      </c>
      <c r="F1735" s="2" t="n">
        <v>50</v>
      </c>
      <c r="G1735" s="2" t="n">
        <v>150</v>
      </c>
      <c r="H1735" s="2" t="s">
        <v>1693</v>
      </c>
      <c r="I1735" s="2" t="n">
        <v>7</v>
      </c>
    </row>
    <row r="1736" customFormat="false" ht="15" hidden="false" customHeight="false" outlineLevel="0" collapsed="false">
      <c r="A1736" s="2" t="s">
        <v>1234</v>
      </c>
      <c r="B1736" s="2" t="s">
        <v>271</v>
      </c>
      <c r="C1736" s="2" t="n">
        <v>2.5</v>
      </c>
      <c r="D1736" s="2" t="s">
        <v>54</v>
      </c>
      <c r="E1736" s="2" t="s">
        <v>2779</v>
      </c>
      <c r="F1736" s="2" t="n">
        <v>1.25</v>
      </c>
      <c r="G1736" s="2" t="n">
        <v>3.75</v>
      </c>
      <c r="H1736" s="2" t="s">
        <v>1689</v>
      </c>
      <c r="I1736" s="2" t="n">
        <v>8</v>
      </c>
    </row>
    <row r="1737" customFormat="false" ht="15" hidden="false" customHeight="false" outlineLevel="0" collapsed="false">
      <c r="A1737" s="2" t="s">
        <v>1234</v>
      </c>
      <c r="B1737" s="2" t="s">
        <v>271</v>
      </c>
      <c r="C1737" s="2" t="n">
        <v>2.5</v>
      </c>
      <c r="D1737" s="2" t="s">
        <v>54</v>
      </c>
      <c r="E1737" s="2" t="s">
        <v>2942</v>
      </c>
      <c r="F1737" s="2" t="n">
        <v>1.25</v>
      </c>
      <c r="G1737" s="2" t="n">
        <v>3.75</v>
      </c>
      <c r="H1737" s="2" t="s">
        <v>1689</v>
      </c>
      <c r="I1737" s="2" t="n">
        <v>9</v>
      </c>
    </row>
    <row r="1738" customFormat="false" ht="15" hidden="false" customHeight="false" outlineLevel="0" collapsed="false">
      <c r="A1738" s="2" t="s">
        <v>1234</v>
      </c>
      <c r="B1738" s="2" t="s">
        <v>271</v>
      </c>
      <c r="C1738" s="2" t="n">
        <v>1.25</v>
      </c>
      <c r="D1738" s="2" t="s">
        <v>54</v>
      </c>
      <c r="E1738" s="2" t="s">
        <v>2781</v>
      </c>
      <c r="F1738" s="2" t="n">
        <v>0.62</v>
      </c>
      <c r="G1738" s="2" t="n">
        <v>1.88</v>
      </c>
      <c r="H1738" s="2" t="s">
        <v>1689</v>
      </c>
      <c r="I1738" s="2" t="n">
        <v>10</v>
      </c>
    </row>
    <row r="1739" customFormat="false" ht="15" hidden="false" customHeight="false" outlineLevel="0" collapsed="false">
      <c r="A1739" s="2" t="s">
        <v>1234</v>
      </c>
      <c r="B1739" s="2" t="s">
        <v>301</v>
      </c>
      <c r="C1739" s="2" t="n">
        <v>5</v>
      </c>
      <c r="D1739" s="2" t="s">
        <v>54</v>
      </c>
      <c r="E1739" s="2" t="s">
        <v>2697</v>
      </c>
      <c r="F1739" s="2" t="n">
        <v>2.5</v>
      </c>
      <c r="G1739" s="2" t="n">
        <v>7.5</v>
      </c>
      <c r="H1739" s="2" t="s">
        <v>1689</v>
      </c>
      <c r="I1739" s="2" t="n">
        <v>11</v>
      </c>
    </row>
    <row r="1740" customFormat="false" ht="15" hidden="false" customHeight="false" outlineLevel="0" collapsed="false">
      <c r="A1740" s="2" t="s">
        <v>1238</v>
      </c>
      <c r="B1740" s="2" t="s">
        <v>351</v>
      </c>
      <c r="C1740" s="2" t="n">
        <v>120</v>
      </c>
      <c r="D1740" s="2" t="s">
        <v>54</v>
      </c>
      <c r="E1740" s="2" t="s">
        <v>2943</v>
      </c>
      <c r="F1740" s="2" t="n">
        <v>60</v>
      </c>
      <c r="G1740" s="2" t="n">
        <v>180</v>
      </c>
      <c r="H1740" s="2" t="s">
        <v>1693</v>
      </c>
      <c r="I1740" s="2" t="n">
        <v>1</v>
      </c>
    </row>
    <row r="1741" customFormat="false" ht="15" hidden="false" customHeight="false" outlineLevel="0" collapsed="false">
      <c r="A1741" s="2" t="s">
        <v>1238</v>
      </c>
      <c r="B1741" s="2" t="s">
        <v>129</v>
      </c>
      <c r="C1741" s="2" t="n">
        <v>4.5</v>
      </c>
      <c r="D1741" s="2" t="s">
        <v>54</v>
      </c>
      <c r="E1741" s="2" t="s">
        <v>2929</v>
      </c>
      <c r="F1741" s="2" t="n">
        <v>2.25</v>
      </c>
      <c r="G1741" s="2" t="n">
        <v>6.75</v>
      </c>
      <c r="H1741" s="2" t="s">
        <v>1700</v>
      </c>
      <c r="I1741" s="2" t="n">
        <v>2</v>
      </c>
    </row>
    <row r="1742" customFormat="false" ht="15" hidden="false" customHeight="false" outlineLevel="0" collapsed="false">
      <c r="A1742" s="2" t="s">
        <v>1238</v>
      </c>
      <c r="B1742" s="2" t="s">
        <v>409</v>
      </c>
      <c r="C1742" s="2" t="n">
        <v>75</v>
      </c>
      <c r="D1742" s="2" t="s">
        <v>54</v>
      </c>
      <c r="E1742" s="2" t="s">
        <v>2933</v>
      </c>
      <c r="F1742" s="2" t="n">
        <v>37.5</v>
      </c>
      <c r="G1742" s="2" t="n">
        <v>112.5</v>
      </c>
      <c r="H1742" s="2" t="s">
        <v>1689</v>
      </c>
      <c r="I1742" s="2" t="n">
        <v>3</v>
      </c>
    </row>
    <row r="1743" customFormat="false" ht="15" hidden="false" customHeight="false" outlineLevel="0" collapsed="false">
      <c r="A1743" s="2" t="s">
        <v>1238</v>
      </c>
      <c r="B1743" s="2" t="s">
        <v>312</v>
      </c>
      <c r="C1743" s="2" t="n">
        <v>2</v>
      </c>
      <c r="D1743" s="2" t="s">
        <v>1687</v>
      </c>
      <c r="E1743" s="2" t="s">
        <v>2934</v>
      </c>
      <c r="F1743" s="2" t="n">
        <v>1</v>
      </c>
      <c r="G1743" s="2" t="n">
        <v>3</v>
      </c>
      <c r="H1743" s="2" t="s">
        <v>1689</v>
      </c>
      <c r="I1743" s="2" t="n">
        <v>4</v>
      </c>
    </row>
    <row r="1744" customFormat="false" ht="15" hidden="false" customHeight="false" outlineLevel="0" collapsed="false">
      <c r="A1744" s="2" t="s">
        <v>1238</v>
      </c>
      <c r="B1744" s="2" t="s">
        <v>227</v>
      </c>
      <c r="C1744" s="2" t="n">
        <v>14</v>
      </c>
      <c r="D1744" s="2" t="s">
        <v>54</v>
      </c>
      <c r="E1744" s="2" t="s">
        <v>2944</v>
      </c>
      <c r="F1744" s="2" t="n">
        <v>7</v>
      </c>
      <c r="G1744" s="2" t="n">
        <v>21</v>
      </c>
      <c r="H1744" s="2" t="s">
        <v>1689</v>
      </c>
      <c r="I1744" s="2" t="n">
        <v>5</v>
      </c>
    </row>
    <row r="1745" customFormat="false" ht="15" hidden="false" customHeight="false" outlineLevel="0" collapsed="false">
      <c r="A1745" s="2" t="s">
        <v>1238</v>
      </c>
      <c r="B1745" s="2" t="s">
        <v>506</v>
      </c>
      <c r="C1745" s="2" t="n">
        <v>50</v>
      </c>
      <c r="D1745" s="2" t="s">
        <v>76</v>
      </c>
      <c r="E1745" s="2" t="s">
        <v>2648</v>
      </c>
      <c r="F1745" s="2" t="n">
        <v>25</v>
      </c>
      <c r="G1745" s="2" t="n">
        <v>75</v>
      </c>
      <c r="H1745" s="2" t="s">
        <v>1693</v>
      </c>
      <c r="I1745" s="2" t="n">
        <v>6</v>
      </c>
    </row>
    <row r="1746" customFormat="false" ht="15" hidden="false" customHeight="false" outlineLevel="0" collapsed="false">
      <c r="A1746" s="2" t="s">
        <v>1238</v>
      </c>
      <c r="B1746" s="2" t="s">
        <v>411</v>
      </c>
      <c r="C1746" s="2" t="n">
        <v>0.5</v>
      </c>
      <c r="D1746" s="2" t="s">
        <v>1687</v>
      </c>
      <c r="E1746" s="2" t="s">
        <v>2945</v>
      </c>
      <c r="F1746" s="2"/>
      <c r="G1746" s="2" t="n">
        <v>1.5</v>
      </c>
      <c r="H1746" s="2" t="s">
        <v>1689</v>
      </c>
      <c r="I1746" s="2" t="n">
        <v>7</v>
      </c>
    </row>
    <row r="1747" customFormat="false" ht="15" hidden="false" customHeight="false" outlineLevel="0" collapsed="false">
      <c r="A1747" s="2" t="s">
        <v>1238</v>
      </c>
      <c r="B1747" s="2" t="s">
        <v>271</v>
      </c>
      <c r="C1747" s="2" t="n">
        <v>1.25</v>
      </c>
      <c r="D1747" s="2" t="s">
        <v>54</v>
      </c>
      <c r="E1747" s="2" t="s">
        <v>2723</v>
      </c>
      <c r="F1747" s="2" t="n">
        <v>0.62</v>
      </c>
      <c r="G1747" s="2" t="n">
        <v>1.88</v>
      </c>
      <c r="H1747" s="2" t="s">
        <v>1689</v>
      </c>
      <c r="I1747" s="2" t="n">
        <v>8</v>
      </c>
    </row>
    <row r="1748" customFormat="false" ht="15" hidden="false" customHeight="false" outlineLevel="0" collapsed="false">
      <c r="A1748" s="2" t="s">
        <v>1238</v>
      </c>
      <c r="B1748" s="2" t="s">
        <v>179</v>
      </c>
      <c r="C1748" s="2" t="n">
        <v>1</v>
      </c>
      <c r="D1748" s="2" t="s">
        <v>1687</v>
      </c>
      <c r="E1748" s="2" t="s">
        <v>2608</v>
      </c>
      <c r="F1748" s="2" t="n">
        <v>0.5</v>
      </c>
      <c r="G1748" s="2" t="n">
        <v>1.5</v>
      </c>
      <c r="H1748" s="2" t="s">
        <v>1689</v>
      </c>
      <c r="I1748" s="2" t="n">
        <v>9</v>
      </c>
    </row>
    <row r="1749" customFormat="false" ht="15" hidden="false" customHeight="false" outlineLevel="0" collapsed="false">
      <c r="A1749" s="2" t="s">
        <v>1238</v>
      </c>
      <c r="B1749" s="2" t="s">
        <v>243</v>
      </c>
      <c r="C1749" s="2" t="n">
        <v>2</v>
      </c>
      <c r="D1749" s="2" t="s">
        <v>1687</v>
      </c>
      <c r="E1749" s="2" t="s">
        <v>2946</v>
      </c>
      <c r="F1749" s="2" t="n">
        <v>1</v>
      </c>
      <c r="G1749" s="2" t="n">
        <v>3</v>
      </c>
      <c r="H1749" s="2" t="s">
        <v>1689</v>
      </c>
      <c r="I1749" s="2" t="n">
        <v>10</v>
      </c>
    </row>
    <row r="1750" customFormat="false" ht="15" hidden="false" customHeight="false" outlineLevel="0" collapsed="false">
      <c r="A1750" s="2" t="s">
        <v>1238</v>
      </c>
      <c r="B1750" s="2" t="s">
        <v>375</v>
      </c>
      <c r="C1750" s="2" t="n">
        <v>0.25</v>
      </c>
      <c r="D1750" s="2" t="s">
        <v>1687</v>
      </c>
      <c r="E1750" s="2" t="s">
        <v>2931</v>
      </c>
      <c r="F1750" s="2"/>
      <c r="G1750" s="2" t="n">
        <v>1.25</v>
      </c>
      <c r="H1750" s="2" t="s">
        <v>1689</v>
      </c>
      <c r="I1750" s="2" t="n">
        <v>11</v>
      </c>
    </row>
    <row r="1751" customFormat="false" ht="15" hidden="false" customHeight="false" outlineLevel="0" collapsed="false">
      <c r="A1751" s="2" t="s">
        <v>1238</v>
      </c>
      <c r="B1751" s="2" t="s">
        <v>301</v>
      </c>
      <c r="C1751" s="2" t="n">
        <v>5</v>
      </c>
      <c r="D1751" s="2" t="s">
        <v>54</v>
      </c>
      <c r="E1751" s="2" t="s">
        <v>2697</v>
      </c>
      <c r="F1751" s="2" t="n">
        <v>2.5</v>
      </c>
      <c r="G1751" s="2" t="n">
        <v>7.5</v>
      </c>
      <c r="H1751" s="2" t="s">
        <v>1689</v>
      </c>
      <c r="I1751" s="2" t="n">
        <v>12</v>
      </c>
    </row>
    <row r="1752" customFormat="false" ht="15" hidden="false" customHeight="false" outlineLevel="0" collapsed="false">
      <c r="A1752" s="2" t="s">
        <v>1242</v>
      </c>
      <c r="B1752" s="2" t="s">
        <v>243</v>
      </c>
      <c r="C1752" s="2" t="n">
        <v>2</v>
      </c>
      <c r="D1752" s="2" t="s">
        <v>1687</v>
      </c>
      <c r="E1752" s="2" t="s">
        <v>2947</v>
      </c>
      <c r="F1752" s="2" t="n">
        <v>1</v>
      </c>
      <c r="G1752" s="2" t="n">
        <v>3</v>
      </c>
      <c r="H1752" s="2" t="s">
        <v>1689</v>
      </c>
      <c r="I1752" s="2" t="n">
        <v>1</v>
      </c>
    </row>
    <row r="1753" customFormat="false" ht="15" hidden="false" customHeight="false" outlineLevel="0" collapsed="false">
      <c r="A1753" s="2" t="s">
        <v>1242</v>
      </c>
      <c r="B1753" s="2" t="s">
        <v>377</v>
      </c>
      <c r="C1753" s="2" t="n">
        <v>1</v>
      </c>
      <c r="D1753" s="2" t="s">
        <v>54</v>
      </c>
      <c r="E1753" s="2" t="s">
        <v>2948</v>
      </c>
      <c r="F1753" s="2" t="n">
        <v>0.5</v>
      </c>
      <c r="G1753" s="2" t="n">
        <v>1.5</v>
      </c>
      <c r="H1753" s="2" t="s">
        <v>1700</v>
      </c>
      <c r="I1753" s="2" t="n">
        <v>2</v>
      </c>
    </row>
    <row r="1754" customFormat="false" ht="15" hidden="false" customHeight="false" outlineLevel="0" collapsed="false">
      <c r="A1754" s="2" t="s">
        <v>1242</v>
      </c>
      <c r="B1754" s="2" t="s">
        <v>353</v>
      </c>
      <c r="C1754" s="2" t="n">
        <v>60</v>
      </c>
      <c r="D1754" s="2" t="s">
        <v>54</v>
      </c>
      <c r="E1754" s="2" t="s">
        <v>2949</v>
      </c>
      <c r="F1754" s="2" t="n">
        <v>30</v>
      </c>
      <c r="G1754" s="2" t="n">
        <v>90</v>
      </c>
      <c r="H1754" s="2" t="s">
        <v>1693</v>
      </c>
      <c r="I1754" s="2" t="n">
        <v>3</v>
      </c>
    </row>
    <row r="1755" customFormat="false" ht="15" hidden="false" customHeight="false" outlineLevel="0" collapsed="false">
      <c r="A1755" s="2" t="s">
        <v>1242</v>
      </c>
      <c r="B1755" s="2" t="s">
        <v>262</v>
      </c>
      <c r="C1755" s="2" t="n">
        <v>2.5</v>
      </c>
      <c r="D1755" s="2" t="s">
        <v>54</v>
      </c>
      <c r="E1755" s="2" t="s">
        <v>2950</v>
      </c>
      <c r="F1755" s="2" t="n">
        <v>1.25</v>
      </c>
      <c r="G1755" s="2" t="n">
        <v>3.75</v>
      </c>
      <c r="H1755" s="2" t="s">
        <v>1689</v>
      </c>
      <c r="I1755" s="2" t="n">
        <v>4</v>
      </c>
    </row>
    <row r="1756" customFormat="false" ht="15" hidden="false" customHeight="false" outlineLevel="0" collapsed="false">
      <c r="A1756" s="2" t="s">
        <v>1242</v>
      </c>
      <c r="B1756" s="2" t="s">
        <v>189</v>
      </c>
      <c r="C1756" s="2" t="n">
        <v>40</v>
      </c>
      <c r="D1756" s="2" t="s">
        <v>54</v>
      </c>
      <c r="E1756" s="2" t="s">
        <v>2951</v>
      </c>
      <c r="F1756" s="2" t="n">
        <v>20</v>
      </c>
      <c r="G1756" s="2" t="n">
        <v>60</v>
      </c>
      <c r="H1756" s="2" t="s">
        <v>1689</v>
      </c>
      <c r="I1756" s="2" t="n">
        <v>5</v>
      </c>
    </row>
    <row r="1757" customFormat="false" ht="15" hidden="false" customHeight="false" outlineLevel="0" collapsed="false">
      <c r="A1757" s="2" t="s">
        <v>1242</v>
      </c>
      <c r="B1757" s="2" t="s">
        <v>462</v>
      </c>
      <c r="C1757" s="2" t="n">
        <v>20</v>
      </c>
      <c r="D1757" s="2" t="s">
        <v>54</v>
      </c>
      <c r="E1757" s="2" t="s">
        <v>2952</v>
      </c>
      <c r="F1757" s="2" t="n">
        <v>10</v>
      </c>
      <c r="G1757" s="2" t="n">
        <v>30</v>
      </c>
      <c r="H1757" s="2" t="s">
        <v>1693</v>
      </c>
      <c r="I1757" s="2" t="n">
        <v>6</v>
      </c>
    </row>
    <row r="1758" customFormat="false" ht="15" hidden="false" customHeight="false" outlineLevel="0" collapsed="false">
      <c r="A1758" s="2" t="s">
        <v>1242</v>
      </c>
      <c r="B1758" s="2" t="s">
        <v>306</v>
      </c>
      <c r="C1758" s="2" t="n">
        <v>40</v>
      </c>
      <c r="D1758" s="2" t="s">
        <v>54</v>
      </c>
      <c r="E1758" s="2" t="s">
        <v>2953</v>
      </c>
      <c r="F1758" s="2" t="n">
        <v>20</v>
      </c>
      <c r="G1758" s="2" t="n">
        <v>60</v>
      </c>
      <c r="H1758" s="2" t="s">
        <v>1689</v>
      </c>
      <c r="I1758" s="2" t="n">
        <v>7</v>
      </c>
    </row>
    <row r="1759" customFormat="false" ht="15" hidden="false" customHeight="false" outlineLevel="0" collapsed="false">
      <c r="A1759" s="2" t="s">
        <v>1242</v>
      </c>
      <c r="B1759" s="2" t="s">
        <v>148</v>
      </c>
      <c r="C1759" s="2" t="n">
        <v>40</v>
      </c>
      <c r="D1759" s="2" t="s">
        <v>54</v>
      </c>
      <c r="E1759" s="2" t="s">
        <v>2690</v>
      </c>
      <c r="F1759" s="2" t="n">
        <v>20</v>
      </c>
      <c r="G1759" s="2" t="n">
        <v>60</v>
      </c>
      <c r="H1759" s="2" t="s">
        <v>1693</v>
      </c>
      <c r="I1759" s="2" t="n">
        <v>8</v>
      </c>
    </row>
    <row r="1760" customFormat="false" ht="15" hidden="false" customHeight="false" outlineLevel="0" collapsed="false">
      <c r="A1760" s="2" t="s">
        <v>1242</v>
      </c>
      <c r="B1760" s="2" t="s">
        <v>337</v>
      </c>
      <c r="C1760" s="2" t="n">
        <v>0.25</v>
      </c>
      <c r="D1760" s="2" t="s">
        <v>1687</v>
      </c>
      <c r="E1760" s="2" t="s">
        <v>2954</v>
      </c>
      <c r="F1760" s="2"/>
      <c r="G1760" s="2" t="n">
        <v>1.25</v>
      </c>
      <c r="H1760" s="2" t="s">
        <v>1689</v>
      </c>
      <c r="I1760" s="2" t="n">
        <v>9</v>
      </c>
    </row>
    <row r="1761" customFormat="false" ht="15" hidden="false" customHeight="false" outlineLevel="0" collapsed="false">
      <c r="A1761" s="2" t="s">
        <v>1242</v>
      </c>
      <c r="B1761" s="2" t="s">
        <v>500</v>
      </c>
      <c r="C1761" s="2" t="n">
        <v>1</v>
      </c>
      <c r="D1761" s="2" t="s">
        <v>1687</v>
      </c>
      <c r="E1761" s="2" t="s">
        <v>2632</v>
      </c>
      <c r="F1761" s="2"/>
      <c r="G1761" s="2" t="n">
        <v>2</v>
      </c>
      <c r="H1761" s="2" t="s">
        <v>1689</v>
      </c>
      <c r="I1761" s="2" t="n">
        <v>10</v>
      </c>
    </row>
    <row r="1762" customFormat="false" ht="15" hidden="false" customHeight="false" outlineLevel="0" collapsed="false">
      <c r="A1762" s="2" t="s">
        <v>1242</v>
      </c>
      <c r="B1762" s="2" t="s">
        <v>301</v>
      </c>
      <c r="C1762" s="2" t="n">
        <v>5</v>
      </c>
      <c r="D1762" s="2" t="s">
        <v>54</v>
      </c>
      <c r="E1762" s="2" t="s">
        <v>2697</v>
      </c>
      <c r="F1762" s="2" t="n">
        <v>2.5</v>
      </c>
      <c r="G1762" s="2" t="n">
        <v>7.5</v>
      </c>
      <c r="H1762" s="2" t="s">
        <v>1689</v>
      </c>
      <c r="I1762" s="2" t="n">
        <v>11</v>
      </c>
    </row>
    <row r="1763" customFormat="false" ht="15" hidden="false" customHeight="false" outlineLevel="0" collapsed="false">
      <c r="A1763" s="2" t="s">
        <v>1246</v>
      </c>
      <c r="B1763" s="2" t="s">
        <v>221</v>
      </c>
      <c r="C1763" s="2" t="n">
        <v>150</v>
      </c>
      <c r="D1763" s="2" t="s">
        <v>54</v>
      </c>
      <c r="E1763" s="2" t="s">
        <v>2955</v>
      </c>
      <c r="F1763" s="2" t="n">
        <v>75</v>
      </c>
      <c r="G1763" s="2" t="n">
        <v>225</v>
      </c>
      <c r="H1763" s="2" t="s">
        <v>1693</v>
      </c>
      <c r="I1763" s="2" t="n">
        <v>1</v>
      </c>
    </row>
    <row r="1764" customFormat="false" ht="15" hidden="false" customHeight="false" outlineLevel="0" collapsed="false">
      <c r="A1764" s="2" t="s">
        <v>1246</v>
      </c>
      <c r="B1764" s="2" t="s">
        <v>365</v>
      </c>
      <c r="C1764" s="2" t="n">
        <v>0.5</v>
      </c>
      <c r="D1764" s="2" t="s">
        <v>1687</v>
      </c>
      <c r="E1764" s="2" t="s">
        <v>2956</v>
      </c>
      <c r="F1764" s="2"/>
      <c r="G1764" s="2" t="n">
        <v>1.5</v>
      </c>
      <c r="H1764" s="2" t="s">
        <v>1689</v>
      </c>
      <c r="I1764" s="2" t="n">
        <v>2</v>
      </c>
    </row>
    <row r="1765" customFormat="false" ht="15" hidden="false" customHeight="false" outlineLevel="0" collapsed="false">
      <c r="A1765" s="2" t="s">
        <v>1246</v>
      </c>
      <c r="B1765" s="2" t="s">
        <v>312</v>
      </c>
      <c r="C1765" s="2" t="n">
        <v>1</v>
      </c>
      <c r="D1765" s="2" t="s">
        <v>1687</v>
      </c>
      <c r="E1765" s="2" t="s">
        <v>2607</v>
      </c>
      <c r="F1765" s="2"/>
      <c r="G1765" s="2" t="n">
        <v>2</v>
      </c>
      <c r="H1765" s="2" t="s">
        <v>1689</v>
      </c>
      <c r="I1765" s="2" t="n">
        <v>3</v>
      </c>
    </row>
    <row r="1766" customFormat="false" ht="15" hidden="false" customHeight="false" outlineLevel="0" collapsed="false">
      <c r="A1766" s="2" t="s">
        <v>1246</v>
      </c>
      <c r="B1766" s="2" t="s">
        <v>271</v>
      </c>
      <c r="C1766" s="2" t="n">
        <v>2.5</v>
      </c>
      <c r="D1766" s="2" t="s">
        <v>54</v>
      </c>
      <c r="E1766" s="2" t="s">
        <v>2942</v>
      </c>
      <c r="F1766" s="2" t="n">
        <v>1.25</v>
      </c>
      <c r="G1766" s="2" t="n">
        <v>3.75</v>
      </c>
      <c r="H1766" s="2" t="s">
        <v>1689</v>
      </c>
      <c r="I1766" s="2" t="n">
        <v>4</v>
      </c>
    </row>
    <row r="1767" customFormat="false" ht="15" hidden="false" customHeight="false" outlineLevel="0" collapsed="false">
      <c r="A1767" s="2" t="s">
        <v>1246</v>
      </c>
      <c r="B1767" s="2" t="s">
        <v>271</v>
      </c>
      <c r="C1767" s="2" t="n">
        <v>1.25</v>
      </c>
      <c r="D1767" s="2" t="s">
        <v>54</v>
      </c>
      <c r="E1767" s="2" t="s">
        <v>2957</v>
      </c>
      <c r="F1767" s="2" t="n">
        <v>0.62</v>
      </c>
      <c r="G1767" s="2" t="n">
        <v>1.88</v>
      </c>
      <c r="H1767" s="2" t="s">
        <v>1689</v>
      </c>
      <c r="I1767" s="2" t="n">
        <v>5</v>
      </c>
    </row>
    <row r="1768" customFormat="false" ht="15" hidden="false" customHeight="false" outlineLevel="0" collapsed="false">
      <c r="A1768" s="2" t="s">
        <v>1246</v>
      </c>
      <c r="B1768" s="2" t="s">
        <v>271</v>
      </c>
      <c r="C1768" s="2" t="n">
        <v>1.25</v>
      </c>
      <c r="D1768" s="2" t="s">
        <v>54</v>
      </c>
      <c r="E1768" s="2" t="s">
        <v>2708</v>
      </c>
      <c r="F1768" s="2" t="n">
        <v>0.62</v>
      </c>
      <c r="G1768" s="2" t="n">
        <v>1.88</v>
      </c>
      <c r="H1768" s="2" t="s">
        <v>1689</v>
      </c>
      <c r="I1768" s="2" t="n">
        <v>6</v>
      </c>
    </row>
    <row r="1769" customFormat="false" ht="15" hidden="false" customHeight="false" outlineLevel="0" collapsed="false">
      <c r="A1769" s="2" t="s">
        <v>1246</v>
      </c>
      <c r="B1769" s="2" t="s">
        <v>516</v>
      </c>
      <c r="C1769" s="2" t="n">
        <v>100</v>
      </c>
      <c r="D1769" s="2" t="s">
        <v>54</v>
      </c>
      <c r="E1769" s="2" t="s">
        <v>2958</v>
      </c>
      <c r="F1769" s="2" t="n">
        <v>50</v>
      </c>
      <c r="G1769" s="2" t="n">
        <v>150</v>
      </c>
      <c r="H1769" s="2" t="s">
        <v>1689</v>
      </c>
      <c r="I1769" s="2" t="n">
        <v>7</v>
      </c>
    </row>
    <row r="1770" customFormat="false" ht="15" hidden="false" customHeight="false" outlineLevel="0" collapsed="false">
      <c r="A1770" s="2" t="s">
        <v>1246</v>
      </c>
      <c r="B1770" s="2" t="s">
        <v>394</v>
      </c>
      <c r="C1770" s="2" t="n">
        <v>100</v>
      </c>
      <c r="D1770" s="2" t="s">
        <v>54</v>
      </c>
      <c r="E1770" s="2" t="s">
        <v>2959</v>
      </c>
      <c r="F1770" s="2" t="n">
        <v>50</v>
      </c>
      <c r="G1770" s="2" t="n">
        <v>150</v>
      </c>
      <c r="H1770" s="2" t="s">
        <v>1689</v>
      </c>
      <c r="I1770" s="2" t="n">
        <v>8</v>
      </c>
    </row>
    <row r="1771" customFormat="false" ht="15" hidden="false" customHeight="false" outlineLevel="0" collapsed="false">
      <c r="A1771" s="2" t="s">
        <v>1246</v>
      </c>
      <c r="B1771" s="2" t="s">
        <v>117</v>
      </c>
      <c r="C1771" s="2" t="n">
        <v>0.25</v>
      </c>
      <c r="D1771" s="2" t="s">
        <v>1687</v>
      </c>
      <c r="E1771" s="2" t="s">
        <v>2960</v>
      </c>
      <c r="F1771" s="2"/>
      <c r="G1771" s="2" t="n">
        <v>1.25</v>
      </c>
      <c r="H1771" s="2" t="s">
        <v>1700</v>
      </c>
      <c r="I1771" s="2" t="n">
        <v>9</v>
      </c>
    </row>
    <row r="1772" customFormat="false" ht="15" hidden="false" customHeight="false" outlineLevel="0" collapsed="false">
      <c r="A1772" s="2" t="s">
        <v>1246</v>
      </c>
      <c r="B1772" s="2" t="s">
        <v>375</v>
      </c>
      <c r="C1772" s="2" t="n">
        <v>0.25</v>
      </c>
      <c r="D1772" s="2" t="s">
        <v>1687</v>
      </c>
      <c r="E1772" s="2" t="s">
        <v>2931</v>
      </c>
      <c r="F1772" s="2"/>
      <c r="G1772" s="2" t="n">
        <v>1.25</v>
      </c>
      <c r="H1772" s="2" t="s">
        <v>1689</v>
      </c>
      <c r="I1772" s="2" t="n">
        <v>10</v>
      </c>
    </row>
    <row r="1773" customFormat="false" ht="15" hidden="false" customHeight="false" outlineLevel="0" collapsed="false">
      <c r="A1773" s="2" t="s">
        <v>1250</v>
      </c>
      <c r="B1773" s="2" t="s">
        <v>221</v>
      </c>
      <c r="C1773" s="2" t="n">
        <v>130</v>
      </c>
      <c r="D1773" s="2" t="s">
        <v>54</v>
      </c>
      <c r="E1773" s="2" t="s">
        <v>2961</v>
      </c>
      <c r="F1773" s="2" t="n">
        <v>65</v>
      </c>
      <c r="G1773" s="2" t="n">
        <v>195</v>
      </c>
      <c r="H1773" s="2" t="s">
        <v>1693</v>
      </c>
      <c r="I1773" s="2" t="n">
        <v>1</v>
      </c>
    </row>
    <row r="1774" customFormat="false" ht="15" hidden="false" customHeight="false" outlineLevel="0" collapsed="false">
      <c r="A1774" s="2" t="s">
        <v>1250</v>
      </c>
      <c r="B1774" s="2" t="s">
        <v>177</v>
      </c>
      <c r="C1774" s="2" t="n">
        <v>40</v>
      </c>
      <c r="D1774" s="2" t="s">
        <v>54</v>
      </c>
      <c r="E1774" s="2" t="s">
        <v>2962</v>
      </c>
      <c r="F1774" s="2" t="n">
        <v>20</v>
      </c>
      <c r="G1774" s="2" t="n">
        <v>60</v>
      </c>
      <c r="H1774" s="2" t="s">
        <v>1689</v>
      </c>
      <c r="I1774" s="2" t="n">
        <v>2</v>
      </c>
    </row>
    <row r="1775" customFormat="false" ht="15" hidden="false" customHeight="false" outlineLevel="0" collapsed="false">
      <c r="A1775" s="2" t="s">
        <v>1250</v>
      </c>
      <c r="B1775" s="2" t="s">
        <v>339</v>
      </c>
      <c r="C1775" s="2" t="n">
        <v>20</v>
      </c>
      <c r="D1775" s="2" t="s">
        <v>54</v>
      </c>
      <c r="E1775" s="2" t="s">
        <v>2963</v>
      </c>
      <c r="F1775" s="2" t="n">
        <v>10</v>
      </c>
      <c r="G1775" s="2" t="n">
        <v>30</v>
      </c>
      <c r="H1775" s="2" t="s">
        <v>1689</v>
      </c>
      <c r="I1775" s="2" t="n">
        <v>3</v>
      </c>
    </row>
    <row r="1776" customFormat="false" ht="15" hidden="false" customHeight="false" outlineLevel="0" collapsed="false">
      <c r="A1776" s="2" t="s">
        <v>1250</v>
      </c>
      <c r="B1776" s="2" t="s">
        <v>371</v>
      </c>
      <c r="C1776" s="2" t="n">
        <v>30</v>
      </c>
      <c r="D1776" s="2" t="s">
        <v>76</v>
      </c>
      <c r="E1776" s="2" t="s">
        <v>2964</v>
      </c>
      <c r="F1776" s="2" t="n">
        <v>15</v>
      </c>
      <c r="G1776" s="2" t="n">
        <v>45</v>
      </c>
      <c r="H1776" s="2" t="s">
        <v>1700</v>
      </c>
      <c r="I1776" s="2" t="n">
        <v>4</v>
      </c>
    </row>
    <row r="1777" customFormat="false" ht="15" hidden="false" customHeight="false" outlineLevel="0" collapsed="false">
      <c r="A1777" s="2" t="s">
        <v>1250</v>
      </c>
      <c r="B1777" s="2" t="s">
        <v>452</v>
      </c>
      <c r="C1777" s="2" t="n">
        <v>4.5</v>
      </c>
      <c r="D1777" s="2" t="s">
        <v>54</v>
      </c>
      <c r="E1777" s="2" t="s">
        <v>2965</v>
      </c>
      <c r="F1777" s="2" t="n">
        <v>2.25</v>
      </c>
      <c r="G1777" s="2" t="n">
        <v>6.75</v>
      </c>
      <c r="H1777" s="2" t="s">
        <v>1700</v>
      </c>
      <c r="I1777" s="2" t="n">
        <v>5</v>
      </c>
    </row>
    <row r="1778" customFormat="false" ht="15" hidden="false" customHeight="false" outlineLevel="0" collapsed="false">
      <c r="A1778" s="2" t="s">
        <v>1250</v>
      </c>
      <c r="B1778" s="2" t="s">
        <v>482</v>
      </c>
      <c r="C1778" s="2" t="n">
        <v>0.5</v>
      </c>
      <c r="D1778" s="2" t="s">
        <v>1687</v>
      </c>
      <c r="E1778" s="2" t="s">
        <v>2966</v>
      </c>
      <c r="F1778" s="2"/>
      <c r="G1778" s="2" t="n">
        <v>1.5</v>
      </c>
      <c r="H1778" s="2" t="s">
        <v>1689</v>
      </c>
      <c r="I1778" s="2" t="n">
        <v>6</v>
      </c>
    </row>
    <row r="1779" customFormat="false" ht="15" hidden="false" customHeight="false" outlineLevel="0" collapsed="false">
      <c r="A1779" s="2" t="s">
        <v>1250</v>
      </c>
      <c r="B1779" s="2" t="s">
        <v>312</v>
      </c>
      <c r="C1779" s="2" t="n">
        <v>1</v>
      </c>
      <c r="D1779" s="2" t="s">
        <v>1687</v>
      </c>
      <c r="E1779" s="2" t="s">
        <v>2967</v>
      </c>
      <c r="F1779" s="2"/>
      <c r="G1779" s="2" t="n">
        <v>2</v>
      </c>
      <c r="H1779" s="2" t="s">
        <v>1689</v>
      </c>
      <c r="I1779" s="2" t="n">
        <v>7</v>
      </c>
    </row>
    <row r="1780" customFormat="false" ht="15" hidden="false" customHeight="false" outlineLevel="0" collapsed="false">
      <c r="A1780" s="2" t="s">
        <v>1250</v>
      </c>
      <c r="B1780" s="2" t="s">
        <v>299</v>
      </c>
      <c r="C1780" s="2" t="n">
        <v>1</v>
      </c>
      <c r="D1780" s="2" t="s">
        <v>54</v>
      </c>
      <c r="E1780" s="2" t="s">
        <v>2968</v>
      </c>
      <c r="F1780" s="2"/>
      <c r="G1780" s="2" t="n">
        <v>2</v>
      </c>
      <c r="H1780" s="2" t="s">
        <v>1689</v>
      </c>
      <c r="I1780" s="2" t="n">
        <v>8</v>
      </c>
    </row>
    <row r="1781" customFormat="false" ht="15" hidden="false" customHeight="false" outlineLevel="0" collapsed="false">
      <c r="A1781" s="2" t="s">
        <v>1250</v>
      </c>
      <c r="B1781" s="2" t="s">
        <v>500</v>
      </c>
      <c r="C1781" s="2" t="n">
        <v>1</v>
      </c>
      <c r="D1781" s="2" t="s">
        <v>1687</v>
      </c>
      <c r="E1781" s="2" t="s">
        <v>2442</v>
      </c>
      <c r="F1781" s="2"/>
      <c r="G1781" s="2" t="n">
        <v>2</v>
      </c>
      <c r="H1781" s="2" t="s">
        <v>1689</v>
      </c>
      <c r="I1781" s="2" t="n">
        <v>9</v>
      </c>
    </row>
    <row r="1782" customFormat="false" ht="15" hidden="false" customHeight="false" outlineLevel="0" collapsed="false">
      <c r="A1782" s="2" t="s">
        <v>1250</v>
      </c>
      <c r="B1782" s="2" t="s">
        <v>271</v>
      </c>
      <c r="C1782" s="2" t="n">
        <v>1.25</v>
      </c>
      <c r="D1782" s="2" t="s">
        <v>54</v>
      </c>
      <c r="E1782" s="2" t="s">
        <v>2969</v>
      </c>
      <c r="F1782" s="2" t="n">
        <v>0.62</v>
      </c>
      <c r="G1782" s="2" t="n">
        <v>1.88</v>
      </c>
      <c r="H1782" s="2" t="s">
        <v>1689</v>
      </c>
      <c r="I1782" s="2" t="n">
        <v>10</v>
      </c>
    </row>
    <row r="1783" customFormat="false" ht="15" hidden="false" customHeight="false" outlineLevel="0" collapsed="false">
      <c r="A1783" s="2" t="s">
        <v>1250</v>
      </c>
      <c r="B1783" s="2" t="s">
        <v>271</v>
      </c>
      <c r="C1783" s="2" t="n">
        <v>1.25</v>
      </c>
      <c r="D1783" s="2" t="s">
        <v>54</v>
      </c>
      <c r="E1783" s="2" t="s">
        <v>2970</v>
      </c>
      <c r="F1783" s="2" t="n">
        <v>0.62</v>
      </c>
      <c r="G1783" s="2" t="n">
        <v>1.88</v>
      </c>
      <c r="H1783" s="2" t="s">
        <v>1689</v>
      </c>
      <c r="I1783" s="2" t="n">
        <v>11</v>
      </c>
    </row>
    <row r="1784" customFormat="false" ht="15" hidden="false" customHeight="false" outlineLevel="0" collapsed="false">
      <c r="A1784" s="2" t="s">
        <v>1250</v>
      </c>
      <c r="B1784" s="2" t="s">
        <v>375</v>
      </c>
      <c r="C1784" s="2" t="n">
        <v>0.5</v>
      </c>
      <c r="D1784" s="2" t="s">
        <v>1687</v>
      </c>
      <c r="E1784" s="2" t="s">
        <v>1970</v>
      </c>
      <c r="F1784" s="2"/>
      <c r="G1784" s="2" t="n">
        <v>1.5</v>
      </c>
      <c r="H1784" s="2" t="s">
        <v>1689</v>
      </c>
      <c r="I1784" s="2" t="n">
        <v>12</v>
      </c>
    </row>
    <row r="1785" customFormat="false" ht="15" hidden="false" customHeight="false" outlineLevel="0" collapsed="false">
      <c r="A1785" s="2" t="s">
        <v>1254</v>
      </c>
      <c r="B1785" s="2" t="s">
        <v>355</v>
      </c>
      <c r="C1785" s="2" t="n">
        <v>130</v>
      </c>
      <c r="D1785" s="2" t="s">
        <v>54</v>
      </c>
      <c r="E1785" s="2" t="s">
        <v>2971</v>
      </c>
      <c r="F1785" s="2" t="n">
        <v>65</v>
      </c>
      <c r="G1785" s="2" t="n">
        <v>195</v>
      </c>
      <c r="H1785" s="2" t="s">
        <v>1693</v>
      </c>
      <c r="I1785" s="2" t="n">
        <v>1</v>
      </c>
    </row>
    <row r="1786" customFormat="false" ht="15" hidden="false" customHeight="false" outlineLevel="0" collapsed="false">
      <c r="A1786" s="2" t="s">
        <v>1254</v>
      </c>
      <c r="B1786" s="2" t="s">
        <v>514</v>
      </c>
      <c r="C1786" s="2" t="n">
        <v>140</v>
      </c>
      <c r="D1786" s="2" t="s">
        <v>54</v>
      </c>
      <c r="E1786" s="2" t="s">
        <v>2972</v>
      </c>
      <c r="F1786" s="2" t="n">
        <v>70</v>
      </c>
      <c r="G1786" s="2" t="n">
        <v>210</v>
      </c>
      <c r="H1786" s="2" t="s">
        <v>1689</v>
      </c>
      <c r="I1786" s="2" t="n">
        <v>2</v>
      </c>
    </row>
    <row r="1787" customFormat="false" ht="15" hidden="false" customHeight="false" outlineLevel="0" collapsed="false">
      <c r="A1787" s="2" t="s">
        <v>1254</v>
      </c>
      <c r="B1787" s="2" t="s">
        <v>468</v>
      </c>
      <c r="C1787" s="2" t="n">
        <v>10</v>
      </c>
      <c r="D1787" s="2" t="s">
        <v>54</v>
      </c>
      <c r="E1787" s="2" t="s">
        <v>2973</v>
      </c>
      <c r="F1787" s="2" t="n">
        <v>5</v>
      </c>
      <c r="G1787" s="2" t="n">
        <v>15</v>
      </c>
      <c r="H1787" s="2" t="s">
        <v>1700</v>
      </c>
      <c r="I1787" s="2" t="n">
        <v>3</v>
      </c>
    </row>
    <row r="1788" customFormat="false" ht="15" hidden="false" customHeight="false" outlineLevel="0" collapsed="false">
      <c r="A1788" s="2" t="s">
        <v>1254</v>
      </c>
      <c r="B1788" s="2" t="s">
        <v>452</v>
      </c>
      <c r="C1788" s="2" t="n">
        <v>4.5</v>
      </c>
      <c r="D1788" s="2" t="s">
        <v>54</v>
      </c>
      <c r="E1788" s="2" t="s">
        <v>2965</v>
      </c>
      <c r="F1788" s="2" t="n">
        <v>2.25</v>
      </c>
      <c r="G1788" s="2" t="n">
        <v>6.75</v>
      </c>
      <c r="H1788" s="2" t="s">
        <v>1700</v>
      </c>
      <c r="I1788" s="2" t="n">
        <v>4</v>
      </c>
    </row>
    <row r="1789" customFormat="false" ht="15" hidden="false" customHeight="false" outlineLevel="0" collapsed="false">
      <c r="A1789" s="2" t="s">
        <v>1254</v>
      </c>
      <c r="B1789" s="2" t="s">
        <v>271</v>
      </c>
      <c r="C1789" s="2" t="n">
        <v>1.25</v>
      </c>
      <c r="D1789" s="2" t="s">
        <v>54</v>
      </c>
      <c r="E1789" s="2" t="s">
        <v>2974</v>
      </c>
      <c r="F1789" s="2" t="n">
        <v>0.62</v>
      </c>
      <c r="G1789" s="2" t="n">
        <v>1.88</v>
      </c>
      <c r="H1789" s="2" t="s">
        <v>1689</v>
      </c>
      <c r="I1789" s="2" t="n">
        <v>5</v>
      </c>
    </row>
    <row r="1790" customFormat="false" ht="15" hidden="false" customHeight="false" outlineLevel="0" collapsed="false">
      <c r="A1790" s="2" t="s">
        <v>1254</v>
      </c>
      <c r="B1790" s="2" t="s">
        <v>271</v>
      </c>
      <c r="C1790" s="2" t="n">
        <v>1.25</v>
      </c>
      <c r="D1790" s="2" t="s">
        <v>54</v>
      </c>
      <c r="E1790" s="2" t="s">
        <v>2975</v>
      </c>
      <c r="F1790" s="2" t="n">
        <v>0.62</v>
      </c>
      <c r="G1790" s="2" t="n">
        <v>1.88</v>
      </c>
      <c r="H1790" s="2" t="s">
        <v>1689</v>
      </c>
      <c r="I1790" s="2" t="n">
        <v>6</v>
      </c>
    </row>
    <row r="1791" customFormat="false" ht="15" hidden="false" customHeight="false" outlineLevel="0" collapsed="false">
      <c r="A1791" s="2" t="s">
        <v>1254</v>
      </c>
      <c r="B1791" s="2" t="s">
        <v>271</v>
      </c>
      <c r="C1791" s="2" t="n">
        <v>1.25</v>
      </c>
      <c r="D1791" s="2" t="s">
        <v>54</v>
      </c>
      <c r="E1791" s="2" t="s">
        <v>2976</v>
      </c>
      <c r="F1791" s="2" t="n">
        <v>0.62</v>
      </c>
      <c r="G1791" s="2" t="n">
        <v>1.88</v>
      </c>
      <c r="H1791" s="2" t="s">
        <v>1689</v>
      </c>
      <c r="I1791" s="2" t="n">
        <v>7</v>
      </c>
    </row>
    <row r="1792" customFormat="false" ht="15" hidden="false" customHeight="false" outlineLevel="0" collapsed="false">
      <c r="A1792" s="2" t="s">
        <v>1254</v>
      </c>
      <c r="B1792" s="2" t="s">
        <v>271</v>
      </c>
      <c r="C1792" s="2" t="n">
        <v>1.25</v>
      </c>
      <c r="D1792" s="2" t="s">
        <v>54</v>
      </c>
      <c r="E1792" s="2" t="s">
        <v>2977</v>
      </c>
      <c r="F1792" s="2" t="n">
        <v>0.62</v>
      </c>
      <c r="G1792" s="2" t="n">
        <v>1.88</v>
      </c>
      <c r="H1792" s="2" t="s">
        <v>1689</v>
      </c>
      <c r="I1792" s="2" t="n">
        <v>8</v>
      </c>
    </row>
    <row r="1793" customFormat="false" ht="15" hidden="false" customHeight="false" outlineLevel="0" collapsed="false">
      <c r="A1793" s="2" t="s">
        <v>1254</v>
      </c>
      <c r="B1793" s="2" t="s">
        <v>506</v>
      </c>
      <c r="C1793" s="2" t="n">
        <v>1.25</v>
      </c>
      <c r="D1793" s="2" t="s">
        <v>76</v>
      </c>
      <c r="E1793" s="2" t="s">
        <v>2978</v>
      </c>
      <c r="F1793" s="2" t="n">
        <v>0.62</v>
      </c>
      <c r="G1793" s="2" t="n">
        <v>1.88</v>
      </c>
      <c r="H1793" s="2" t="s">
        <v>1693</v>
      </c>
      <c r="I1793" s="2" t="n">
        <v>9</v>
      </c>
    </row>
    <row r="1794" customFormat="false" ht="15" hidden="false" customHeight="false" outlineLevel="0" collapsed="false">
      <c r="A1794" s="2" t="s">
        <v>1254</v>
      </c>
      <c r="B1794" s="2" t="s">
        <v>409</v>
      </c>
      <c r="C1794" s="2" t="n">
        <v>37.5</v>
      </c>
      <c r="D1794" s="2" t="s">
        <v>54</v>
      </c>
      <c r="E1794" s="2" t="s">
        <v>2979</v>
      </c>
      <c r="F1794" s="2" t="n">
        <v>18.75</v>
      </c>
      <c r="G1794" s="2" t="n">
        <v>56.25</v>
      </c>
      <c r="H1794" s="2" t="s">
        <v>1689</v>
      </c>
      <c r="I1794" s="2" t="n">
        <v>10</v>
      </c>
    </row>
    <row r="1795" customFormat="false" ht="15" hidden="false" customHeight="false" outlineLevel="0" collapsed="false">
      <c r="A1795" s="2" t="s">
        <v>1254</v>
      </c>
      <c r="B1795" s="2" t="s">
        <v>219</v>
      </c>
      <c r="C1795" s="2" t="n">
        <v>60</v>
      </c>
      <c r="D1795" s="2" t="s">
        <v>54</v>
      </c>
      <c r="E1795" s="2" t="s">
        <v>1936</v>
      </c>
      <c r="F1795" s="2" t="n">
        <v>30</v>
      </c>
      <c r="G1795" s="2" t="n">
        <v>90</v>
      </c>
      <c r="H1795" s="2" t="s">
        <v>1689</v>
      </c>
      <c r="I1795" s="2" t="n">
        <v>11</v>
      </c>
    </row>
    <row r="1796" customFormat="false" ht="15" hidden="false" customHeight="false" outlineLevel="0" collapsed="false">
      <c r="A1796" s="2" t="s">
        <v>1254</v>
      </c>
      <c r="B1796" s="2" t="s">
        <v>375</v>
      </c>
      <c r="C1796" s="2" t="n">
        <v>0.5</v>
      </c>
      <c r="D1796" s="2" t="s">
        <v>1687</v>
      </c>
      <c r="E1796" s="2" t="s">
        <v>1970</v>
      </c>
      <c r="F1796" s="2"/>
      <c r="G1796" s="2" t="n">
        <v>1.5</v>
      </c>
      <c r="H1796" s="2" t="s">
        <v>1689</v>
      </c>
      <c r="I1796" s="2" t="n">
        <v>12</v>
      </c>
    </row>
    <row r="1797" customFormat="false" ht="15" hidden="false" customHeight="false" outlineLevel="0" collapsed="false">
      <c r="A1797" s="2" t="s">
        <v>1258</v>
      </c>
      <c r="B1797" s="2" t="s">
        <v>316</v>
      </c>
      <c r="C1797" s="2" t="n">
        <v>130</v>
      </c>
      <c r="D1797" s="2" t="s">
        <v>54</v>
      </c>
      <c r="E1797" s="2" t="s">
        <v>2980</v>
      </c>
      <c r="F1797" s="2" t="n">
        <v>65</v>
      </c>
      <c r="G1797" s="2" t="n">
        <v>195</v>
      </c>
      <c r="H1797" s="2" t="s">
        <v>1693</v>
      </c>
      <c r="I1797" s="2" t="n">
        <v>1</v>
      </c>
    </row>
    <row r="1798" customFormat="false" ht="15" hidden="false" customHeight="false" outlineLevel="0" collapsed="false">
      <c r="A1798" s="2" t="s">
        <v>1258</v>
      </c>
      <c r="B1798" s="2" t="s">
        <v>564</v>
      </c>
      <c r="C1798" s="2" t="n">
        <v>65</v>
      </c>
      <c r="D1798" s="2" t="s">
        <v>54</v>
      </c>
      <c r="E1798" s="2" t="s">
        <v>2981</v>
      </c>
      <c r="F1798" s="2" t="n">
        <v>32.5</v>
      </c>
      <c r="G1798" s="2" t="n">
        <v>97.5</v>
      </c>
      <c r="H1798" s="2" t="s">
        <v>1689</v>
      </c>
      <c r="I1798" s="2" t="n">
        <v>2</v>
      </c>
    </row>
    <row r="1799" customFormat="false" ht="15" hidden="false" customHeight="false" outlineLevel="0" collapsed="false">
      <c r="A1799" s="2" t="s">
        <v>1258</v>
      </c>
      <c r="B1799" s="2" t="s">
        <v>506</v>
      </c>
      <c r="C1799" s="2" t="n">
        <v>400</v>
      </c>
      <c r="D1799" s="2" t="s">
        <v>76</v>
      </c>
      <c r="E1799" s="2" t="s">
        <v>2982</v>
      </c>
      <c r="F1799" s="2" t="n">
        <v>200</v>
      </c>
      <c r="G1799" s="2" t="n">
        <v>600</v>
      </c>
      <c r="H1799" s="2" t="s">
        <v>1693</v>
      </c>
      <c r="I1799" s="2" t="n">
        <v>3</v>
      </c>
    </row>
    <row r="1800" customFormat="false" ht="15" hidden="false" customHeight="false" outlineLevel="0" collapsed="false">
      <c r="A1800" s="2" t="s">
        <v>1258</v>
      </c>
      <c r="B1800" s="2" t="s">
        <v>482</v>
      </c>
      <c r="C1800" s="2" t="n">
        <v>0.5</v>
      </c>
      <c r="D1800" s="2" t="s">
        <v>1687</v>
      </c>
      <c r="E1800" s="2" t="s">
        <v>2983</v>
      </c>
      <c r="F1800" s="2"/>
      <c r="G1800" s="2" t="n">
        <v>1.5</v>
      </c>
      <c r="H1800" s="2" t="s">
        <v>1689</v>
      </c>
      <c r="I1800" s="2" t="n">
        <v>4</v>
      </c>
    </row>
    <row r="1801" customFormat="false" ht="15" hidden="false" customHeight="false" outlineLevel="0" collapsed="false">
      <c r="A1801" s="2" t="s">
        <v>1258</v>
      </c>
      <c r="B1801" s="2" t="s">
        <v>299</v>
      </c>
      <c r="C1801" s="2" t="n">
        <v>1</v>
      </c>
      <c r="D1801" s="2" t="s">
        <v>54</v>
      </c>
      <c r="E1801" s="2" t="s">
        <v>2968</v>
      </c>
      <c r="F1801" s="2"/>
      <c r="G1801" s="2" t="n">
        <v>2</v>
      </c>
      <c r="H1801" s="2" t="s">
        <v>1689</v>
      </c>
      <c r="I1801" s="2" t="n">
        <v>5</v>
      </c>
    </row>
    <row r="1802" customFormat="false" ht="15" hidden="false" customHeight="false" outlineLevel="0" collapsed="false">
      <c r="A1802" s="2" t="s">
        <v>1258</v>
      </c>
      <c r="B1802" s="2" t="s">
        <v>312</v>
      </c>
      <c r="C1802" s="2" t="n">
        <v>1</v>
      </c>
      <c r="D1802" s="2" t="s">
        <v>1687</v>
      </c>
      <c r="E1802" s="2" t="s">
        <v>2800</v>
      </c>
      <c r="F1802" s="2"/>
      <c r="G1802" s="2" t="n">
        <v>2</v>
      </c>
      <c r="H1802" s="2" t="s">
        <v>1689</v>
      </c>
      <c r="I1802" s="2" t="n">
        <v>6</v>
      </c>
    </row>
    <row r="1803" customFormat="false" ht="15" hidden="false" customHeight="false" outlineLevel="0" collapsed="false">
      <c r="A1803" s="2" t="s">
        <v>1258</v>
      </c>
      <c r="B1803" s="2" t="s">
        <v>271</v>
      </c>
      <c r="C1803" s="2" t="n">
        <v>1.25</v>
      </c>
      <c r="D1803" s="2" t="s">
        <v>54</v>
      </c>
      <c r="E1803" s="2" t="s">
        <v>2984</v>
      </c>
      <c r="F1803" s="2" t="n">
        <v>0.62</v>
      </c>
      <c r="G1803" s="2" t="n">
        <v>1.88</v>
      </c>
      <c r="H1803" s="2" t="s">
        <v>1689</v>
      </c>
      <c r="I1803" s="2" t="n">
        <v>7</v>
      </c>
    </row>
    <row r="1804" customFormat="false" ht="15" hidden="false" customHeight="false" outlineLevel="0" collapsed="false">
      <c r="A1804" s="2" t="s">
        <v>1258</v>
      </c>
      <c r="B1804" s="2" t="s">
        <v>271</v>
      </c>
      <c r="C1804" s="2" t="n">
        <v>0.625</v>
      </c>
      <c r="D1804" s="2" t="s">
        <v>54</v>
      </c>
      <c r="E1804" s="2" t="s">
        <v>2985</v>
      </c>
      <c r="F1804" s="2" t="n">
        <v>0.31</v>
      </c>
      <c r="G1804" s="2" t="n">
        <v>0.94</v>
      </c>
      <c r="H1804" s="2" t="s">
        <v>1689</v>
      </c>
      <c r="I1804" s="2" t="n">
        <v>8</v>
      </c>
    </row>
    <row r="1805" customFormat="false" ht="15" hidden="false" customHeight="false" outlineLevel="0" collapsed="false">
      <c r="A1805" s="2" t="s">
        <v>1258</v>
      </c>
      <c r="B1805" s="2" t="s">
        <v>301</v>
      </c>
      <c r="C1805" s="2" t="n">
        <v>5</v>
      </c>
      <c r="D1805" s="2" t="s">
        <v>54</v>
      </c>
      <c r="E1805" s="2" t="s">
        <v>2986</v>
      </c>
      <c r="F1805" s="2" t="n">
        <v>2.5</v>
      </c>
      <c r="G1805" s="2" t="n">
        <v>7.5</v>
      </c>
      <c r="H1805" s="2" t="s">
        <v>1689</v>
      </c>
      <c r="I1805" s="2" t="n">
        <v>9</v>
      </c>
    </row>
    <row r="1806" customFormat="false" ht="15" hidden="false" customHeight="false" outlineLevel="0" collapsed="false">
      <c r="A1806" s="2" t="s">
        <v>1258</v>
      </c>
      <c r="B1806" s="2" t="s">
        <v>375</v>
      </c>
      <c r="C1806" s="2" t="n">
        <v>0.5</v>
      </c>
      <c r="D1806" s="2" t="s">
        <v>1687</v>
      </c>
      <c r="E1806" s="2" t="s">
        <v>2987</v>
      </c>
      <c r="F1806" s="2"/>
      <c r="G1806" s="2" t="n">
        <v>1.5</v>
      </c>
      <c r="H1806" s="2" t="s">
        <v>1689</v>
      </c>
      <c r="I1806" s="2" t="n">
        <v>10</v>
      </c>
    </row>
    <row r="1807" customFormat="false" ht="15" hidden="false" customHeight="false" outlineLevel="0" collapsed="false">
      <c r="A1807" s="2" t="s">
        <v>1262</v>
      </c>
      <c r="B1807" s="2" t="s">
        <v>221</v>
      </c>
      <c r="C1807" s="2" t="n">
        <v>115</v>
      </c>
      <c r="D1807" s="2" t="s">
        <v>54</v>
      </c>
      <c r="E1807" s="2" t="s">
        <v>2988</v>
      </c>
      <c r="F1807" s="2" t="n">
        <v>57.5</v>
      </c>
      <c r="G1807" s="2" t="n">
        <v>172.5</v>
      </c>
      <c r="H1807" s="2" t="s">
        <v>1693</v>
      </c>
      <c r="I1807" s="2" t="n">
        <v>1</v>
      </c>
    </row>
    <row r="1808" customFormat="false" ht="15" hidden="false" customHeight="false" outlineLevel="0" collapsed="false">
      <c r="A1808" s="2" t="s">
        <v>1262</v>
      </c>
      <c r="B1808" s="2" t="s">
        <v>177</v>
      </c>
      <c r="C1808" s="2" t="n">
        <v>55</v>
      </c>
      <c r="D1808" s="2" t="s">
        <v>54</v>
      </c>
      <c r="E1808" s="2" t="s">
        <v>2989</v>
      </c>
      <c r="F1808" s="2" t="n">
        <v>27.5</v>
      </c>
      <c r="G1808" s="2" t="n">
        <v>82.5</v>
      </c>
      <c r="H1808" s="2" t="s">
        <v>1689</v>
      </c>
      <c r="I1808" s="2" t="n">
        <v>2</v>
      </c>
    </row>
    <row r="1809" customFormat="false" ht="15" hidden="false" customHeight="false" outlineLevel="0" collapsed="false">
      <c r="A1809" s="2" t="s">
        <v>1262</v>
      </c>
      <c r="B1809" s="2" t="s">
        <v>422</v>
      </c>
      <c r="C1809" s="2" t="n">
        <v>80</v>
      </c>
      <c r="D1809" s="2" t="s">
        <v>54</v>
      </c>
      <c r="E1809" s="2" t="s">
        <v>2990</v>
      </c>
      <c r="F1809" s="2" t="n">
        <v>40</v>
      </c>
      <c r="G1809" s="2" t="n">
        <v>120</v>
      </c>
      <c r="H1809" s="2" t="s">
        <v>1689</v>
      </c>
      <c r="I1809" s="2" t="n">
        <v>3</v>
      </c>
    </row>
    <row r="1810" customFormat="false" ht="15" hidden="false" customHeight="false" outlineLevel="0" collapsed="false">
      <c r="A1810" s="2" t="s">
        <v>1262</v>
      </c>
      <c r="B1810" s="2" t="s">
        <v>452</v>
      </c>
      <c r="C1810" s="2" t="n">
        <v>6.75</v>
      </c>
      <c r="D1810" s="2" t="s">
        <v>54</v>
      </c>
      <c r="E1810" s="2" t="s">
        <v>2774</v>
      </c>
      <c r="F1810" s="2" t="n">
        <v>3.38</v>
      </c>
      <c r="G1810" s="2" t="n">
        <v>10.12</v>
      </c>
      <c r="H1810" s="2" t="s">
        <v>1700</v>
      </c>
      <c r="I1810" s="2" t="n">
        <v>4</v>
      </c>
    </row>
    <row r="1811" customFormat="false" ht="15" hidden="false" customHeight="false" outlineLevel="0" collapsed="false">
      <c r="A1811" s="2" t="s">
        <v>1262</v>
      </c>
      <c r="B1811" s="2" t="s">
        <v>409</v>
      </c>
      <c r="C1811" s="2" t="n">
        <v>37.5</v>
      </c>
      <c r="D1811" s="2" t="s">
        <v>54</v>
      </c>
      <c r="E1811" s="2" t="s">
        <v>2991</v>
      </c>
      <c r="F1811" s="2" t="n">
        <v>18.75</v>
      </c>
      <c r="G1811" s="2" t="n">
        <v>56.25</v>
      </c>
      <c r="H1811" s="2" t="s">
        <v>1689</v>
      </c>
      <c r="I1811" s="2" t="n">
        <v>5</v>
      </c>
    </row>
    <row r="1812" customFormat="false" ht="15" hidden="false" customHeight="false" outlineLevel="0" collapsed="false">
      <c r="A1812" s="2" t="s">
        <v>1262</v>
      </c>
      <c r="B1812" s="2" t="s">
        <v>454</v>
      </c>
      <c r="C1812" s="2" t="n">
        <v>75</v>
      </c>
      <c r="D1812" s="2" t="s">
        <v>54</v>
      </c>
      <c r="E1812" s="2" t="s">
        <v>2657</v>
      </c>
      <c r="F1812" s="2" t="n">
        <v>37.5</v>
      </c>
      <c r="G1812" s="2" t="n">
        <v>112.5</v>
      </c>
      <c r="H1812" s="2" t="s">
        <v>1689</v>
      </c>
      <c r="I1812" s="2" t="n">
        <v>6</v>
      </c>
    </row>
    <row r="1813" customFormat="false" ht="15" hidden="false" customHeight="false" outlineLevel="0" collapsed="false">
      <c r="A1813" s="2" t="s">
        <v>1262</v>
      </c>
      <c r="B1813" s="2" t="s">
        <v>312</v>
      </c>
      <c r="C1813" s="2" t="n">
        <v>1</v>
      </c>
      <c r="D1813" s="2" t="s">
        <v>1687</v>
      </c>
      <c r="E1813" s="2" t="s">
        <v>2800</v>
      </c>
      <c r="F1813" s="2"/>
      <c r="G1813" s="2" t="n">
        <v>2</v>
      </c>
      <c r="H1813" s="2" t="s">
        <v>1689</v>
      </c>
      <c r="I1813" s="2" t="n">
        <v>7</v>
      </c>
    </row>
    <row r="1814" customFormat="false" ht="15" hidden="false" customHeight="false" outlineLevel="0" collapsed="false">
      <c r="A1814" s="2" t="s">
        <v>1262</v>
      </c>
      <c r="B1814" s="2" t="s">
        <v>299</v>
      </c>
      <c r="C1814" s="2" t="n">
        <v>1</v>
      </c>
      <c r="D1814" s="2" t="s">
        <v>54</v>
      </c>
      <c r="E1814" s="2" t="s">
        <v>2968</v>
      </c>
      <c r="F1814" s="2"/>
      <c r="G1814" s="2" t="n">
        <v>2</v>
      </c>
      <c r="H1814" s="2" t="s">
        <v>1689</v>
      </c>
      <c r="I1814" s="2" t="n">
        <v>8</v>
      </c>
    </row>
    <row r="1815" customFormat="false" ht="15" hidden="false" customHeight="false" outlineLevel="0" collapsed="false">
      <c r="A1815" s="2" t="s">
        <v>1262</v>
      </c>
      <c r="B1815" s="2" t="s">
        <v>482</v>
      </c>
      <c r="C1815" s="2" t="n">
        <v>0.25</v>
      </c>
      <c r="D1815" s="2" t="s">
        <v>1687</v>
      </c>
      <c r="E1815" s="2" t="s">
        <v>2992</v>
      </c>
      <c r="F1815" s="2"/>
      <c r="G1815" s="2" t="n">
        <v>1.25</v>
      </c>
      <c r="H1815" s="2" t="s">
        <v>1689</v>
      </c>
      <c r="I1815" s="2" t="n">
        <v>9</v>
      </c>
    </row>
    <row r="1816" customFormat="false" ht="15" hidden="false" customHeight="false" outlineLevel="0" collapsed="false">
      <c r="A1816" s="2" t="s">
        <v>1262</v>
      </c>
      <c r="B1816" s="2" t="s">
        <v>271</v>
      </c>
      <c r="C1816" s="2" t="n">
        <v>1.25</v>
      </c>
      <c r="D1816" s="2" t="s">
        <v>54</v>
      </c>
      <c r="E1816" s="2" t="s">
        <v>2970</v>
      </c>
      <c r="F1816" s="2" t="n">
        <v>0.62</v>
      </c>
      <c r="G1816" s="2" t="n">
        <v>1.88</v>
      </c>
      <c r="H1816" s="2" t="s">
        <v>1689</v>
      </c>
      <c r="I1816" s="2" t="n">
        <v>10</v>
      </c>
    </row>
    <row r="1817" customFormat="false" ht="15" hidden="false" customHeight="false" outlineLevel="0" collapsed="false">
      <c r="A1817" s="2" t="s">
        <v>1262</v>
      </c>
      <c r="B1817" s="2" t="s">
        <v>179</v>
      </c>
      <c r="C1817" s="2" t="n">
        <v>1</v>
      </c>
      <c r="D1817" s="2" t="s">
        <v>1687</v>
      </c>
      <c r="E1817" s="2" t="s">
        <v>2608</v>
      </c>
      <c r="F1817" s="2" t="n">
        <v>0.5</v>
      </c>
      <c r="G1817" s="2" t="n">
        <v>1.5</v>
      </c>
      <c r="H1817" s="2" t="s">
        <v>1689</v>
      </c>
      <c r="I1817" s="2" t="n">
        <v>11</v>
      </c>
    </row>
    <row r="1818" customFormat="false" ht="15" hidden="false" customHeight="false" outlineLevel="0" collapsed="false">
      <c r="A1818" s="2" t="s">
        <v>1262</v>
      </c>
      <c r="B1818" s="2" t="s">
        <v>508</v>
      </c>
      <c r="C1818" s="2" t="n">
        <v>0.25</v>
      </c>
      <c r="D1818" s="2" t="s">
        <v>1687</v>
      </c>
      <c r="E1818" s="2" t="s">
        <v>2993</v>
      </c>
      <c r="F1818" s="2"/>
      <c r="G1818" s="2" t="n">
        <v>1.25</v>
      </c>
      <c r="H1818" s="2" t="s">
        <v>1689</v>
      </c>
      <c r="I1818" s="2" t="n">
        <v>12</v>
      </c>
    </row>
    <row r="1819" customFormat="false" ht="15" hidden="false" customHeight="false" outlineLevel="0" collapsed="false">
      <c r="A1819" s="2" t="s">
        <v>1266</v>
      </c>
      <c r="B1819" s="2" t="s">
        <v>341</v>
      </c>
      <c r="C1819" s="2" t="n">
        <v>150</v>
      </c>
      <c r="D1819" s="2" t="s">
        <v>54</v>
      </c>
      <c r="E1819" s="2" t="s">
        <v>2994</v>
      </c>
      <c r="F1819" s="2" t="n">
        <v>75</v>
      </c>
      <c r="G1819" s="2" t="n">
        <v>225</v>
      </c>
      <c r="H1819" s="2" t="s">
        <v>1693</v>
      </c>
      <c r="I1819" s="2" t="n">
        <v>1</v>
      </c>
    </row>
    <row r="1820" customFormat="false" ht="15" hidden="false" customHeight="false" outlineLevel="0" collapsed="false">
      <c r="A1820" s="2" t="s">
        <v>1266</v>
      </c>
      <c r="B1820" s="2" t="s">
        <v>177</v>
      </c>
      <c r="C1820" s="2" t="n">
        <v>50</v>
      </c>
      <c r="D1820" s="2" t="s">
        <v>54</v>
      </c>
      <c r="E1820" s="2" t="s">
        <v>2995</v>
      </c>
      <c r="F1820" s="2" t="n">
        <v>25</v>
      </c>
      <c r="G1820" s="2" t="n">
        <v>75</v>
      </c>
      <c r="H1820" s="2" t="s">
        <v>1689</v>
      </c>
      <c r="I1820" s="2" t="n">
        <v>2</v>
      </c>
    </row>
    <row r="1821" customFormat="false" ht="15" hidden="false" customHeight="false" outlineLevel="0" collapsed="false">
      <c r="A1821" s="2" t="s">
        <v>1266</v>
      </c>
      <c r="B1821" s="2" t="s">
        <v>371</v>
      </c>
      <c r="C1821" s="2" t="n">
        <v>95</v>
      </c>
      <c r="D1821" s="2" t="s">
        <v>76</v>
      </c>
      <c r="E1821" s="2" t="s">
        <v>2996</v>
      </c>
      <c r="F1821" s="2" t="n">
        <v>47.5</v>
      </c>
      <c r="G1821" s="2" t="n">
        <v>142.5</v>
      </c>
      <c r="H1821" s="2" t="s">
        <v>1700</v>
      </c>
      <c r="I1821" s="2" t="n">
        <v>3</v>
      </c>
    </row>
    <row r="1822" customFormat="false" ht="15" hidden="false" customHeight="false" outlineLevel="0" collapsed="false">
      <c r="A1822" s="2" t="s">
        <v>1266</v>
      </c>
      <c r="B1822" s="2" t="s">
        <v>409</v>
      </c>
      <c r="C1822" s="2" t="n">
        <v>37.5</v>
      </c>
      <c r="D1822" s="2" t="s">
        <v>54</v>
      </c>
      <c r="E1822" s="2" t="s">
        <v>2910</v>
      </c>
      <c r="F1822" s="2" t="n">
        <v>18.75</v>
      </c>
      <c r="G1822" s="2" t="n">
        <v>56.25</v>
      </c>
      <c r="H1822" s="2" t="s">
        <v>1689</v>
      </c>
      <c r="I1822" s="2" t="n">
        <v>4</v>
      </c>
    </row>
    <row r="1823" customFormat="false" ht="15" hidden="false" customHeight="false" outlineLevel="0" collapsed="false">
      <c r="A1823" s="2" t="s">
        <v>1266</v>
      </c>
      <c r="B1823" s="2" t="s">
        <v>312</v>
      </c>
      <c r="C1823" s="2" t="n">
        <v>1</v>
      </c>
      <c r="D1823" s="2" t="s">
        <v>1687</v>
      </c>
      <c r="E1823" s="2" t="s">
        <v>2800</v>
      </c>
      <c r="F1823" s="2"/>
      <c r="G1823" s="2" t="n">
        <v>2</v>
      </c>
      <c r="H1823" s="2" t="s">
        <v>1689</v>
      </c>
      <c r="I1823" s="2" t="n">
        <v>5</v>
      </c>
    </row>
    <row r="1824" customFormat="false" ht="15" hidden="false" customHeight="false" outlineLevel="0" collapsed="false">
      <c r="A1824" s="2" t="s">
        <v>1266</v>
      </c>
      <c r="B1824" s="2" t="s">
        <v>299</v>
      </c>
      <c r="C1824" s="2" t="n">
        <v>1</v>
      </c>
      <c r="D1824" s="2" t="s">
        <v>54</v>
      </c>
      <c r="E1824" s="2" t="s">
        <v>2968</v>
      </c>
      <c r="F1824" s="2"/>
      <c r="G1824" s="2" t="n">
        <v>2</v>
      </c>
      <c r="H1824" s="2" t="s">
        <v>1689</v>
      </c>
      <c r="I1824" s="2" t="n">
        <v>6</v>
      </c>
    </row>
    <row r="1825" customFormat="false" ht="15" hidden="false" customHeight="false" outlineLevel="0" collapsed="false">
      <c r="A1825" s="2" t="s">
        <v>1266</v>
      </c>
      <c r="B1825" s="2" t="s">
        <v>482</v>
      </c>
      <c r="C1825" s="2" t="n">
        <v>0.25</v>
      </c>
      <c r="D1825" s="2" t="s">
        <v>1687</v>
      </c>
      <c r="E1825" s="2" t="s">
        <v>2992</v>
      </c>
      <c r="F1825" s="2"/>
      <c r="G1825" s="2" t="n">
        <v>1.25</v>
      </c>
      <c r="H1825" s="2" t="s">
        <v>1689</v>
      </c>
      <c r="I1825" s="2" t="n">
        <v>7</v>
      </c>
    </row>
    <row r="1826" customFormat="false" ht="15" hidden="false" customHeight="false" outlineLevel="0" collapsed="false">
      <c r="A1826" s="2" t="s">
        <v>1266</v>
      </c>
      <c r="B1826" s="2" t="s">
        <v>262</v>
      </c>
      <c r="C1826" s="2" t="n">
        <v>2.5</v>
      </c>
      <c r="D1826" s="2" t="s">
        <v>54</v>
      </c>
      <c r="E1826" s="2" t="s">
        <v>2997</v>
      </c>
      <c r="F1826" s="2" t="n">
        <v>1.25</v>
      </c>
      <c r="G1826" s="2" t="n">
        <v>3.75</v>
      </c>
      <c r="H1826" s="2" t="s">
        <v>1689</v>
      </c>
      <c r="I1826" s="2" t="n">
        <v>8</v>
      </c>
    </row>
    <row r="1827" customFormat="false" ht="15" hidden="false" customHeight="false" outlineLevel="0" collapsed="false">
      <c r="A1827" s="2" t="s">
        <v>1266</v>
      </c>
      <c r="B1827" s="2" t="s">
        <v>271</v>
      </c>
      <c r="C1827" s="2" t="n">
        <v>1.25</v>
      </c>
      <c r="D1827" s="2" t="s">
        <v>54</v>
      </c>
      <c r="E1827" s="2" t="s">
        <v>2969</v>
      </c>
      <c r="F1827" s="2" t="n">
        <v>0.62</v>
      </c>
      <c r="G1827" s="2" t="n">
        <v>1.88</v>
      </c>
      <c r="H1827" s="2" t="s">
        <v>1689</v>
      </c>
      <c r="I1827" s="2" t="n">
        <v>9</v>
      </c>
    </row>
    <row r="1828" customFormat="false" ht="15" hidden="false" customHeight="false" outlineLevel="0" collapsed="false">
      <c r="A1828" s="2" t="s">
        <v>1266</v>
      </c>
      <c r="B1828" s="2" t="s">
        <v>271</v>
      </c>
      <c r="C1828" s="2" t="n">
        <v>1.25</v>
      </c>
      <c r="D1828" s="2" t="s">
        <v>54</v>
      </c>
      <c r="E1828" s="2" t="s">
        <v>2970</v>
      </c>
      <c r="F1828" s="2" t="n">
        <v>0.62</v>
      </c>
      <c r="G1828" s="2" t="n">
        <v>1.88</v>
      </c>
      <c r="H1828" s="2" t="s">
        <v>1689</v>
      </c>
      <c r="I1828" s="2" t="n">
        <v>10</v>
      </c>
    </row>
    <row r="1829" customFormat="false" ht="15" hidden="false" customHeight="false" outlineLevel="0" collapsed="false">
      <c r="A1829" s="2" t="s">
        <v>1270</v>
      </c>
      <c r="B1829" s="2" t="s">
        <v>316</v>
      </c>
      <c r="C1829" s="2" t="n">
        <v>135</v>
      </c>
      <c r="D1829" s="2" t="s">
        <v>54</v>
      </c>
      <c r="E1829" s="2" t="s">
        <v>2998</v>
      </c>
      <c r="F1829" s="2" t="n">
        <v>67.5</v>
      </c>
      <c r="G1829" s="2" t="n">
        <v>202.5</v>
      </c>
      <c r="H1829" s="2" t="s">
        <v>1693</v>
      </c>
      <c r="I1829" s="2" t="n">
        <v>1</v>
      </c>
    </row>
    <row r="1830" customFormat="false" ht="15" hidden="false" customHeight="false" outlineLevel="0" collapsed="false">
      <c r="A1830" s="2" t="s">
        <v>1270</v>
      </c>
      <c r="B1830" s="2" t="s">
        <v>177</v>
      </c>
      <c r="C1830" s="2" t="n">
        <v>45</v>
      </c>
      <c r="D1830" s="2" t="s">
        <v>54</v>
      </c>
      <c r="E1830" s="2" t="s">
        <v>2999</v>
      </c>
      <c r="F1830" s="2" t="n">
        <v>22.5</v>
      </c>
      <c r="G1830" s="2" t="n">
        <v>67.5</v>
      </c>
      <c r="H1830" s="2" t="s">
        <v>1689</v>
      </c>
      <c r="I1830" s="2" t="n">
        <v>2</v>
      </c>
    </row>
    <row r="1831" customFormat="false" ht="15" hidden="false" customHeight="false" outlineLevel="0" collapsed="false">
      <c r="A1831" s="2" t="s">
        <v>1270</v>
      </c>
      <c r="B1831" s="2" t="s">
        <v>371</v>
      </c>
      <c r="C1831" s="2" t="n">
        <v>55</v>
      </c>
      <c r="D1831" s="2" t="s">
        <v>76</v>
      </c>
      <c r="E1831" s="2" t="s">
        <v>3000</v>
      </c>
      <c r="F1831" s="2" t="n">
        <v>27.5</v>
      </c>
      <c r="G1831" s="2" t="n">
        <v>82.5</v>
      </c>
      <c r="H1831" s="2" t="s">
        <v>1700</v>
      </c>
      <c r="I1831" s="2" t="n">
        <v>3</v>
      </c>
    </row>
    <row r="1832" customFormat="false" ht="15" hidden="false" customHeight="false" outlineLevel="0" collapsed="false">
      <c r="A1832" s="2" t="s">
        <v>1270</v>
      </c>
      <c r="B1832" s="2" t="s">
        <v>452</v>
      </c>
      <c r="C1832" s="2" t="n">
        <v>4.5</v>
      </c>
      <c r="D1832" s="2" t="s">
        <v>54</v>
      </c>
      <c r="E1832" s="2" t="s">
        <v>2965</v>
      </c>
      <c r="F1832" s="2" t="n">
        <v>2.25</v>
      </c>
      <c r="G1832" s="2" t="n">
        <v>6.75</v>
      </c>
      <c r="H1832" s="2" t="s">
        <v>1700</v>
      </c>
      <c r="I1832" s="2" t="n">
        <v>4</v>
      </c>
    </row>
    <row r="1833" customFormat="false" ht="15" hidden="false" customHeight="false" outlineLevel="0" collapsed="false">
      <c r="A1833" s="2" t="s">
        <v>1270</v>
      </c>
      <c r="B1833" s="2" t="s">
        <v>409</v>
      </c>
      <c r="C1833" s="2" t="n">
        <v>37.5</v>
      </c>
      <c r="D1833" s="2" t="s">
        <v>54</v>
      </c>
      <c r="E1833" s="2" t="s">
        <v>2910</v>
      </c>
      <c r="F1833" s="2" t="n">
        <v>18.75</v>
      </c>
      <c r="G1833" s="2" t="n">
        <v>56.25</v>
      </c>
      <c r="H1833" s="2" t="s">
        <v>1689</v>
      </c>
      <c r="I1833" s="2" t="n">
        <v>5</v>
      </c>
    </row>
    <row r="1834" customFormat="false" ht="15" hidden="false" customHeight="false" outlineLevel="0" collapsed="false">
      <c r="A1834" s="2" t="s">
        <v>1270</v>
      </c>
      <c r="B1834" s="2" t="s">
        <v>312</v>
      </c>
      <c r="C1834" s="2" t="n">
        <v>1</v>
      </c>
      <c r="D1834" s="2" t="s">
        <v>1687</v>
      </c>
      <c r="E1834" s="2" t="s">
        <v>2800</v>
      </c>
      <c r="F1834" s="2"/>
      <c r="G1834" s="2" t="n">
        <v>2</v>
      </c>
      <c r="H1834" s="2" t="s">
        <v>1689</v>
      </c>
      <c r="I1834" s="2" t="n">
        <v>6</v>
      </c>
    </row>
    <row r="1835" customFormat="false" ht="15" hidden="false" customHeight="false" outlineLevel="0" collapsed="false">
      <c r="A1835" s="2" t="s">
        <v>1270</v>
      </c>
      <c r="B1835" s="2" t="s">
        <v>299</v>
      </c>
      <c r="C1835" s="2" t="n">
        <v>1</v>
      </c>
      <c r="D1835" s="2" t="s">
        <v>54</v>
      </c>
      <c r="E1835" s="2" t="s">
        <v>2968</v>
      </c>
      <c r="F1835" s="2"/>
      <c r="G1835" s="2" t="n">
        <v>2</v>
      </c>
      <c r="H1835" s="2" t="s">
        <v>1689</v>
      </c>
      <c r="I1835" s="2" t="n">
        <v>7</v>
      </c>
    </row>
    <row r="1836" customFormat="false" ht="15" hidden="false" customHeight="false" outlineLevel="0" collapsed="false">
      <c r="A1836" s="2" t="s">
        <v>1270</v>
      </c>
      <c r="B1836" s="2" t="s">
        <v>482</v>
      </c>
      <c r="C1836" s="2" t="n">
        <v>0.25</v>
      </c>
      <c r="D1836" s="2" t="s">
        <v>1687</v>
      </c>
      <c r="E1836" s="2" t="s">
        <v>2992</v>
      </c>
      <c r="F1836" s="2"/>
      <c r="G1836" s="2" t="n">
        <v>1.25</v>
      </c>
      <c r="H1836" s="2" t="s">
        <v>1689</v>
      </c>
      <c r="I1836" s="2" t="n">
        <v>8</v>
      </c>
    </row>
    <row r="1837" customFormat="false" ht="15" hidden="false" customHeight="false" outlineLevel="0" collapsed="false">
      <c r="A1837" s="2" t="s">
        <v>1270</v>
      </c>
      <c r="B1837" s="2" t="s">
        <v>262</v>
      </c>
      <c r="C1837" s="2" t="n">
        <v>2.5</v>
      </c>
      <c r="D1837" s="2" t="s">
        <v>54</v>
      </c>
      <c r="E1837" s="2" t="s">
        <v>2997</v>
      </c>
      <c r="F1837" s="2" t="n">
        <v>1.25</v>
      </c>
      <c r="G1837" s="2" t="n">
        <v>3.75</v>
      </c>
      <c r="H1837" s="2" t="s">
        <v>1689</v>
      </c>
      <c r="I1837" s="2" t="n">
        <v>9</v>
      </c>
    </row>
    <row r="1838" customFormat="false" ht="15" hidden="false" customHeight="false" outlineLevel="0" collapsed="false">
      <c r="A1838" s="2" t="s">
        <v>1270</v>
      </c>
      <c r="B1838" s="2" t="s">
        <v>271</v>
      </c>
      <c r="C1838" s="2" t="n">
        <v>1.25</v>
      </c>
      <c r="D1838" s="2" t="s">
        <v>54</v>
      </c>
      <c r="E1838" s="2" t="s">
        <v>2969</v>
      </c>
      <c r="F1838" s="2" t="n">
        <v>0.62</v>
      </c>
      <c r="G1838" s="2" t="n">
        <v>1.88</v>
      </c>
      <c r="H1838" s="2" t="s">
        <v>1689</v>
      </c>
      <c r="I1838" s="2" t="n">
        <v>10</v>
      </c>
    </row>
    <row r="1839" customFormat="false" ht="15" hidden="false" customHeight="false" outlineLevel="0" collapsed="false">
      <c r="A1839" s="2" t="s">
        <v>1270</v>
      </c>
      <c r="B1839" s="2" t="s">
        <v>271</v>
      </c>
      <c r="C1839" s="2" t="n">
        <v>1.25</v>
      </c>
      <c r="D1839" s="2" t="s">
        <v>54</v>
      </c>
      <c r="E1839" s="2" t="s">
        <v>2970</v>
      </c>
      <c r="F1839" s="2" t="n">
        <v>0.62</v>
      </c>
      <c r="G1839" s="2" t="n">
        <v>1.88</v>
      </c>
      <c r="H1839" s="2" t="s">
        <v>1689</v>
      </c>
      <c r="I1839" s="2" t="n">
        <v>11</v>
      </c>
    </row>
    <row r="1840" customFormat="false" ht="15" hidden="false" customHeight="false" outlineLevel="0" collapsed="false">
      <c r="A1840" s="2" t="s">
        <v>1274</v>
      </c>
      <c r="B1840" s="2" t="s">
        <v>478</v>
      </c>
      <c r="C1840" s="2" t="n">
        <v>50</v>
      </c>
      <c r="D1840" s="2" t="s">
        <v>54</v>
      </c>
      <c r="E1840" s="2" t="s">
        <v>3001</v>
      </c>
      <c r="F1840" s="2" t="n">
        <v>25</v>
      </c>
      <c r="G1840" s="2" t="n">
        <v>75</v>
      </c>
      <c r="H1840" s="2" t="s">
        <v>1693</v>
      </c>
      <c r="I1840" s="2" t="n">
        <v>1</v>
      </c>
    </row>
    <row r="1841" customFormat="false" ht="15" hidden="false" customHeight="false" outlineLevel="0" collapsed="false">
      <c r="A1841" s="2" t="s">
        <v>1274</v>
      </c>
      <c r="B1841" s="2" t="s">
        <v>440</v>
      </c>
      <c r="C1841" s="2" t="n">
        <v>20</v>
      </c>
      <c r="D1841" s="2" t="s">
        <v>54</v>
      </c>
      <c r="E1841" s="2" t="s">
        <v>3002</v>
      </c>
      <c r="F1841" s="2" t="n">
        <v>10</v>
      </c>
      <c r="G1841" s="2" t="n">
        <v>30</v>
      </c>
      <c r="H1841" s="2" t="s">
        <v>1689</v>
      </c>
      <c r="I1841" s="2" t="n">
        <v>2</v>
      </c>
    </row>
    <row r="1842" customFormat="false" ht="15" hidden="false" customHeight="false" outlineLevel="0" collapsed="false">
      <c r="A1842" s="2" t="s">
        <v>1274</v>
      </c>
      <c r="B1842" s="2" t="s">
        <v>110</v>
      </c>
      <c r="C1842" s="2" t="n">
        <v>0.25</v>
      </c>
      <c r="D1842" s="2" t="s">
        <v>1687</v>
      </c>
      <c r="E1842" s="2" t="s">
        <v>3003</v>
      </c>
      <c r="F1842" s="2"/>
      <c r="G1842" s="2" t="n">
        <v>1.25</v>
      </c>
      <c r="H1842" s="2" t="s">
        <v>1693</v>
      </c>
      <c r="I1842" s="2" t="n">
        <v>3</v>
      </c>
    </row>
    <row r="1843" customFormat="false" ht="15" hidden="false" customHeight="false" outlineLevel="0" collapsed="false">
      <c r="A1843" s="2" t="s">
        <v>1274</v>
      </c>
      <c r="B1843" s="2" t="s">
        <v>500</v>
      </c>
      <c r="C1843" s="2" t="n">
        <v>1</v>
      </c>
      <c r="D1843" s="2" t="s">
        <v>1687</v>
      </c>
      <c r="E1843" s="2" t="s">
        <v>2525</v>
      </c>
      <c r="F1843" s="2"/>
      <c r="G1843" s="2" t="n">
        <v>2</v>
      </c>
      <c r="H1843" s="2" t="s">
        <v>1689</v>
      </c>
      <c r="I1843" s="2" t="n">
        <v>4</v>
      </c>
    </row>
    <row r="1844" customFormat="false" ht="15" hidden="false" customHeight="false" outlineLevel="0" collapsed="false">
      <c r="A1844" s="2" t="s">
        <v>1274</v>
      </c>
      <c r="B1844" s="2" t="s">
        <v>271</v>
      </c>
      <c r="C1844" s="2" t="n">
        <v>0.625</v>
      </c>
      <c r="D1844" s="2" t="s">
        <v>54</v>
      </c>
      <c r="E1844" s="2" t="s">
        <v>3004</v>
      </c>
      <c r="F1844" s="2" t="n">
        <v>0.31</v>
      </c>
      <c r="G1844" s="2" t="n">
        <v>0.94</v>
      </c>
      <c r="H1844" s="2" t="s">
        <v>1689</v>
      </c>
      <c r="I1844" s="2" t="n">
        <v>5</v>
      </c>
    </row>
    <row r="1845" customFormat="false" ht="15" hidden="false" customHeight="false" outlineLevel="0" collapsed="false">
      <c r="A1845" s="2" t="s">
        <v>1274</v>
      </c>
      <c r="B1845" s="2" t="s">
        <v>482</v>
      </c>
      <c r="C1845" s="2" t="n">
        <v>0.25</v>
      </c>
      <c r="D1845" s="2" t="s">
        <v>1687</v>
      </c>
      <c r="E1845" s="2" t="s">
        <v>3005</v>
      </c>
      <c r="F1845" s="2"/>
      <c r="G1845" s="2" t="n">
        <v>1.25</v>
      </c>
      <c r="H1845" s="2" t="s">
        <v>1689</v>
      </c>
      <c r="I1845" s="2" t="n">
        <v>6</v>
      </c>
    </row>
    <row r="1846" customFormat="false" ht="15" hidden="false" customHeight="false" outlineLevel="0" collapsed="false">
      <c r="A1846" s="2" t="s">
        <v>1274</v>
      </c>
      <c r="B1846" s="2" t="s">
        <v>452</v>
      </c>
      <c r="C1846" s="2" t="n">
        <v>2.25</v>
      </c>
      <c r="D1846" s="2" t="s">
        <v>54</v>
      </c>
      <c r="E1846" s="2" t="s">
        <v>3006</v>
      </c>
      <c r="F1846" s="2" t="n">
        <v>1.12</v>
      </c>
      <c r="G1846" s="2" t="n">
        <v>3.38</v>
      </c>
      <c r="H1846" s="2" t="s">
        <v>1700</v>
      </c>
      <c r="I1846" s="2" t="n">
        <v>7</v>
      </c>
    </row>
    <row r="1847" customFormat="false" ht="15" hidden="false" customHeight="false" outlineLevel="0" collapsed="false">
      <c r="A1847" s="2" t="s">
        <v>1278</v>
      </c>
      <c r="B1847" s="2" t="s">
        <v>384</v>
      </c>
      <c r="C1847" s="2" t="n">
        <v>20</v>
      </c>
      <c r="D1847" s="2" t="s">
        <v>54</v>
      </c>
      <c r="E1847" s="2" t="s">
        <v>3007</v>
      </c>
      <c r="F1847" s="2" t="n">
        <v>10</v>
      </c>
      <c r="G1847" s="2" t="n">
        <v>30</v>
      </c>
      <c r="H1847" s="2" t="s">
        <v>1689</v>
      </c>
      <c r="I1847" s="2" t="n">
        <v>1</v>
      </c>
    </row>
    <row r="1848" customFormat="false" ht="15" hidden="false" customHeight="false" outlineLevel="0" collapsed="false">
      <c r="A1848" s="2" t="s">
        <v>1278</v>
      </c>
      <c r="B1848" s="2" t="s">
        <v>482</v>
      </c>
      <c r="C1848" s="2" t="n">
        <v>0.5</v>
      </c>
      <c r="D1848" s="2" t="s">
        <v>1687</v>
      </c>
      <c r="E1848" s="2" t="s">
        <v>3008</v>
      </c>
      <c r="F1848" s="2"/>
      <c r="G1848" s="2" t="n">
        <v>1.5</v>
      </c>
      <c r="H1848" s="2" t="s">
        <v>1689</v>
      </c>
      <c r="I1848" s="2" t="n">
        <v>2</v>
      </c>
    </row>
    <row r="1849" customFormat="false" ht="15" hidden="false" customHeight="false" outlineLevel="0" collapsed="false">
      <c r="A1849" s="2" t="s">
        <v>1278</v>
      </c>
      <c r="B1849" s="2" t="s">
        <v>299</v>
      </c>
      <c r="C1849" s="2" t="n">
        <v>2.5</v>
      </c>
      <c r="D1849" s="2" t="s">
        <v>54</v>
      </c>
      <c r="E1849" s="2" t="s">
        <v>3009</v>
      </c>
      <c r="F1849" s="2" t="n">
        <v>1.5</v>
      </c>
      <c r="G1849" s="2" t="n">
        <v>3.5</v>
      </c>
      <c r="H1849" s="2" t="s">
        <v>1689</v>
      </c>
      <c r="I1849" s="2" t="n">
        <v>3</v>
      </c>
    </row>
    <row r="1850" customFormat="false" ht="15" hidden="false" customHeight="false" outlineLevel="0" collapsed="false">
      <c r="A1850" s="2" t="s">
        <v>1278</v>
      </c>
      <c r="B1850" s="2" t="s">
        <v>197</v>
      </c>
      <c r="C1850" s="2" t="n">
        <v>7</v>
      </c>
      <c r="D1850" s="2" t="s">
        <v>54</v>
      </c>
      <c r="E1850" s="2" t="s">
        <v>3010</v>
      </c>
      <c r="F1850" s="2" t="n">
        <v>3.5</v>
      </c>
      <c r="G1850" s="2" t="n">
        <v>10.5</v>
      </c>
      <c r="H1850" s="2" t="s">
        <v>1689</v>
      </c>
      <c r="I1850" s="2" t="n">
        <v>4</v>
      </c>
    </row>
    <row r="1851" customFormat="false" ht="15" hidden="false" customHeight="false" outlineLevel="0" collapsed="false">
      <c r="A1851" s="2" t="s">
        <v>1278</v>
      </c>
      <c r="B1851" s="2" t="s">
        <v>232</v>
      </c>
      <c r="C1851" s="2" t="n">
        <v>15</v>
      </c>
      <c r="D1851" s="2" t="s">
        <v>76</v>
      </c>
      <c r="E1851" s="2" t="s">
        <v>3011</v>
      </c>
      <c r="F1851" s="2" t="n">
        <v>7.5</v>
      </c>
      <c r="G1851" s="2" t="n">
        <v>22.5</v>
      </c>
      <c r="H1851" s="2" t="s">
        <v>1689</v>
      </c>
      <c r="I1851" s="2" t="n">
        <v>5</v>
      </c>
    </row>
    <row r="1852" customFormat="false" ht="15" hidden="false" customHeight="false" outlineLevel="0" collapsed="false">
      <c r="A1852" s="2" t="s">
        <v>1278</v>
      </c>
      <c r="B1852" s="2" t="s">
        <v>375</v>
      </c>
      <c r="C1852" s="2" t="n">
        <v>0.25</v>
      </c>
      <c r="D1852" s="2" t="s">
        <v>1687</v>
      </c>
      <c r="E1852" s="2" t="s">
        <v>3012</v>
      </c>
      <c r="F1852" s="2"/>
      <c r="G1852" s="2" t="n">
        <v>1.25</v>
      </c>
      <c r="H1852" s="2" t="s">
        <v>1689</v>
      </c>
      <c r="I1852" s="2" t="n">
        <v>6</v>
      </c>
    </row>
    <row r="1853" customFormat="false" ht="15" hidden="false" customHeight="false" outlineLevel="0" collapsed="false">
      <c r="A1853" s="2" t="s">
        <v>1278</v>
      </c>
      <c r="B1853" s="2" t="s">
        <v>480</v>
      </c>
      <c r="C1853" s="2" t="n">
        <v>1</v>
      </c>
      <c r="D1853" s="2" t="s">
        <v>54</v>
      </c>
      <c r="E1853" s="2" t="s">
        <v>3013</v>
      </c>
      <c r="F1853" s="2" t="n">
        <v>0.5</v>
      </c>
      <c r="G1853" s="2" t="n">
        <v>1.5</v>
      </c>
      <c r="H1853" s="2" t="s">
        <v>1689</v>
      </c>
      <c r="I1853" s="2" t="n">
        <v>7</v>
      </c>
    </row>
    <row r="1854" customFormat="false" ht="15" hidden="false" customHeight="false" outlineLevel="0" collapsed="false">
      <c r="A1854" s="2" t="s">
        <v>1283</v>
      </c>
      <c r="B1854" s="2" t="s">
        <v>221</v>
      </c>
      <c r="C1854" s="2" t="n">
        <v>115</v>
      </c>
      <c r="D1854" s="2" t="s">
        <v>54</v>
      </c>
      <c r="E1854" s="2" t="s">
        <v>3014</v>
      </c>
      <c r="F1854" s="2" t="n">
        <v>57.5</v>
      </c>
      <c r="G1854" s="2" t="n">
        <v>172.5</v>
      </c>
      <c r="H1854" s="2" t="s">
        <v>1693</v>
      </c>
      <c r="I1854" s="2" t="n">
        <v>1</v>
      </c>
    </row>
    <row r="1855" customFormat="false" ht="15" hidden="false" customHeight="false" outlineLevel="0" collapsed="false">
      <c r="A1855" s="2" t="s">
        <v>1283</v>
      </c>
      <c r="B1855" s="2" t="s">
        <v>440</v>
      </c>
      <c r="C1855" s="2" t="n">
        <v>25</v>
      </c>
      <c r="D1855" s="2" t="s">
        <v>54</v>
      </c>
      <c r="E1855" s="2" t="s">
        <v>3015</v>
      </c>
      <c r="F1855" s="2" t="n">
        <v>12.5</v>
      </c>
      <c r="G1855" s="2" t="n">
        <v>37.5</v>
      </c>
      <c r="H1855" s="2" t="s">
        <v>1689</v>
      </c>
      <c r="I1855" s="2" t="n">
        <v>2</v>
      </c>
    </row>
    <row r="1856" customFormat="false" ht="15" hidden="false" customHeight="false" outlineLevel="0" collapsed="false">
      <c r="A1856" s="2" t="s">
        <v>1283</v>
      </c>
      <c r="B1856" s="2" t="s">
        <v>193</v>
      </c>
      <c r="C1856" s="2" t="n">
        <v>20</v>
      </c>
      <c r="D1856" s="2" t="s">
        <v>54</v>
      </c>
      <c r="E1856" s="2" t="s">
        <v>2634</v>
      </c>
      <c r="F1856" s="2" t="n">
        <v>10</v>
      </c>
      <c r="G1856" s="2" t="n">
        <v>30</v>
      </c>
      <c r="H1856" s="2" t="s">
        <v>1689</v>
      </c>
      <c r="I1856" s="2" t="n">
        <v>3</v>
      </c>
    </row>
    <row r="1857" customFormat="false" ht="15" hidden="false" customHeight="false" outlineLevel="0" collapsed="false">
      <c r="A1857" s="2" t="s">
        <v>1283</v>
      </c>
      <c r="B1857" s="2" t="s">
        <v>110</v>
      </c>
      <c r="C1857" s="2" t="n">
        <v>1</v>
      </c>
      <c r="D1857" s="2" t="s">
        <v>1687</v>
      </c>
      <c r="E1857" s="2" t="s">
        <v>2746</v>
      </c>
      <c r="F1857" s="2"/>
      <c r="G1857" s="2" t="n">
        <v>2</v>
      </c>
      <c r="H1857" s="2" t="s">
        <v>1693</v>
      </c>
      <c r="I1857" s="2" t="n">
        <v>4</v>
      </c>
    </row>
    <row r="1858" customFormat="false" ht="15" hidden="false" customHeight="false" outlineLevel="0" collapsed="false">
      <c r="A1858" s="2" t="s">
        <v>1283</v>
      </c>
      <c r="B1858" s="2" t="s">
        <v>452</v>
      </c>
      <c r="C1858" s="2" t="n">
        <v>4.5</v>
      </c>
      <c r="D1858" s="2" t="s">
        <v>54</v>
      </c>
      <c r="E1858" s="2" t="s">
        <v>3016</v>
      </c>
      <c r="F1858" s="2" t="n">
        <v>2.25</v>
      </c>
      <c r="G1858" s="2" t="n">
        <v>6.75</v>
      </c>
      <c r="H1858" s="2" t="s">
        <v>1700</v>
      </c>
      <c r="I1858" s="2" t="n">
        <v>5</v>
      </c>
    </row>
    <row r="1859" customFormat="false" ht="15" hidden="false" customHeight="false" outlineLevel="0" collapsed="false">
      <c r="A1859" s="2" t="s">
        <v>1283</v>
      </c>
      <c r="B1859" s="2" t="s">
        <v>271</v>
      </c>
      <c r="C1859" s="2" t="n">
        <v>1.25</v>
      </c>
      <c r="D1859" s="2" t="s">
        <v>54</v>
      </c>
      <c r="E1859" s="2" t="s">
        <v>2974</v>
      </c>
      <c r="F1859" s="2" t="n">
        <v>0.62</v>
      </c>
      <c r="G1859" s="2" t="n">
        <v>1.88</v>
      </c>
      <c r="H1859" s="2" t="s">
        <v>1689</v>
      </c>
      <c r="I1859" s="2" t="n">
        <v>6</v>
      </c>
    </row>
    <row r="1860" customFormat="false" ht="15" hidden="false" customHeight="false" outlineLevel="0" collapsed="false">
      <c r="A1860" s="2" t="s">
        <v>1283</v>
      </c>
      <c r="B1860" s="2" t="s">
        <v>271</v>
      </c>
      <c r="C1860" s="2" t="n">
        <v>0.625</v>
      </c>
      <c r="D1860" s="2" t="s">
        <v>54</v>
      </c>
      <c r="E1860" s="2" t="s">
        <v>3017</v>
      </c>
      <c r="F1860" s="2" t="n">
        <v>0.31</v>
      </c>
      <c r="G1860" s="2" t="n">
        <v>0.94</v>
      </c>
      <c r="H1860" s="2" t="s">
        <v>1689</v>
      </c>
      <c r="I1860" s="2" t="n">
        <v>7</v>
      </c>
    </row>
    <row r="1861" customFormat="false" ht="15" hidden="false" customHeight="false" outlineLevel="0" collapsed="false">
      <c r="A1861" s="2" t="s">
        <v>1283</v>
      </c>
      <c r="B1861" s="2" t="s">
        <v>271</v>
      </c>
      <c r="C1861" s="2" t="n">
        <v>0.625</v>
      </c>
      <c r="D1861" s="2" t="s">
        <v>54</v>
      </c>
      <c r="E1861" s="2" t="s">
        <v>3018</v>
      </c>
      <c r="F1861" s="2" t="n">
        <v>0.31</v>
      </c>
      <c r="G1861" s="2" t="n">
        <v>0.94</v>
      </c>
      <c r="H1861" s="2" t="s">
        <v>1689</v>
      </c>
      <c r="I1861" s="2" t="n">
        <v>8</v>
      </c>
    </row>
    <row r="1862" customFormat="false" ht="15" hidden="false" customHeight="false" outlineLevel="0" collapsed="false">
      <c r="A1862" s="2" t="s">
        <v>1283</v>
      </c>
      <c r="B1862" s="2" t="s">
        <v>271</v>
      </c>
      <c r="C1862" s="2" t="n">
        <v>0.625</v>
      </c>
      <c r="D1862" s="2" t="s">
        <v>54</v>
      </c>
      <c r="E1862" s="2" t="s">
        <v>3019</v>
      </c>
      <c r="F1862" s="2" t="n">
        <v>0.31</v>
      </c>
      <c r="G1862" s="2" t="n">
        <v>0.94</v>
      </c>
      <c r="H1862" s="2" t="s">
        <v>1689</v>
      </c>
      <c r="I1862" s="2" t="n">
        <v>9</v>
      </c>
    </row>
    <row r="1863" customFormat="false" ht="15" hidden="false" customHeight="false" outlineLevel="0" collapsed="false">
      <c r="A1863" s="2" t="s">
        <v>1283</v>
      </c>
      <c r="B1863" s="2" t="s">
        <v>271</v>
      </c>
      <c r="C1863" s="2" t="n">
        <v>0.625</v>
      </c>
      <c r="D1863" s="2" t="s">
        <v>54</v>
      </c>
      <c r="E1863" s="2" t="s">
        <v>3004</v>
      </c>
      <c r="F1863" s="2" t="n">
        <v>0.31</v>
      </c>
      <c r="G1863" s="2" t="n">
        <v>0.94</v>
      </c>
      <c r="H1863" s="2" t="s">
        <v>1689</v>
      </c>
      <c r="I1863" s="2" t="n">
        <v>10</v>
      </c>
    </row>
    <row r="1864" customFormat="false" ht="15" hidden="false" customHeight="false" outlineLevel="0" collapsed="false">
      <c r="A1864" s="2" t="s">
        <v>1283</v>
      </c>
      <c r="B1864" s="2" t="s">
        <v>480</v>
      </c>
      <c r="C1864" s="2" t="n">
        <v>1</v>
      </c>
      <c r="D1864" s="2" t="s">
        <v>54</v>
      </c>
      <c r="E1864" s="2" t="s">
        <v>3020</v>
      </c>
      <c r="F1864" s="2" t="n">
        <v>0.5</v>
      </c>
      <c r="G1864" s="2" t="n">
        <v>1.5</v>
      </c>
      <c r="H1864" s="2" t="s">
        <v>1689</v>
      </c>
      <c r="I1864" s="2" t="n">
        <v>11</v>
      </c>
    </row>
    <row r="1865" customFormat="false" ht="15" hidden="false" customHeight="false" outlineLevel="0" collapsed="false">
      <c r="A1865" s="2" t="s">
        <v>1287</v>
      </c>
      <c r="B1865" s="2" t="s">
        <v>221</v>
      </c>
      <c r="C1865" s="2" t="n">
        <v>100</v>
      </c>
      <c r="D1865" s="2" t="s">
        <v>54</v>
      </c>
      <c r="E1865" s="2" t="s">
        <v>3021</v>
      </c>
      <c r="F1865" s="2" t="n">
        <v>50</v>
      </c>
      <c r="G1865" s="2" t="n">
        <v>150</v>
      </c>
      <c r="H1865" s="2" t="s">
        <v>1693</v>
      </c>
      <c r="I1865" s="2" t="n">
        <v>1</v>
      </c>
    </row>
    <row r="1866" customFormat="false" ht="15" hidden="false" customHeight="false" outlineLevel="0" collapsed="false">
      <c r="A1866" s="2" t="s">
        <v>1287</v>
      </c>
      <c r="B1866" s="2" t="s">
        <v>129</v>
      </c>
      <c r="C1866" s="2" t="n">
        <v>6.75</v>
      </c>
      <c r="D1866" s="2" t="s">
        <v>54</v>
      </c>
      <c r="E1866" s="2" t="s">
        <v>3022</v>
      </c>
      <c r="F1866" s="2" t="n">
        <v>3.38</v>
      </c>
      <c r="G1866" s="2" t="n">
        <v>10.12</v>
      </c>
      <c r="H1866" s="2" t="s">
        <v>1700</v>
      </c>
      <c r="I1866" s="2" t="n">
        <v>2</v>
      </c>
    </row>
    <row r="1867" customFormat="false" ht="15" hidden="false" customHeight="false" outlineLevel="0" collapsed="false">
      <c r="A1867" s="2" t="s">
        <v>1287</v>
      </c>
      <c r="B1867" s="2" t="s">
        <v>365</v>
      </c>
      <c r="C1867" s="2" t="n">
        <v>0.5</v>
      </c>
      <c r="D1867" s="2" t="s">
        <v>1687</v>
      </c>
      <c r="E1867" s="2" t="s">
        <v>3023</v>
      </c>
      <c r="F1867" s="2"/>
      <c r="G1867" s="2" t="n">
        <v>1.5</v>
      </c>
      <c r="H1867" s="2" t="s">
        <v>1689</v>
      </c>
      <c r="I1867" s="2" t="n">
        <v>3</v>
      </c>
    </row>
    <row r="1868" customFormat="false" ht="15" hidden="false" customHeight="false" outlineLevel="0" collapsed="false">
      <c r="A1868" s="2" t="s">
        <v>1287</v>
      </c>
      <c r="B1868" s="2" t="s">
        <v>312</v>
      </c>
      <c r="C1868" s="2" t="n">
        <v>1</v>
      </c>
      <c r="D1868" s="2" t="s">
        <v>1687</v>
      </c>
      <c r="E1868" s="2" t="s">
        <v>2800</v>
      </c>
      <c r="F1868" s="2"/>
      <c r="G1868" s="2" t="n">
        <v>2</v>
      </c>
      <c r="H1868" s="2" t="s">
        <v>1689</v>
      </c>
      <c r="I1868" s="2" t="n">
        <v>4</v>
      </c>
    </row>
    <row r="1869" customFormat="false" ht="15" hidden="false" customHeight="false" outlineLevel="0" collapsed="false">
      <c r="A1869" s="2" t="s">
        <v>1287</v>
      </c>
      <c r="B1869" s="2" t="s">
        <v>271</v>
      </c>
      <c r="C1869" s="2" t="n">
        <v>1.25</v>
      </c>
      <c r="D1869" s="2" t="s">
        <v>54</v>
      </c>
      <c r="E1869" s="2" t="s">
        <v>2708</v>
      </c>
      <c r="F1869" s="2" t="n">
        <v>0.62</v>
      </c>
      <c r="G1869" s="2" t="n">
        <v>1.88</v>
      </c>
      <c r="H1869" s="2" t="s">
        <v>1689</v>
      </c>
      <c r="I1869" s="2" t="n">
        <v>5</v>
      </c>
    </row>
    <row r="1870" customFormat="false" ht="15" hidden="false" customHeight="false" outlineLevel="0" collapsed="false">
      <c r="A1870" s="2" t="s">
        <v>1287</v>
      </c>
      <c r="B1870" s="2" t="s">
        <v>436</v>
      </c>
      <c r="C1870" s="2" t="n">
        <v>1</v>
      </c>
      <c r="D1870" s="2" t="s">
        <v>1687</v>
      </c>
      <c r="E1870" s="2" t="s">
        <v>3024</v>
      </c>
      <c r="F1870" s="2"/>
      <c r="G1870" s="2" t="n">
        <v>2</v>
      </c>
      <c r="H1870" s="2" t="s">
        <v>1689</v>
      </c>
      <c r="I1870" s="2" t="n">
        <v>6</v>
      </c>
    </row>
    <row r="1871" customFormat="false" ht="15" hidden="false" customHeight="false" outlineLevel="0" collapsed="false">
      <c r="A1871" s="2" t="s">
        <v>1287</v>
      </c>
      <c r="B1871" s="2" t="s">
        <v>148</v>
      </c>
      <c r="C1871" s="2" t="n">
        <v>40</v>
      </c>
      <c r="D1871" s="2" t="s">
        <v>54</v>
      </c>
      <c r="E1871" s="2" t="s">
        <v>2690</v>
      </c>
      <c r="F1871" s="2" t="n">
        <v>20</v>
      </c>
      <c r="G1871" s="2" t="n">
        <v>60</v>
      </c>
      <c r="H1871" s="2" t="s">
        <v>1693</v>
      </c>
      <c r="I1871" s="2" t="n">
        <v>7</v>
      </c>
    </row>
    <row r="1872" customFormat="false" ht="15" hidden="false" customHeight="false" outlineLevel="0" collapsed="false">
      <c r="A1872" s="2" t="s">
        <v>1287</v>
      </c>
      <c r="B1872" s="2" t="s">
        <v>260</v>
      </c>
      <c r="C1872" s="2" t="n">
        <v>50</v>
      </c>
      <c r="D1872" s="2" t="s">
        <v>54</v>
      </c>
      <c r="E1872" s="2" t="s">
        <v>3025</v>
      </c>
      <c r="F1872" s="2" t="n">
        <v>25</v>
      </c>
      <c r="G1872" s="2" t="n">
        <v>75</v>
      </c>
      <c r="H1872" s="2" t="s">
        <v>1689</v>
      </c>
      <c r="I1872" s="2" t="n">
        <v>8</v>
      </c>
    </row>
    <row r="1873" customFormat="false" ht="15" hidden="false" customHeight="false" outlineLevel="0" collapsed="false">
      <c r="A1873" s="2" t="s">
        <v>1287</v>
      </c>
      <c r="B1873" s="2" t="s">
        <v>301</v>
      </c>
      <c r="C1873" s="2" t="n">
        <v>5</v>
      </c>
      <c r="D1873" s="2" t="s">
        <v>54</v>
      </c>
      <c r="E1873" s="2" t="s">
        <v>3026</v>
      </c>
      <c r="F1873" s="2" t="n">
        <v>2.5</v>
      </c>
      <c r="G1873" s="2" t="n">
        <v>7.5</v>
      </c>
      <c r="H1873" s="2" t="s">
        <v>1689</v>
      </c>
      <c r="I1873" s="2" t="n">
        <v>9</v>
      </c>
    </row>
    <row r="1874" customFormat="false" ht="15" hidden="false" customHeight="false" outlineLevel="0" collapsed="false">
      <c r="A1874" s="2" t="s">
        <v>1287</v>
      </c>
      <c r="B1874" s="2" t="s">
        <v>219</v>
      </c>
      <c r="C1874" s="2" t="n">
        <v>40</v>
      </c>
      <c r="D1874" s="2" t="s">
        <v>54</v>
      </c>
      <c r="E1874" s="2" t="s">
        <v>3027</v>
      </c>
      <c r="F1874" s="2" t="n">
        <v>20</v>
      </c>
      <c r="G1874" s="2" t="n">
        <v>60</v>
      </c>
      <c r="H1874" s="2" t="s">
        <v>1689</v>
      </c>
      <c r="I1874" s="2" t="n">
        <v>10</v>
      </c>
    </row>
    <row r="1875" customFormat="false" ht="15" hidden="false" customHeight="false" outlineLevel="0" collapsed="false">
      <c r="A1875" s="2" t="s">
        <v>1287</v>
      </c>
      <c r="B1875" s="2" t="s">
        <v>458</v>
      </c>
      <c r="C1875" s="2" t="n">
        <v>20</v>
      </c>
      <c r="D1875" s="2" t="s">
        <v>54</v>
      </c>
      <c r="E1875" s="2" t="s">
        <v>3028</v>
      </c>
      <c r="F1875" s="2" t="n">
        <v>10</v>
      </c>
      <c r="G1875" s="2" t="n">
        <v>30</v>
      </c>
      <c r="H1875" s="2" t="s">
        <v>1689</v>
      </c>
      <c r="I1875" s="2" t="n">
        <v>11</v>
      </c>
    </row>
    <row r="1876" customFormat="false" ht="15" hidden="false" customHeight="false" outlineLevel="0" collapsed="false">
      <c r="A1876" s="2" t="s">
        <v>1291</v>
      </c>
      <c r="B1876" s="2" t="s">
        <v>359</v>
      </c>
      <c r="C1876" s="2" t="n">
        <v>100</v>
      </c>
      <c r="D1876" s="2" t="s">
        <v>54</v>
      </c>
      <c r="E1876" s="2" t="s">
        <v>3029</v>
      </c>
      <c r="F1876" s="2" t="n">
        <v>50</v>
      </c>
      <c r="G1876" s="2" t="n">
        <v>150</v>
      </c>
      <c r="H1876" s="2" t="s">
        <v>1693</v>
      </c>
      <c r="I1876" s="2" t="n">
        <v>1</v>
      </c>
    </row>
    <row r="1877" customFormat="false" ht="15" hidden="false" customHeight="false" outlineLevel="0" collapsed="false">
      <c r="A1877" s="2" t="s">
        <v>1291</v>
      </c>
      <c r="B1877" s="2" t="s">
        <v>129</v>
      </c>
      <c r="C1877" s="2" t="n">
        <v>6.75</v>
      </c>
      <c r="D1877" s="2" t="s">
        <v>54</v>
      </c>
      <c r="E1877" s="2" t="s">
        <v>3022</v>
      </c>
      <c r="F1877" s="2" t="n">
        <v>3.38</v>
      </c>
      <c r="G1877" s="2" t="n">
        <v>10.12</v>
      </c>
      <c r="H1877" s="2" t="s">
        <v>1700</v>
      </c>
      <c r="I1877" s="2" t="n">
        <v>2</v>
      </c>
    </row>
    <row r="1878" customFormat="false" ht="15" hidden="false" customHeight="false" outlineLevel="0" collapsed="false">
      <c r="A1878" s="2" t="s">
        <v>1291</v>
      </c>
      <c r="B1878" s="2" t="s">
        <v>271</v>
      </c>
      <c r="C1878" s="2" t="n">
        <v>1.25</v>
      </c>
      <c r="D1878" s="2" t="s">
        <v>54</v>
      </c>
      <c r="E1878" s="2" t="s">
        <v>2723</v>
      </c>
      <c r="F1878" s="2" t="n">
        <v>0.62</v>
      </c>
      <c r="G1878" s="2" t="n">
        <v>1.88</v>
      </c>
      <c r="H1878" s="2" t="s">
        <v>1689</v>
      </c>
      <c r="I1878" s="2" t="n">
        <v>3</v>
      </c>
    </row>
    <row r="1879" customFormat="false" ht="15" hidden="false" customHeight="false" outlineLevel="0" collapsed="false">
      <c r="A1879" s="2" t="s">
        <v>1291</v>
      </c>
      <c r="B1879" s="2" t="s">
        <v>271</v>
      </c>
      <c r="C1879" s="2" t="n">
        <v>1.25</v>
      </c>
      <c r="D1879" s="2" t="s">
        <v>54</v>
      </c>
      <c r="E1879" s="2" t="s">
        <v>2692</v>
      </c>
      <c r="F1879" s="2" t="n">
        <v>0.62</v>
      </c>
      <c r="G1879" s="2" t="n">
        <v>1.88</v>
      </c>
      <c r="H1879" s="2" t="s">
        <v>1689</v>
      </c>
      <c r="I1879" s="2" t="n">
        <v>4</v>
      </c>
    </row>
    <row r="1880" customFormat="false" ht="15" hidden="false" customHeight="false" outlineLevel="0" collapsed="false">
      <c r="A1880" s="2" t="s">
        <v>1291</v>
      </c>
      <c r="B1880" s="2" t="s">
        <v>271</v>
      </c>
      <c r="C1880" s="2" t="n">
        <v>1.25</v>
      </c>
      <c r="D1880" s="2" t="s">
        <v>54</v>
      </c>
      <c r="E1880" s="2" t="s">
        <v>2708</v>
      </c>
      <c r="F1880" s="2" t="n">
        <v>0.62</v>
      </c>
      <c r="G1880" s="2" t="n">
        <v>1.88</v>
      </c>
      <c r="H1880" s="2" t="s">
        <v>1689</v>
      </c>
      <c r="I1880" s="2" t="n">
        <v>5</v>
      </c>
    </row>
    <row r="1881" customFormat="false" ht="15" hidden="false" customHeight="false" outlineLevel="0" collapsed="false">
      <c r="A1881" s="2" t="s">
        <v>1291</v>
      </c>
      <c r="B1881" s="2" t="s">
        <v>312</v>
      </c>
      <c r="C1881" s="2" t="n">
        <v>1</v>
      </c>
      <c r="D1881" s="2" t="s">
        <v>1687</v>
      </c>
      <c r="E1881" s="2" t="s">
        <v>2800</v>
      </c>
      <c r="F1881" s="2"/>
      <c r="G1881" s="2" t="n">
        <v>2</v>
      </c>
      <c r="H1881" s="2" t="s">
        <v>1689</v>
      </c>
      <c r="I1881" s="2" t="n">
        <v>6</v>
      </c>
    </row>
    <row r="1882" customFormat="false" ht="15" hidden="false" customHeight="false" outlineLevel="0" collapsed="false">
      <c r="A1882" s="2" t="s">
        <v>1291</v>
      </c>
      <c r="B1882" s="2" t="s">
        <v>321</v>
      </c>
      <c r="C1882" s="2" t="n">
        <v>1</v>
      </c>
      <c r="D1882" s="2" t="s">
        <v>1687</v>
      </c>
      <c r="E1882" s="2" t="s">
        <v>3030</v>
      </c>
      <c r="F1882" s="2"/>
      <c r="G1882" s="2" t="n">
        <v>2</v>
      </c>
      <c r="H1882" s="2" t="s">
        <v>1689</v>
      </c>
      <c r="I1882" s="2" t="n">
        <v>7</v>
      </c>
    </row>
    <row r="1883" customFormat="false" ht="15" hidden="false" customHeight="false" outlineLevel="0" collapsed="false">
      <c r="A1883" s="2" t="s">
        <v>1291</v>
      </c>
      <c r="B1883" s="2" t="s">
        <v>148</v>
      </c>
      <c r="C1883" s="2" t="n">
        <v>50</v>
      </c>
      <c r="D1883" s="2" t="s">
        <v>54</v>
      </c>
      <c r="E1883" s="2" t="s">
        <v>3031</v>
      </c>
      <c r="F1883" s="2" t="n">
        <v>25</v>
      </c>
      <c r="G1883" s="2" t="n">
        <v>75</v>
      </c>
      <c r="H1883" s="2" t="s">
        <v>1693</v>
      </c>
      <c r="I1883" s="2" t="n">
        <v>8</v>
      </c>
    </row>
    <row r="1884" customFormat="false" ht="15" hidden="false" customHeight="false" outlineLevel="0" collapsed="false">
      <c r="A1884" s="2" t="s">
        <v>1291</v>
      </c>
      <c r="B1884" s="2" t="s">
        <v>260</v>
      </c>
      <c r="C1884" s="2" t="n">
        <v>20</v>
      </c>
      <c r="D1884" s="2" t="s">
        <v>54</v>
      </c>
      <c r="E1884" s="2" t="s">
        <v>3032</v>
      </c>
      <c r="F1884" s="2" t="n">
        <v>10</v>
      </c>
      <c r="G1884" s="2" t="n">
        <v>30</v>
      </c>
      <c r="H1884" s="2" t="s">
        <v>1689</v>
      </c>
      <c r="I1884" s="2" t="n">
        <v>9</v>
      </c>
    </row>
    <row r="1885" customFormat="false" ht="15" hidden="false" customHeight="false" outlineLevel="0" collapsed="false">
      <c r="A1885" s="2" t="s">
        <v>1291</v>
      </c>
      <c r="B1885" s="2" t="s">
        <v>301</v>
      </c>
      <c r="C1885" s="2" t="n">
        <v>5</v>
      </c>
      <c r="D1885" s="2" t="s">
        <v>54</v>
      </c>
      <c r="E1885" s="2" t="s">
        <v>3033</v>
      </c>
      <c r="F1885" s="2" t="n">
        <v>2.5</v>
      </c>
      <c r="G1885" s="2" t="n">
        <v>7.5</v>
      </c>
      <c r="H1885" s="2" t="s">
        <v>1689</v>
      </c>
      <c r="I1885" s="2" t="n">
        <v>10</v>
      </c>
    </row>
    <row r="1886" customFormat="false" ht="15" hidden="false" customHeight="false" outlineLevel="0" collapsed="false">
      <c r="A1886" s="2" t="s">
        <v>1291</v>
      </c>
      <c r="B1886" s="2" t="s">
        <v>458</v>
      </c>
      <c r="C1886" s="2" t="n">
        <v>20</v>
      </c>
      <c r="D1886" s="2" t="s">
        <v>54</v>
      </c>
      <c r="E1886" s="2" t="s">
        <v>3028</v>
      </c>
      <c r="F1886" s="2" t="n">
        <v>10</v>
      </c>
      <c r="G1886" s="2" t="n">
        <v>30</v>
      </c>
      <c r="H1886" s="2" t="s">
        <v>1689</v>
      </c>
      <c r="I1886" s="2" t="n">
        <v>11</v>
      </c>
    </row>
    <row r="1887" customFormat="false" ht="15" hidden="false" customHeight="false" outlineLevel="0" collapsed="false">
      <c r="A1887" s="2" t="s">
        <v>1291</v>
      </c>
      <c r="B1887" s="2" t="s">
        <v>524</v>
      </c>
      <c r="C1887" s="2" t="n">
        <v>20</v>
      </c>
      <c r="D1887" s="2" t="s">
        <v>54</v>
      </c>
      <c r="E1887" s="2" t="s">
        <v>3034</v>
      </c>
      <c r="F1887" s="2" t="n">
        <v>10</v>
      </c>
      <c r="G1887" s="2" t="n">
        <v>30</v>
      </c>
      <c r="H1887" s="2" t="s">
        <v>1689</v>
      </c>
      <c r="I1887" s="2" t="n">
        <v>12</v>
      </c>
    </row>
    <row r="1888" customFormat="false" ht="15" hidden="false" customHeight="false" outlineLevel="0" collapsed="false">
      <c r="A1888" s="2" t="s">
        <v>1295</v>
      </c>
      <c r="B1888" s="2" t="s">
        <v>359</v>
      </c>
      <c r="C1888" s="2" t="n">
        <v>120</v>
      </c>
      <c r="D1888" s="2" t="s">
        <v>54</v>
      </c>
      <c r="E1888" s="2" t="s">
        <v>3035</v>
      </c>
      <c r="F1888" s="2" t="n">
        <v>60</v>
      </c>
      <c r="G1888" s="2" t="n">
        <v>180</v>
      </c>
      <c r="H1888" s="2" t="s">
        <v>1693</v>
      </c>
      <c r="I1888" s="2" t="n">
        <v>1</v>
      </c>
    </row>
    <row r="1889" customFormat="false" ht="15" hidden="false" customHeight="false" outlineLevel="0" collapsed="false">
      <c r="A1889" s="2" t="s">
        <v>1295</v>
      </c>
      <c r="B1889" s="2" t="s">
        <v>446</v>
      </c>
      <c r="C1889" s="2" t="n">
        <v>200</v>
      </c>
      <c r="D1889" s="2" t="s">
        <v>54</v>
      </c>
      <c r="E1889" s="2" t="s">
        <v>3036</v>
      </c>
      <c r="F1889" s="2" t="n">
        <v>100</v>
      </c>
      <c r="G1889" s="2" t="n">
        <v>300</v>
      </c>
      <c r="H1889" s="2" t="s">
        <v>1689</v>
      </c>
      <c r="I1889" s="2" t="n">
        <v>2</v>
      </c>
    </row>
    <row r="1890" customFormat="false" ht="15" hidden="false" customHeight="false" outlineLevel="0" collapsed="false">
      <c r="A1890" s="2" t="s">
        <v>1295</v>
      </c>
      <c r="B1890" s="2" t="s">
        <v>129</v>
      </c>
      <c r="C1890" s="2" t="n">
        <v>4.5</v>
      </c>
      <c r="D1890" s="2" t="s">
        <v>54</v>
      </c>
      <c r="E1890" s="2" t="s">
        <v>2929</v>
      </c>
      <c r="F1890" s="2" t="n">
        <v>2.25</v>
      </c>
      <c r="G1890" s="2" t="n">
        <v>6.75</v>
      </c>
      <c r="H1890" s="2" t="s">
        <v>1700</v>
      </c>
      <c r="I1890" s="2" t="n">
        <v>3</v>
      </c>
    </row>
    <row r="1891" customFormat="false" ht="15" hidden="false" customHeight="false" outlineLevel="0" collapsed="false">
      <c r="A1891" s="2" t="s">
        <v>1295</v>
      </c>
      <c r="B1891" s="2" t="s">
        <v>409</v>
      </c>
      <c r="C1891" s="2" t="n">
        <v>30</v>
      </c>
      <c r="D1891" s="2" t="s">
        <v>54</v>
      </c>
      <c r="E1891" s="2" t="s">
        <v>2866</v>
      </c>
      <c r="F1891" s="2" t="n">
        <v>15</v>
      </c>
      <c r="G1891" s="2" t="n">
        <v>45</v>
      </c>
      <c r="H1891" s="2" t="s">
        <v>1689</v>
      </c>
      <c r="I1891" s="2" t="n">
        <v>4</v>
      </c>
    </row>
    <row r="1892" customFormat="false" ht="15" hidden="false" customHeight="false" outlineLevel="0" collapsed="false">
      <c r="A1892" s="2" t="s">
        <v>1295</v>
      </c>
      <c r="B1892" s="2" t="s">
        <v>524</v>
      </c>
      <c r="C1892" s="2" t="n">
        <v>30</v>
      </c>
      <c r="D1892" s="2" t="s">
        <v>54</v>
      </c>
      <c r="E1892" s="2" t="s">
        <v>3037</v>
      </c>
      <c r="F1892" s="2" t="n">
        <v>15</v>
      </c>
      <c r="G1892" s="2" t="n">
        <v>45</v>
      </c>
      <c r="H1892" s="2" t="s">
        <v>1689</v>
      </c>
      <c r="I1892" s="2" t="n">
        <v>5</v>
      </c>
    </row>
    <row r="1893" customFormat="false" ht="15" hidden="false" customHeight="false" outlineLevel="0" collapsed="false">
      <c r="A1893" s="2" t="s">
        <v>1295</v>
      </c>
      <c r="B1893" s="2" t="s">
        <v>312</v>
      </c>
      <c r="C1893" s="2" t="n">
        <v>1</v>
      </c>
      <c r="D1893" s="2" t="s">
        <v>1687</v>
      </c>
      <c r="E1893" s="2" t="s">
        <v>2800</v>
      </c>
      <c r="F1893" s="2"/>
      <c r="G1893" s="2" t="n">
        <v>2</v>
      </c>
      <c r="H1893" s="2" t="s">
        <v>1689</v>
      </c>
      <c r="I1893" s="2" t="n">
        <v>6</v>
      </c>
    </row>
    <row r="1894" customFormat="false" ht="15" hidden="false" customHeight="false" outlineLevel="0" collapsed="false">
      <c r="A1894" s="2" t="s">
        <v>1295</v>
      </c>
      <c r="B1894" s="2" t="s">
        <v>365</v>
      </c>
      <c r="C1894" s="2" t="n">
        <v>0.5</v>
      </c>
      <c r="D1894" s="2" t="s">
        <v>1687</v>
      </c>
      <c r="E1894" s="2" t="s">
        <v>3038</v>
      </c>
      <c r="F1894" s="2"/>
      <c r="G1894" s="2" t="n">
        <v>1.5</v>
      </c>
      <c r="H1894" s="2" t="s">
        <v>1689</v>
      </c>
      <c r="I1894" s="2" t="n">
        <v>7</v>
      </c>
    </row>
    <row r="1895" customFormat="false" ht="15" hidden="false" customHeight="false" outlineLevel="0" collapsed="false">
      <c r="A1895" s="2" t="s">
        <v>1295</v>
      </c>
      <c r="B1895" s="2" t="s">
        <v>271</v>
      </c>
      <c r="C1895" s="2" t="n">
        <v>1.25</v>
      </c>
      <c r="D1895" s="2" t="s">
        <v>54</v>
      </c>
      <c r="E1895" s="2" t="s">
        <v>2708</v>
      </c>
      <c r="F1895" s="2" t="n">
        <v>0.62</v>
      </c>
      <c r="G1895" s="2" t="n">
        <v>1.88</v>
      </c>
      <c r="H1895" s="2" t="s">
        <v>1689</v>
      </c>
      <c r="I1895" s="2" t="n">
        <v>8</v>
      </c>
    </row>
    <row r="1896" customFormat="false" ht="15" hidden="false" customHeight="false" outlineLevel="0" collapsed="false">
      <c r="A1896" s="2" t="s">
        <v>1295</v>
      </c>
      <c r="B1896" s="2" t="s">
        <v>179</v>
      </c>
      <c r="C1896" s="2" t="n">
        <v>1</v>
      </c>
      <c r="D1896" s="2" t="s">
        <v>1687</v>
      </c>
      <c r="E1896" s="2" t="s">
        <v>2608</v>
      </c>
      <c r="F1896" s="2" t="n">
        <v>0.5</v>
      </c>
      <c r="G1896" s="2" t="n">
        <v>1.5</v>
      </c>
      <c r="H1896" s="2" t="s">
        <v>1689</v>
      </c>
      <c r="I1896" s="2" t="n">
        <v>9</v>
      </c>
    </row>
    <row r="1897" customFormat="false" ht="15" hidden="false" customHeight="false" outlineLevel="0" collapsed="false">
      <c r="A1897" s="2" t="s">
        <v>1295</v>
      </c>
      <c r="B1897" s="2" t="s">
        <v>506</v>
      </c>
      <c r="C1897" s="2" t="n">
        <v>100</v>
      </c>
      <c r="D1897" s="2" t="s">
        <v>76</v>
      </c>
      <c r="E1897" s="2" t="s">
        <v>2627</v>
      </c>
      <c r="F1897" s="2" t="n">
        <v>50</v>
      </c>
      <c r="G1897" s="2" t="n">
        <v>150</v>
      </c>
      <c r="H1897" s="2" t="s">
        <v>1693</v>
      </c>
      <c r="I1897" s="2" t="n">
        <v>10</v>
      </c>
    </row>
    <row r="1898" customFormat="false" ht="15" hidden="false" customHeight="false" outlineLevel="0" collapsed="false">
      <c r="A1898" s="2" t="s">
        <v>1299</v>
      </c>
      <c r="B1898" s="2" t="s">
        <v>341</v>
      </c>
      <c r="C1898" s="2" t="n">
        <v>60</v>
      </c>
      <c r="D1898" s="2" t="s">
        <v>54</v>
      </c>
      <c r="E1898" s="2" t="s">
        <v>3039</v>
      </c>
      <c r="F1898" s="2" t="n">
        <v>30</v>
      </c>
      <c r="G1898" s="2" t="n">
        <v>90</v>
      </c>
      <c r="H1898" s="2" t="s">
        <v>1693</v>
      </c>
      <c r="I1898" s="2" t="n">
        <v>1</v>
      </c>
    </row>
    <row r="1899" customFormat="false" ht="15" hidden="false" customHeight="false" outlineLevel="0" collapsed="false">
      <c r="A1899" s="2" t="s">
        <v>1299</v>
      </c>
      <c r="B1899" s="2" t="s">
        <v>401</v>
      </c>
      <c r="C1899" s="2" t="n">
        <v>35</v>
      </c>
      <c r="D1899" s="2" t="s">
        <v>54</v>
      </c>
      <c r="E1899" s="2" t="s">
        <v>3040</v>
      </c>
      <c r="F1899" s="2" t="n">
        <v>17.5</v>
      </c>
      <c r="G1899" s="2" t="n">
        <v>52.5</v>
      </c>
      <c r="H1899" s="2" t="s">
        <v>1693</v>
      </c>
      <c r="I1899" s="2" t="n">
        <v>2</v>
      </c>
    </row>
    <row r="1900" customFormat="false" ht="15" hidden="false" customHeight="false" outlineLevel="0" collapsed="false">
      <c r="A1900" s="2" t="s">
        <v>1299</v>
      </c>
      <c r="B1900" s="2" t="s">
        <v>413</v>
      </c>
      <c r="C1900" s="2" t="n">
        <v>55</v>
      </c>
      <c r="D1900" s="2" t="s">
        <v>54</v>
      </c>
      <c r="E1900" s="2" t="s">
        <v>3041</v>
      </c>
      <c r="F1900" s="2" t="n">
        <v>27.5</v>
      </c>
      <c r="G1900" s="2" t="n">
        <v>82.5</v>
      </c>
      <c r="H1900" s="2" t="s">
        <v>1689</v>
      </c>
      <c r="I1900" s="2" t="n">
        <v>3</v>
      </c>
    </row>
    <row r="1901" customFormat="false" ht="15" hidden="false" customHeight="false" outlineLevel="0" collapsed="false">
      <c r="A1901" s="2" t="s">
        <v>1299</v>
      </c>
      <c r="B1901" s="2" t="s">
        <v>129</v>
      </c>
      <c r="C1901" s="2" t="n">
        <v>4.5</v>
      </c>
      <c r="D1901" s="2" t="s">
        <v>54</v>
      </c>
      <c r="E1901" s="2" t="s">
        <v>2929</v>
      </c>
      <c r="F1901" s="2" t="n">
        <v>2.25</v>
      </c>
      <c r="G1901" s="2" t="n">
        <v>6.75</v>
      </c>
      <c r="H1901" s="2" t="s">
        <v>1700</v>
      </c>
      <c r="I1901" s="2" t="n">
        <v>4</v>
      </c>
    </row>
    <row r="1902" customFormat="false" ht="15" hidden="false" customHeight="false" outlineLevel="0" collapsed="false">
      <c r="A1902" s="2" t="s">
        <v>1299</v>
      </c>
      <c r="B1902" s="2" t="s">
        <v>422</v>
      </c>
      <c r="C1902" s="2" t="n">
        <v>100</v>
      </c>
      <c r="D1902" s="2" t="s">
        <v>54</v>
      </c>
      <c r="E1902" s="2" t="s">
        <v>2685</v>
      </c>
      <c r="F1902" s="2" t="n">
        <v>50</v>
      </c>
      <c r="G1902" s="2" t="n">
        <v>150</v>
      </c>
      <c r="H1902" s="2" t="s">
        <v>1689</v>
      </c>
      <c r="I1902" s="2" t="n">
        <v>5</v>
      </c>
    </row>
    <row r="1903" customFormat="false" ht="15" hidden="false" customHeight="false" outlineLevel="0" collapsed="false">
      <c r="A1903" s="2" t="s">
        <v>1299</v>
      </c>
      <c r="B1903" s="2" t="s">
        <v>409</v>
      </c>
      <c r="C1903" s="2" t="n">
        <v>25</v>
      </c>
      <c r="D1903" s="2" t="s">
        <v>54</v>
      </c>
      <c r="E1903" s="2" t="s">
        <v>3042</v>
      </c>
      <c r="F1903" s="2" t="n">
        <v>12.5</v>
      </c>
      <c r="G1903" s="2" t="n">
        <v>37.5</v>
      </c>
      <c r="H1903" s="2" t="s">
        <v>1689</v>
      </c>
      <c r="I1903" s="2" t="n">
        <v>6</v>
      </c>
    </row>
    <row r="1904" customFormat="false" ht="15" hidden="false" customHeight="false" outlineLevel="0" collapsed="false">
      <c r="A1904" s="2" t="s">
        <v>1299</v>
      </c>
      <c r="B1904" s="2" t="s">
        <v>312</v>
      </c>
      <c r="C1904" s="2" t="n">
        <v>1</v>
      </c>
      <c r="D1904" s="2" t="s">
        <v>1687</v>
      </c>
      <c r="E1904" s="2" t="s">
        <v>2800</v>
      </c>
      <c r="F1904" s="2"/>
      <c r="G1904" s="2" t="n">
        <v>2</v>
      </c>
      <c r="H1904" s="2" t="s">
        <v>1689</v>
      </c>
      <c r="I1904" s="2" t="n">
        <v>7</v>
      </c>
    </row>
    <row r="1905" customFormat="false" ht="15" hidden="false" customHeight="false" outlineLevel="0" collapsed="false">
      <c r="A1905" s="2" t="s">
        <v>1299</v>
      </c>
      <c r="B1905" s="2" t="s">
        <v>301</v>
      </c>
      <c r="C1905" s="2" t="n">
        <v>15</v>
      </c>
      <c r="D1905" s="2" t="s">
        <v>54</v>
      </c>
      <c r="E1905" s="2" t="s">
        <v>3043</v>
      </c>
      <c r="F1905" s="2" t="n">
        <v>7.5</v>
      </c>
      <c r="G1905" s="2" t="n">
        <v>22.5</v>
      </c>
      <c r="H1905" s="2" t="s">
        <v>1689</v>
      </c>
      <c r="I1905" s="2" t="n">
        <v>8</v>
      </c>
    </row>
    <row r="1906" customFormat="false" ht="15" hidden="false" customHeight="false" outlineLevel="0" collapsed="false">
      <c r="A1906" s="2" t="s">
        <v>1299</v>
      </c>
      <c r="B1906" s="2" t="s">
        <v>365</v>
      </c>
      <c r="C1906" s="2" t="n">
        <v>0.25</v>
      </c>
      <c r="D1906" s="2" t="s">
        <v>1687</v>
      </c>
      <c r="E1906" s="2" t="s">
        <v>3044</v>
      </c>
      <c r="F1906" s="2"/>
      <c r="G1906" s="2" t="n">
        <v>1.25</v>
      </c>
      <c r="H1906" s="2" t="s">
        <v>1689</v>
      </c>
      <c r="I1906" s="2" t="n">
        <v>9</v>
      </c>
    </row>
    <row r="1907" customFormat="false" ht="15" hidden="false" customHeight="false" outlineLevel="0" collapsed="false">
      <c r="A1907" s="2" t="s">
        <v>1299</v>
      </c>
      <c r="B1907" s="2" t="s">
        <v>506</v>
      </c>
      <c r="C1907" s="2" t="n">
        <v>50</v>
      </c>
      <c r="D1907" s="2" t="s">
        <v>76</v>
      </c>
      <c r="E1907" s="2" t="s">
        <v>3045</v>
      </c>
      <c r="F1907" s="2" t="n">
        <v>25</v>
      </c>
      <c r="G1907" s="2" t="n">
        <v>75</v>
      </c>
      <c r="H1907" s="2" t="s">
        <v>1693</v>
      </c>
      <c r="I1907" s="2" t="n">
        <v>10</v>
      </c>
    </row>
    <row r="1908" customFormat="false" ht="15" hidden="false" customHeight="false" outlineLevel="0" collapsed="false">
      <c r="A1908" s="2" t="s">
        <v>1303</v>
      </c>
      <c r="B1908" s="2" t="s">
        <v>359</v>
      </c>
      <c r="C1908" s="2" t="n">
        <v>140</v>
      </c>
      <c r="D1908" s="2" t="s">
        <v>54</v>
      </c>
      <c r="E1908" s="2" t="s">
        <v>3046</v>
      </c>
      <c r="F1908" s="2" t="n">
        <v>70</v>
      </c>
      <c r="G1908" s="2" t="n">
        <v>210</v>
      </c>
      <c r="H1908" s="2" t="s">
        <v>1693</v>
      </c>
      <c r="I1908" s="2" t="n">
        <v>1</v>
      </c>
    </row>
    <row r="1909" customFormat="false" ht="15" hidden="false" customHeight="false" outlineLevel="0" collapsed="false">
      <c r="A1909" s="2" t="s">
        <v>1303</v>
      </c>
      <c r="B1909" s="2" t="s">
        <v>446</v>
      </c>
      <c r="C1909" s="2" t="n">
        <v>100</v>
      </c>
      <c r="D1909" s="2" t="s">
        <v>54</v>
      </c>
      <c r="E1909" s="2" t="s">
        <v>3047</v>
      </c>
      <c r="F1909" s="2" t="n">
        <v>50</v>
      </c>
      <c r="G1909" s="2" t="n">
        <v>150</v>
      </c>
      <c r="H1909" s="2" t="s">
        <v>1689</v>
      </c>
      <c r="I1909" s="2" t="n">
        <v>2</v>
      </c>
    </row>
    <row r="1910" customFormat="false" ht="15" hidden="false" customHeight="false" outlineLevel="0" collapsed="false">
      <c r="A1910" s="2" t="s">
        <v>1303</v>
      </c>
      <c r="B1910" s="2" t="s">
        <v>74</v>
      </c>
      <c r="C1910" s="2" t="n">
        <v>15</v>
      </c>
      <c r="D1910" s="2" t="s">
        <v>76</v>
      </c>
      <c r="E1910" s="2" t="s">
        <v>3048</v>
      </c>
      <c r="F1910" s="2" t="n">
        <v>7.5</v>
      </c>
      <c r="G1910" s="2" t="n">
        <v>22.5</v>
      </c>
      <c r="H1910" s="2" t="s">
        <v>1689</v>
      </c>
      <c r="I1910" s="2" t="n">
        <v>3</v>
      </c>
    </row>
    <row r="1911" customFormat="false" ht="15" hidden="false" customHeight="false" outlineLevel="0" collapsed="false">
      <c r="A1911" s="2" t="s">
        <v>1303</v>
      </c>
      <c r="B1911" s="2" t="s">
        <v>210</v>
      </c>
      <c r="C1911" s="2" t="n">
        <v>80</v>
      </c>
      <c r="D1911" s="2" t="s">
        <v>54</v>
      </c>
      <c r="E1911" s="2" t="s">
        <v>3049</v>
      </c>
      <c r="F1911" s="2" t="n">
        <v>40</v>
      </c>
      <c r="G1911" s="2" t="n">
        <v>120</v>
      </c>
      <c r="H1911" s="2" t="s">
        <v>1689</v>
      </c>
      <c r="I1911" s="2" t="n">
        <v>4</v>
      </c>
    </row>
    <row r="1912" customFormat="false" ht="15" hidden="false" customHeight="false" outlineLevel="0" collapsed="false">
      <c r="A1912" s="2" t="s">
        <v>1303</v>
      </c>
      <c r="B1912" s="2" t="s">
        <v>129</v>
      </c>
      <c r="C1912" s="2" t="n">
        <v>4.5</v>
      </c>
      <c r="D1912" s="2" t="s">
        <v>54</v>
      </c>
      <c r="E1912" s="2" t="s">
        <v>2929</v>
      </c>
      <c r="F1912" s="2" t="n">
        <v>2.25</v>
      </c>
      <c r="G1912" s="2" t="n">
        <v>6.75</v>
      </c>
      <c r="H1912" s="2" t="s">
        <v>1700</v>
      </c>
      <c r="I1912" s="2" t="n">
        <v>5</v>
      </c>
    </row>
    <row r="1913" customFormat="false" ht="15" hidden="false" customHeight="false" outlineLevel="0" collapsed="false">
      <c r="A1913" s="2" t="s">
        <v>1303</v>
      </c>
      <c r="B1913" s="2" t="s">
        <v>312</v>
      </c>
      <c r="C1913" s="2" t="n">
        <v>1</v>
      </c>
      <c r="D1913" s="2" t="s">
        <v>1687</v>
      </c>
      <c r="E1913" s="2" t="s">
        <v>2967</v>
      </c>
      <c r="F1913" s="2"/>
      <c r="G1913" s="2" t="n">
        <v>2</v>
      </c>
      <c r="H1913" s="2" t="s">
        <v>1689</v>
      </c>
      <c r="I1913" s="2" t="n">
        <v>6</v>
      </c>
    </row>
    <row r="1914" customFormat="false" ht="15" hidden="false" customHeight="false" outlineLevel="0" collapsed="false">
      <c r="A1914" s="2" t="s">
        <v>1303</v>
      </c>
      <c r="B1914" s="2" t="s">
        <v>301</v>
      </c>
      <c r="C1914" s="2" t="n">
        <v>1</v>
      </c>
      <c r="D1914" s="2" t="s">
        <v>54</v>
      </c>
      <c r="E1914" s="2" t="s">
        <v>3050</v>
      </c>
      <c r="F1914" s="2" t="n">
        <v>0.5</v>
      </c>
      <c r="G1914" s="2" t="n">
        <v>1.5</v>
      </c>
      <c r="H1914" s="2" t="s">
        <v>1689</v>
      </c>
      <c r="I1914" s="2" t="n">
        <v>7</v>
      </c>
    </row>
    <row r="1915" customFormat="false" ht="15" hidden="false" customHeight="false" outlineLevel="0" collapsed="false">
      <c r="A1915" s="2" t="s">
        <v>1303</v>
      </c>
      <c r="B1915" s="2" t="s">
        <v>506</v>
      </c>
      <c r="C1915" s="2" t="n">
        <v>100</v>
      </c>
      <c r="D1915" s="2" t="s">
        <v>76</v>
      </c>
      <c r="E1915" s="2" t="s">
        <v>2642</v>
      </c>
      <c r="F1915" s="2" t="n">
        <v>50</v>
      </c>
      <c r="G1915" s="2" t="n">
        <v>150</v>
      </c>
      <c r="H1915" s="2" t="s">
        <v>1693</v>
      </c>
      <c r="I1915" s="2" t="n">
        <v>8</v>
      </c>
    </row>
    <row r="1916" customFormat="false" ht="15" hidden="false" customHeight="false" outlineLevel="0" collapsed="false">
      <c r="A1916" s="2" t="s">
        <v>1303</v>
      </c>
      <c r="B1916" s="2" t="s">
        <v>460</v>
      </c>
      <c r="C1916" s="2" t="n">
        <v>50</v>
      </c>
      <c r="D1916" s="2" t="s">
        <v>76</v>
      </c>
      <c r="E1916" s="2" t="s">
        <v>3051</v>
      </c>
      <c r="F1916" s="2" t="n">
        <v>25</v>
      </c>
      <c r="G1916" s="2" t="n">
        <v>75</v>
      </c>
      <c r="H1916" s="2" t="s">
        <v>1689</v>
      </c>
      <c r="I1916" s="2" t="n">
        <v>9</v>
      </c>
    </row>
    <row r="1917" customFormat="false" ht="15" hidden="false" customHeight="false" outlineLevel="0" collapsed="false">
      <c r="A1917" s="2" t="s">
        <v>1307</v>
      </c>
      <c r="B1917" s="2" t="s">
        <v>446</v>
      </c>
      <c r="C1917" s="2" t="n">
        <v>180</v>
      </c>
      <c r="D1917" s="2" t="s">
        <v>54</v>
      </c>
      <c r="E1917" s="2" t="s">
        <v>3052</v>
      </c>
      <c r="F1917" s="2" t="n">
        <v>90</v>
      </c>
      <c r="G1917" s="2" t="n">
        <v>270</v>
      </c>
      <c r="H1917" s="2" t="s">
        <v>1689</v>
      </c>
      <c r="I1917" s="2" t="n">
        <v>1</v>
      </c>
    </row>
    <row r="1918" customFormat="false" ht="15" hidden="false" customHeight="false" outlineLevel="0" collapsed="false">
      <c r="A1918" s="2" t="s">
        <v>1307</v>
      </c>
      <c r="B1918" s="2" t="s">
        <v>129</v>
      </c>
      <c r="C1918" s="2" t="n">
        <v>4.5</v>
      </c>
      <c r="D1918" s="2" t="s">
        <v>54</v>
      </c>
      <c r="E1918" s="2" t="s">
        <v>2929</v>
      </c>
      <c r="F1918" s="2" t="n">
        <v>2.25</v>
      </c>
      <c r="G1918" s="2" t="n">
        <v>6.75</v>
      </c>
      <c r="H1918" s="2" t="s">
        <v>1700</v>
      </c>
      <c r="I1918" s="2" t="n">
        <v>2</v>
      </c>
    </row>
    <row r="1919" customFormat="false" ht="15" hidden="false" customHeight="false" outlineLevel="0" collapsed="false">
      <c r="A1919" s="2" t="s">
        <v>1307</v>
      </c>
      <c r="B1919" s="2" t="s">
        <v>221</v>
      </c>
      <c r="C1919" s="2" t="n">
        <v>50</v>
      </c>
      <c r="D1919" s="2" t="s">
        <v>54</v>
      </c>
      <c r="E1919" s="2" t="s">
        <v>3053</v>
      </c>
      <c r="F1919" s="2" t="n">
        <v>25</v>
      </c>
      <c r="G1919" s="2" t="n">
        <v>75</v>
      </c>
      <c r="H1919" s="2" t="s">
        <v>1693</v>
      </c>
      <c r="I1919" s="2" t="n">
        <v>3</v>
      </c>
    </row>
    <row r="1920" customFormat="false" ht="15" hidden="false" customHeight="false" outlineLevel="0" collapsed="false">
      <c r="A1920" s="2" t="s">
        <v>1307</v>
      </c>
      <c r="B1920" s="2" t="s">
        <v>386</v>
      </c>
      <c r="C1920" s="2" t="n">
        <v>20</v>
      </c>
      <c r="D1920" s="2" t="s">
        <v>54</v>
      </c>
      <c r="E1920" s="2" t="s">
        <v>3054</v>
      </c>
      <c r="F1920" s="2" t="n">
        <v>10</v>
      </c>
      <c r="G1920" s="2" t="n">
        <v>30</v>
      </c>
      <c r="H1920" s="2" t="s">
        <v>1700</v>
      </c>
      <c r="I1920" s="2" t="n">
        <v>4</v>
      </c>
    </row>
    <row r="1921" customFormat="false" ht="15" hidden="false" customHeight="false" outlineLevel="0" collapsed="false">
      <c r="A1921" s="2" t="s">
        <v>1307</v>
      </c>
      <c r="B1921" s="2" t="s">
        <v>148</v>
      </c>
      <c r="C1921" s="2" t="n">
        <v>30</v>
      </c>
      <c r="D1921" s="2" t="s">
        <v>54</v>
      </c>
      <c r="E1921" s="2" t="s">
        <v>2794</v>
      </c>
      <c r="F1921" s="2" t="n">
        <v>15</v>
      </c>
      <c r="G1921" s="2" t="n">
        <v>45</v>
      </c>
      <c r="H1921" s="2" t="s">
        <v>1693</v>
      </c>
      <c r="I1921" s="2" t="n">
        <v>5</v>
      </c>
    </row>
    <row r="1922" customFormat="false" ht="15" hidden="false" customHeight="false" outlineLevel="0" collapsed="false">
      <c r="A1922" s="2" t="s">
        <v>1307</v>
      </c>
      <c r="B1922" s="2" t="s">
        <v>301</v>
      </c>
      <c r="C1922" s="2" t="n">
        <v>5</v>
      </c>
      <c r="D1922" s="2" t="s">
        <v>54</v>
      </c>
      <c r="E1922" s="2" t="s">
        <v>3055</v>
      </c>
      <c r="F1922" s="2" t="n">
        <v>2.5</v>
      </c>
      <c r="G1922" s="2" t="n">
        <v>7.5</v>
      </c>
      <c r="H1922" s="2" t="s">
        <v>1689</v>
      </c>
      <c r="I1922" s="2" t="n">
        <v>6</v>
      </c>
    </row>
    <row r="1923" customFormat="false" ht="15" hidden="false" customHeight="false" outlineLevel="0" collapsed="false">
      <c r="A1923" s="2" t="s">
        <v>1307</v>
      </c>
      <c r="B1923" s="2" t="s">
        <v>480</v>
      </c>
      <c r="C1923" s="2" t="n">
        <v>1</v>
      </c>
      <c r="D1923" s="2" t="s">
        <v>54</v>
      </c>
      <c r="E1923" s="2" t="s">
        <v>3056</v>
      </c>
      <c r="F1923" s="2" t="n">
        <v>0.5</v>
      </c>
      <c r="G1923" s="2" t="n">
        <v>1.5</v>
      </c>
      <c r="H1923" s="2" t="s">
        <v>1689</v>
      </c>
      <c r="I1923" s="2" t="n">
        <v>7</v>
      </c>
    </row>
    <row r="1924" customFormat="false" ht="15" hidden="false" customHeight="false" outlineLevel="0" collapsed="false">
      <c r="A1924" s="2" t="s">
        <v>1311</v>
      </c>
      <c r="B1924" s="2" t="s">
        <v>308</v>
      </c>
      <c r="C1924" s="2" t="n">
        <v>70</v>
      </c>
      <c r="D1924" s="2" t="s">
        <v>54</v>
      </c>
      <c r="E1924" s="2" t="s">
        <v>3057</v>
      </c>
      <c r="F1924" s="2" t="n">
        <v>35</v>
      </c>
      <c r="G1924" s="2" t="n">
        <v>105</v>
      </c>
      <c r="H1924" s="2" t="s">
        <v>1689</v>
      </c>
      <c r="I1924" s="2" t="n">
        <v>1</v>
      </c>
    </row>
    <row r="1925" customFormat="false" ht="15" hidden="false" customHeight="false" outlineLevel="0" collapsed="false">
      <c r="A1925" s="2" t="s">
        <v>1311</v>
      </c>
      <c r="B1925" s="2" t="s">
        <v>448</v>
      </c>
      <c r="C1925" s="2" t="n">
        <v>5</v>
      </c>
      <c r="D1925" s="2" t="s">
        <v>54</v>
      </c>
      <c r="E1925" s="2" t="s">
        <v>3058</v>
      </c>
      <c r="F1925" s="2" t="n">
        <v>2.5</v>
      </c>
      <c r="G1925" s="2" t="n">
        <v>7.5</v>
      </c>
      <c r="H1925" s="2" t="s">
        <v>1700</v>
      </c>
      <c r="I1925" s="2" t="n">
        <v>2</v>
      </c>
    </row>
    <row r="1926" customFormat="false" ht="15" hidden="false" customHeight="false" outlineLevel="0" collapsed="false">
      <c r="A1926" s="2" t="s">
        <v>1311</v>
      </c>
      <c r="B1926" s="2" t="s">
        <v>301</v>
      </c>
      <c r="C1926" s="2" t="n">
        <v>5</v>
      </c>
      <c r="D1926" s="2" t="s">
        <v>54</v>
      </c>
      <c r="E1926" s="2" t="s">
        <v>3059</v>
      </c>
      <c r="F1926" s="2" t="n">
        <v>2.5</v>
      </c>
      <c r="G1926" s="2" t="n">
        <v>7.5</v>
      </c>
      <c r="H1926" s="2" t="s">
        <v>1689</v>
      </c>
      <c r="I1926" s="2" t="n">
        <v>3</v>
      </c>
    </row>
    <row r="1927" customFormat="false" ht="15" hidden="false" customHeight="false" outlineLevel="0" collapsed="false">
      <c r="A1927" s="2" t="s">
        <v>1311</v>
      </c>
      <c r="B1927" s="2" t="s">
        <v>506</v>
      </c>
      <c r="C1927" s="2" t="n">
        <v>50</v>
      </c>
      <c r="D1927" s="2" t="s">
        <v>76</v>
      </c>
      <c r="E1927" s="2" t="s">
        <v>3060</v>
      </c>
      <c r="F1927" s="2" t="n">
        <v>25</v>
      </c>
      <c r="G1927" s="2" t="n">
        <v>75</v>
      </c>
      <c r="H1927" s="2" t="s">
        <v>1693</v>
      </c>
      <c r="I1927" s="2" t="n">
        <v>4</v>
      </c>
    </row>
    <row r="1928" customFormat="false" ht="15" hidden="false" customHeight="false" outlineLevel="0" collapsed="false">
      <c r="A1928" s="2" t="s">
        <v>1311</v>
      </c>
      <c r="B1928" s="2" t="s">
        <v>480</v>
      </c>
      <c r="C1928" s="2" t="n">
        <v>1</v>
      </c>
      <c r="D1928" s="2" t="s">
        <v>54</v>
      </c>
      <c r="E1928" s="2" t="s">
        <v>3061</v>
      </c>
      <c r="F1928" s="2" t="n">
        <v>0.5</v>
      </c>
      <c r="G1928" s="2" t="n">
        <v>1.5</v>
      </c>
      <c r="H1928" s="2" t="s">
        <v>1689</v>
      </c>
      <c r="I1928" s="2" t="n">
        <v>5</v>
      </c>
    </row>
    <row r="1929" customFormat="false" ht="15" hidden="false" customHeight="false" outlineLevel="0" collapsed="false">
      <c r="A1929" s="2" t="s">
        <v>1315</v>
      </c>
      <c r="B1929" s="2" t="s">
        <v>195</v>
      </c>
      <c r="C1929" s="2" t="n">
        <v>150</v>
      </c>
      <c r="D1929" s="2" t="s">
        <v>54</v>
      </c>
      <c r="E1929" s="2" t="s">
        <v>3062</v>
      </c>
      <c r="F1929" s="2" t="n">
        <v>75</v>
      </c>
      <c r="G1929" s="2" t="n">
        <v>225</v>
      </c>
      <c r="H1929" s="2" t="s">
        <v>1693</v>
      </c>
      <c r="I1929" s="2" t="n">
        <v>1</v>
      </c>
    </row>
    <row r="1930" customFormat="false" ht="15" hidden="false" customHeight="false" outlineLevel="0" collapsed="false">
      <c r="A1930" s="2" t="s">
        <v>1315</v>
      </c>
      <c r="B1930" s="2" t="s">
        <v>154</v>
      </c>
      <c r="C1930" s="2" t="n">
        <v>4</v>
      </c>
      <c r="D1930" s="2" t="s">
        <v>54</v>
      </c>
      <c r="E1930" s="2" t="s">
        <v>3063</v>
      </c>
      <c r="F1930" s="2" t="n">
        <v>2</v>
      </c>
      <c r="G1930" s="2" t="n">
        <v>6</v>
      </c>
      <c r="H1930" s="2" t="s">
        <v>1700</v>
      </c>
      <c r="I1930" s="2" t="n">
        <v>2</v>
      </c>
    </row>
    <row r="1931" customFormat="false" ht="15" hidden="false" customHeight="false" outlineLevel="0" collapsed="false">
      <c r="A1931" s="2" t="s">
        <v>1315</v>
      </c>
      <c r="B1931" s="2" t="s">
        <v>365</v>
      </c>
      <c r="C1931" s="2" t="n">
        <v>0.25</v>
      </c>
      <c r="D1931" s="2" t="s">
        <v>1687</v>
      </c>
      <c r="E1931" s="2" t="s">
        <v>3064</v>
      </c>
      <c r="F1931" s="2"/>
      <c r="G1931" s="2" t="n">
        <v>1.25</v>
      </c>
      <c r="H1931" s="2" t="s">
        <v>1689</v>
      </c>
      <c r="I1931" s="2" t="n">
        <v>3</v>
      </c>
    </row>
    <row r="1932" customFormat="false" ht="15" hidden="false" customHeight="false" outlineLevel="0" collapsed="false">
      <c r="A1932" s="2" t="s">
        <v>1315</v>
      </c>
      <c r="B1932" s="2" t="s">
        <v>271</v>
      </c>
      <c r="C1932" s="2" t="n">
        <v>1</v>
      </c>
      <c r="D1932" s="2" t="s">
        <v>54</v>
      </c>
      <c r="E1932" s="2" t="s">
        <v>1939</v>
      </c>
      <c r="F1932" s="2" t="n">
        <v>0.5</v>
      </c>
      <c r="G1932" s="2" t="n">
        <v>1.5</v>
      </c>
      <c r="H1932" s="2" t="s">
        <v>1689</v>
      </c>
      <c r="I1932" s="2" t="n">
        <v>4</v>
      </c>
    </row>
    <row r="1933" customFormat="false" ht="15" hidden="false" customHeight="false" outlineLevel="0" collapsed="false">
      <c r="A1933" s="2" t="s">
        <v>1315</v>
      </c>
      <c r="B1933" s="2" t="s">
        <v>480</v>
      </c>
      <c r="C1933" s="2" t="n">
        <v>1</v>
      </c>
      <c r="D1933" s="2" t="s">
        <v>54</v>
      </c>
      <c r="E1933" s="2" t="s">
        <v>3065</v>
      </c>
      <c r="F1933" s="2" t="n">
        <v>0.5</v>
      </c>
      <c r="G1933" s="2" t="n">
        <v>1.5</v>
      </c>
      <c r="H1933" s="2" t="s">
        <v>1689</v>
      </c>
      <c r="I1933" s="2" t="n">
        <v>5</v>
      </c>
    </row>
    <row r="1934" customFormat="false" ht="15" hidden="false" customHeight="false" outlineLevel="0" collapsed="false">
      <c r="A1934" s="2" t="s">
        <v>1319</v>
      </c>
      <c r="B1934" s="2" t="s">
        <v>323</v>
      </c>
      <c r="C1934" s="2" t="n">
        <v>120</v>
      </c>
      <c r="D1934" s="2" t="s">
        <v>54</v>
      </c>
      <c r="E1934" s="2" t="s">
        <v>3066</v>
      </c>
      <c r="F1934" s="2" t="n">
        <v>60</v>
      </c>
      <c r="G1934" s="2" t="n">
        <v>180</v>
      </c>
      <c r="H1934" s="2" t="s">
        <v>1689</v>
      </c>
      <c r="I1934" s="2" t="n">
        <v>1</v>
      </c>
    </row>
    <row r="1935" customFormat="false" ht="15" hidden="false" customHeight="false" outlineLevel="0" collapsed="false">
      <c r="A1935" s="2" t="s">
        <v>1319</v>
      </c>
      <c r="B1935" s="2" t="s">
        <v>420</v>
      </c>
      <c r="C1935" s="2" t="n">
        <v>8</v>
      </c>
      <c r="D1935" s="2" t="s">
        <v>54</v>
      </c>
      <c r="E1935" s="2" t="s">
        <v>3067</v>
      </c>
      <c r="F1935" s="2" t="n">
        <v>4</v>
      </c>
      <c r="G1935" s="2" t="n">
        <v>12</v>
      </c>
      <c r="H1935" s="2" t="s">
        <v>1693</v>
      </c>
      <c r="I1935" s="2" t="n">
        <v>2</v>
      </c>
    </row>
    <row r="1936" customFormat="false" ht="15" hidden="false" customHeight="false" outlineLevel="0" collapsed="false">
      <c r="A1936" s="2" t="s">
        <v>1319</v>
      </c>
      <c r="B1936" s="2" t="s">
        <v>480</v>
      </c>
      <c r="C1936" s="2" t="n">
        <v>1</v>
      </c>
      <c r="D1936" s="2" t="s">
        <v>54</v>
      </c>
      <c r="E1936" s="2" t="s">
        <v>3061</v>
      </c>
      <c r="F1936" s="2" t="n">
        <v>0.5</v>
      </c>
      <c r="G1936" s="2" t="n">
        <v>1.5</v>
      </c>
      <c r="H1936" s="2" t="s">
        <v>1689</v>
      </c>
      <c r="I1936" s="2" t="n">
        <v>3</v>
      </c>
    </row>
    <row r="1937" customFormat="false" ht="15" hidden="false" customHeight="false" outlineLevel="0" collapsed="false">
      <c r="A1937" s="2" t="s">
        <v>1319</v>
      </c>
      <c r="B1937" s="2" t="s">
        <v>480</v>
      </c>
      <c r="C1937" s="2" t="n">
        <v>1</v>
      </c>
      <c r="D1937" s="2" t="s">
        <v>54</v>
      </c>
      <c r="E1937" s="2" t="s">
        <v>3068</v>
      </c>
      <c r="F1937" s="2" t="n">
        <v>0.5</v>
      </c>
      <c r="G1937" s="2" t="n">
        <v>1.5</v>
      </c>
      <c r="H1937" s="2" t="s">
        <v>1689</v>
      </c>
      <c r="I1937" s="2" t="n">
        <v>4</v>
      </c>
    </row>
    <row r="1938" customFormat="false" ht="15" hidden="false" customHeight="false" outlineLevel="0" collapsed="false">
      <c r="A1938" s="2" t="s">
        <v>1323</v>
      </c>
      <c r="B1938" s="2" t="s">
        <v>214</v>
      </c>
      <c r="C1938" s="2" t="n">
        <v>200</v>
      </c>
      <c r="D1938" s="2" t="s">
        <v>54</v>
      </c>
      <c r="E1938" s="2" t="s">
        <v>3069</v>
      </c>
      <c r="F1938" s="2" t="n">
        <v>100</v>
      </c>
      <c r="G1938" s="2" t="n">
        <v>300</v>
      </c>
      <c r="H1938" s="2" t="s">
        <v>1689</v>
      </c>
      <c r="I1938" s="2" t="n">
        <v>1</v>
      </c>
    </row>
    <row r="1939" customFormat="false" ht="15" hidden="false" customHeight="false" outlineLevel="0" collapsed="false">
      <c r="A1939" s="2" t="s">
        <v>1323</v>
      </c>
      <c r="B1939" s="2" t="s">
        <v>249</v>
      </c>
      <c r="C1939" s="2" t="n">
        <v>10</v>
      </c>
      <c r="D1939" s="2" t="s">
        <v>54</v>
      </c>
      <c r="E1939" s="2" t="s">
        <v>3070</v>
      </c>
      <c r="F1939" s="2" t="n">
        <v>5</v>
      </c>
      <c r="G1939" s="2" t="n">
        <v>15</v>
      </c>
      <c r="H1939" s="2" t="s">
        <v>1689</v>
      </c>
      <c r="I1939" s="2" t="n">
        <v>2</v>
      </c>
    </row>
    <row r="1940" customFormat="false" ht="15" hidden="false" customHeight="false" outlineLevel="0" collapsed="false">
      <c r="A1940" s="2" t="s">
        <v>1323</v>
      </c>
      <c r="B1940" s="2" t="s">
        <v>377</v>
      </c>
      <c r="C1940" s="2" t="n">
        <v>1</v>
      </c>
      <c r="D1940" s="2" t="s">
        <v>54</v>
      </c>
      <c r="E1940" s="2" t="s">
        <v>3071</v>
      </c>
      <c r="F1940" s="2" t="n">
        <v>0.5</v>
      </c>
      <c r="G1940" s="2" t="n">
        <v>1.5</v>
      </c>
      <c r="H1940" s="2" t="s">
        <v>1700</v>
      </c>
      <c r="I1940" s="2" t="n">
        <v>3</v>
      </c>
    </row>
    <row r="1941" customFormat="false" ht="15" hidden="false" customHeight="false" outlineLevel="0" collapsed="false">
      <c r="A1941" s="2" t="s">
        <v>1323</v>
      </c>
      <c r="B1941" s="2" t="s">
        <v>148</v>
      </c>
      <c r="C1941" s="2" t="n">
        <v>20</v>
      </c>
      <c r="D1941" s="2" t="s">
        <v>54</v>
      </c>
      <c r="E1941" s="2" t="s">
        <v>3072</v>
      </c>
      <c r="F1941" s="2" t="n">
        <v>10</v>
      </c>
      <c r="G1941" s="2" t="n">
        <v>30</v>
      </c>
      <c r="H1941" s="2" t="s">
        <v>1693</v>
      </c>
      <c r="I1941" s="2" t="n">
        <v>4</v>
      </c>
    </row>
    <row r="1942" customFormat="false" ht="15" hidden="false" customHeight="false" outlineLevel="0" collapsed="false">
      <c r="A1942" s="2" t="s">
        <v>1323</v>
      </c>
      <c r="B1942" s="2" t="s">
        <v>502</v>
      </c>
      <c r="C1942" s="2" t="n">
        <v>7</v>
      </c>
      <c r="D1942" s="2" t="s">
        <v>54</v>
      </c>
      <c r="E1942" s="2" t="s">
        <v>3073</v>
      </c>
      <c r="F1942" s="2" t="n">
        <v>3.5</v>
      </c>
      <c r="G1942" s="2" t="n">
        <v>10.5</v>
      </c>
      <c r="H1942" s="2" t="s">
        <v>1689</v>
      </c>
      <c r="I1942" s="2" t="n">
        <v>5</v>
      </c>
    </row>
    <row r="1943" customFormat="false" ht="15" hidden="false" customHeight="false" outlineLevel="0" collapsed="false">
      <c r="A1943" s="2" t="s">
        <v>1323</v>
      </c>
      <c r="B1943" s="2" t="s">
        <v>271</v>
      </c>
      <c r="C1943" s="2" t="n">
        <v>0.625</v>
      </c>
      <c r="D1943" s="2" t="s">
        <v>54</v>
      </c>
      <c r="E1943" s="2" t="s">
        <v>3074</v>
      </c>
      <c r="F1943" s="2" t="n">
        <v>0.31</v>
      </c>
      <c r="G1943" s="2" t="n">
        <v>0.94</v>
      </c>
      <c r="H1943" s="2" t="s">
        <v>1689</v>
      </c>
      <c r="I1943" s="2" t="n">
        <v>6</v>
      </c>
    </row>
    <row r="1944" customFormat="false" ht="15" hidden="false" customHeight="false" outlineLevel="0" collapsed="false">
      <c r="A1944" s="2" t="s">
        <v>1323</v>
      </c>
      <c r="B1944" s="2" t="s">
        <v>271</v>
      </c>
      <c r="C1944" s="2" t="n">
        <v>0.625</v>
      </c>
      <c r="D1944" s="2" t="s">
        <v>54</v>
      </c>
      <c r="E1944" s="2" t="s">
        <v>3075</v>
      </c>
      <c r="F1944" s="2" t="n">
        <v>0.31</v>
      </c>
      <c r="G1944" s="2" t="n">
        <v>0.94</v>
      </c>
      <c r="H1944" s="2" t="s">
        <v>1689</v>
      </c>
      <c r="I1944" s="2" t="n">
        <v>7</v>
      </c>
    </row>
    <row r="1945" customFormat="false" ht="15" hidden="false" customHeight="false" outlineLevel="0" collapsed="false">
      <c r="A1945" s="2" t="s">
        <v>1323</v>
      </c>
      <c r="B1945" s="2" t="s">
        <v>500</v>
      </c>
      <c r="C1945" s="2" t="n">
        <v>1</v>
      </c>
      <c r="D1945" s="2" t="s">
        <v>1687</v>
      </c>
      <c r="E1945" s="2" t="s">
        <v>3076</v>
      </c>
      <c r="F1945" s="2"/>
      <c r="G1945" s="2" t="n">
        <v>2</v>
      </c>
      <c r="H1945" s="2" t="s">
        <v>1689</v>
      </c>
      <c r="I1945" s="2" t="n">
        <v>8</v>
      </c>
    </row>
    <row r="1946" customFormat="false" ht="15" hidden="false" customHeight="false" outlineLevel="0" collapsed="false">
      <c r="A1946" s="2" t="s">
        <v>1327</v>
      </c>
      <c r="B1946" s="2" t="s">
        <v>524</v>
      </c>
      <c r="C1946" s="2" t="n">
        <v>150</v>
      </c>
      <c r="D1946" s="2" t="s">
        <v>54</v>
      </c>
      <c r="E1946" s="2" t="s">
        <v>3077</v>
      </c>
      <c r="F1946" s="2" t="n">
        <v>75</v>
      </c>
      <c r="G1946" s="2" t="n">
        <v>225</v>
      </c>
      <c r="H1946" s="2" t="s">
        <v>1689</v>
      </c>
      <c r="I1946" s="2" t="n">
        <v>1</v>
      </c>
    </row>
    <row r="1947" customFormat="false" ht="15" hidden="false" customHeight="false" outlineLevel="0" collapsed="false">
      <c r="A1947" s="2" t="s">
        <v>1327</v>
      </c>
      <c r="B1947" s="2" t="s">
        <v>458</v>
      </c>
      <c r="C1947" s="2" t="n">
        <v>20</v>
      </c>
      <c r="D1947" s="2" t="s">
        <v>54</v>
      </c>
      <c r="E1947" s="2" t="s">
        <v>3078</v>
      </c>
      <c r="F1947" s="2" t="n">
        <v>10</v>
      </c>
      <c r="G1947" s="2" t="n">
        <v>30</v>
      </c>
      <c r="H1947" s="2" t="s">
        <v>1689</v>
      </c>
      <c r="I1947" s="2" t="n">
        <v>2</v>
      </c>
    </row>
    <row r="1948" customFormat="false" ht="15" hidden="false" customHeight="false" outlineLevel="0" collapsed="false">
      <c r="A1948" s="2" t="s">
        <v>1327</v>
      </c>
      <c r="B1948" s="2" t="s">
        <v>375</v>
      </c>
      <c r="C1948" s="2" t="n">
        <v>0.25</v>
      </c>
      <c r="D1948" s="2" t="s">
        <v>1687</v>
      </c>
      <c r="E1948" s="2" t="s">
        <v>3079</v>
      </c>
      <c r="F1948" s="2"/>
      <c r="G1948" s="2" t="n">
        <v>1.25</v>
      </c>
      <c r="H1948" s="2" t="s">
        <v>1689</v>
      </c>
      <c r="I1948" s="2" t="n">
        <v>3</v>
      </c>
    </row>
    <row r="1949" customFormat="false" ht="15" hidden="false" customHeight="false" outlineLevel="0" collapsed="false">
      <c r="A1949" s="2" t="s">
        <v>1327</v>
      </c>
      <c r="B1949" s="2" t="s">
        <v>301</v>
      </c>
      <c r="C1949" s="2" t="n">
        <v>5</v>
      </c>
      <c r="D1949" s="2" t="s">
        <v>54</v>
      </c>
      <c r="E1949" s="2" t="s">
        <v>3080</v>
      </c>
      <c r="F1949" s="2" t="n">
        <v>2.5</v>
      </c>
      <c r="G1949" s="2" t="n">
        <v>7.5</v>
      </c>
      <c r="H1949" s="2" t="s">
        <v>1689</v>
      </c>
      <c r="I1949" s="2" t="n">
        <v>4</v>
      </c>
    </row>
    <row r="1950" customFormat="false" ht="15" hidden="false" customHeight="false" outlineLevel="0" collapsed="false">
      <c r="A1950" s="2" t="s">
        <v>1327</v>
      </c>
      <c r="B1950" s="2" t="s">
        <v>271</v>
      </c>
      <c r="C1950" s="2" t="n">
        <v>1</v>
      </c>
      <c r="D1950" s="2" t="s">
        <v>54</v>
      </c>
      <c r="E1950" s="2" t="s">
        <v>1939</v>
      </c>
      <c r="F1950" s="2" t="n">
        <v>0.5</v>
      </c>
      <c r="G1950" s="2" t="n">
        <v>1.5</v>
      </c>
      <c r="H1950" s="2" t="s">
        <v>1689</v>
      </c>
      <c r="I1950" s="2" t="n">
        <v>5</v>
      </c>
    </row>
    <row r="1951" customFormat="false" ht="15" hidden="false" customHeight="false" outlineLevel="0" collapsed="false">
      <c r="A1951" s="2" t="s">
        <v>1327</v>
      </c>
      <c r="B1951" s="2" t="s">
        <v>480</v>
      </c>
      <c r="C1951" s="2" t="n">
        <v>1</v>
      </c>
      <c r="D1951" s="2" t="s">
        <v>54</v>
      </c>
      <c r="E1951" s="2" t="s">
        <v>3068</v>
      </c>
      <c r="F1951" s="2" t="n">
        <v>0.5</v>
      </c>
      <c r="G1951" s="2" t="n">
        <v>1.5</v>
      </c>
      <c r="H1951" s="2" t="s">
        <v>1689</v>
      </c>
      <c r="I1951" s="2" t="n">
        <v>6</v>
      </c>
    </row>
    <row r="1952" customFormat="false" ht="15" hidden="false" customHeight="false" outlineLevel="0" collapsed="false">
      <c r="A1952" s="2" t="s">
        <v>1331</v>
      </c>
      <c r="B1952" s="2" t="s">
        <v>446</v>
      </c>
      <c r="C1952" s="2" t="n">
        <v>120</v>
      </c>
      <c r="D1952" s="2" t="s">
        <v>54</v>
      </c>
      <c r="E1952" s="2" t="s">
        <v>3081</v>
      </c>
      <c r="F1952" s="2" t="n">
        <v>60</v>
      </c>
      <c r="G1952" s="2" t="n">
        <v>180</v>
      </c>
      <c r="H1952" s="2" t="s">
        <v>1689</v>
      </c>
      <c r="I1952" s="2" t="n">
        <v>1</v>
      </c>
    </row>
    <row r="1953" customFormat="false" ht="15" hidden="false" customHeight="false" outlineLevel="0" collapsed="false">
      <c r="A1953" s="2" t="s">
        <v>1331</v>
      </c>
      <c r="B1953" s="2" t="s">
        <v>409</v>
      </c>
      <c r="C1953" s="2" t="n">
        <v>37.5</v>
      </c>
      <c r="D1953" s="2" t="s">
        <v>54</v>
      </c>
      <c r="E1953" s="2" t="s">
        <v>2991</v>
      </c>
      <c r="F1953" s="2" t="n">
        <v>18.75</v>
      </c>
      <c r="G1953" s="2" t="n">
        <v>56.25</v>
      </c>
      <c r="H1953" s="2" t="s">
        <v>1689</v>
      </c>
      <c r="I1953" s="2" t="n">
        <v>2</v>
      </c>
    </row>
    <row r="1954" customFormat="false" ht="15" hidden="false" customHeight="false" outlineLevel="0" collapsed="false">
      <c r="A1954" s="2" t="s">
        <v>1331</v>
      </c>
      <c r="B1954" s="2" t="s">
        <v>540</v>
      </c>
      <c r="C1954" s="2" t="n">
        <v>4.5</v>
      </c>
      <c r="D1954" s="2" t="s">
        <v>54</v>
      </c>
      <c r="E1954" s="2" t="s">
        <v>3082</v>
      </c>
      <c r="F1954" s="2" t="n">
        <v>2.25</v>
      </c>
      <c r="G1954" s="2" t="n">
        <v>6.75</v>
      </c>
      <c r="H1954" s="2" t="s">
        <v>1700</v>
      </c>
      <c r="I1954" s="2" t="n">
        <v>3</v>
      </c>
    </row>
    <row r="1955" customFormat="false" ht="15" hidden="false" customHeight="false" outlineLevel="0" collapsed="false">
      <c r="A1955" s="2" t="s">
        <v>1331</v>
      </c>
      <c r="B1955" s="2" t="s">
        <v>404</v>
      </c>
      <c r="C1955" s="2" t="n">
        <v>1.25</v>
      </c>
      <c r="D1955" s="2" t="s">
        <v>54</v>
      </c>
      <c r="E1955" s="2" t="s">
        <v>3083</v>
      </c>
      <c r="F1955" s="2" t="n">
        <v>0.62</v>
      </c>
      <c r="G1955" s="2" t="n">
        <v>1.88</v>
      </c>
      <c r="H1955" s="2" t="s">
        <v>1700</v>
      </c>
      <c r="I1955" s="2" t="n">
        <v>4</v>
      </c>
    </row>
    <row r="1956" customFormat="false" ht="15" hidden="false" customHeight="false" outlineLevel="0" collapsed="false">
      <c r="A1956" s="2" t="s">
        <v>1331</v>
      </c>
      <c r="B1956" s="2" t="s">
        <v>271</v>
      </c>
      <c r="C1956" s="2" t="n">
        <v>1.25</v>
      </c>
      <c r="D1956" s="2" t="s">
        <v>54</v>
      </c>
      <c r="E1956" s="2" t="s">
        <v>3084</v>
      </c>
      <c r="F1956" s="2" t="n">
        <v>0.62</v>
      </c>
      <c r="G1956" s="2" t="n">
        <v>1.88</v>
      </c>
      <c r="H1956" s="2" t="s">
        <v>1689</v>
      </c>
      <c r="I1956" s="2" t="n">
        <v>5</v>
      </c>
    </row>
    <row r="1957" customFormat="false" ht="15" hidden="false" customHeight="false" outlineLevel="0" collapsed="false">
      <c r="A1957" s="2" t="s">
        <v>1331</v>
      </c>
      <c r="B1957" s="2" t="s">
        <v>271</v>
      </c>
      <c r="C1957" s="2" t="n">
        <v>0.625</v>
      </c>
      <c r="D1957" s="2" t="s">
        <v>54</v>
      </c>
      <c r="E1957" s="2" t="s">
        <v>3085</v>
      </c>
      <c r="F1957" s="2" t="n">
        <v>0.31</v>
      </c>
      <c r="G1957" s="2" t="n">
        <v>0.94</v>
      </c>
      <c r="H1957" s="2" t="s">
        <v>1689</v>
      </c>
      <c r="I1957" s="2" t="n">
        <v>6</v>
      </c>
    </row>
    <row r="1958" customFormat="false" ht="15" hidden="false" customHeight="false" outlineLevel="0" collapsed="false">
      <c r="A1958" s="2" t="s">
        <v>1331</v>
      </c>
      <c r="B1958" s="2" t="s">
        <v>271</v>
      </c>
      <c r="C1958" s="2" t="n">
        <v>0.625</v>
      </c>
      <c r="D1958" s="2" t="s">
        <v>54</v>
      </c>
      <c r="E1958" s="2" t="s">
        <v>3086</v>
      </c>
      <c r="F1958" s="2" t="n">
        <v>0.31</v>
      </c>
      <c r="G1958" s="2" t="n">
        <v>0.94</v>
      </c>
      <c r="H1958" s="2" t="s">
        <v>1689</v>
      </c>
      <c r="I1958" s="2" t="n">
        <v>7</v>
      </c>
    </row>
    <row r="1959" customFormat="false" ht="15" hidden="false" customHeight="false" outlineLevel="0" collapsed="false">
      <c r="A1959" s="2" t="s">
        <v>1331</v>
      </c>
      <c r="B1959" s="2" t="s">
        <v>179</v>
      </c>
      <c r="C1959" s="2" t="n">
        <v>1</v>
      </c>
      <c r="D1959" s="2" t="s">
        <v>1687</v>
      </c>
      <c r="E1959" s="2" t="s">
        <v>3087</v>
      </c>
      <c r="F1959" s="2" t="n">
        <v>0.5</v>
      </c>
      <c r="G1959" s="2" t="n">
        <v>1.5</v>
      </c>
      <c r="H1959" s="2" t="s">
        <v>1689</v>
      </c>
      <c r="I1959" s="2" t="n">
        <v>8</v>
      </c>
    </row>
    <row r="1960" customFormat="false" ht="15" hidden="false" customHeight="false" outlineLevel="0" collapsed="false">
      <c r="A1960" s="2" t="s">
        <v>1331</v>
      </c>
      <c r="B1960" s="2" t="s">
        <v>480</v>
      </c>
      <c r="C1960" s="2" t="n">
        <v>1</v>
      </c>
      <c r="D1960" s="2" t="s">
        <v>54</v>
      </c>
      <c r="E1960" s="2" t="s">
        <v>3068</v>
      </c>
      <c r="F1960" s="2" t="n">
        <v>0.5</v>
      </c>
      <c r="G1960" s="2" t="n">
        <v>1.5</v>
      </c>
      <c r="H1960" s="2" t="s">
        <v>1689</v>
      </c>
      <c r="I1960" s="2" t="n">
        <v>9</v>
      </c>
    </row>
    <row r="1961" customFormat="false" ht="15" hidden="false" customHeight="false" outlineLevel="0" collapsed="false">
      <c r="A1961" s="2" t="s">
        <v>1335</v>
      </c>
      <c r="B1961" s="2" t="s">
        <v>498</v>
      </c>
      <c r="C1961" s="2" t="n">
        <v>200</v>
      </c>
      <c r="D1961" s="2" t="s">
        <v>54</v>
      </c>
      <c r="E1961" s="2" t="s">
        <v>3088</v>
      </c>
      <c r="F1961" s="2" t="n">
        <v>100</v>
      </c>
      <c r="G1961" s="2" t="n">
        <v>300</v>
      </c>
      <c r="H1961" s="2" t="s">
        <v>1693</v>
      </c>
      <c r="I1961" s="2" t="n">
        <v>1</v>
      </c>
    </row>
    <row r="1962" customFormat="false" ht="15" hidden="false" customHeight="false" outlineLevel="0" collapsed="false">
      <c r="A1962" s="2" t="s">
        <v>1335</v>
      </c>
      <c r="B1962" s="2" t="s">
        <v>409</v>
      </c>
      <c r="C1962" s="2" t="n">
        <v>37.5</v>
      </c>
      <c r="D1962" s="2" t="s">
        <v>54</v>
      </c>
      <c r="E1962" s="2" t="s">
        <v>3089</v>
      </c>
      <c r="F1962" s="2" t="n">
        <v>18.75</v>
      </c>
      <c r="G1962" s="2" t="n">
        <v>56.25</v>
      </c>
      <c r="H1962" s="2" t="s">
        <v>1689</v>
      </c>
      <c r="I1962" s="2" t="n">
        <v>2</v>
      </c>
    </row>
    <row r="1963" customFormat="false" ht="15" hidden="false" customHeight="false" outlineLevel="0" collapsed="false">
      <c r="A1963" s="2" t="s">
        <v>1335</v>
      </c>
      <c r="B1963" s="2" t="s">
        <v>312</v>
      </c>
      <c r="C1963" s="2" t="n">
        <v>1</v>
      </c>
      <c r="D1963" s="2" t="s">
        <v>1687</v>
      </c>
      <c r="E1963" s="2" t="s">
        <v>2607</v>
      </c>
      <c r="F1963" s="2"/>
      <c r="G1963" s="2" t="n">
        <v>2</v>
      </c>
      <c r="H1963" s="2" t="s">
        <v>1689</v>
      </c>
      <c r="I1963" s="2" t="n">
        <v>3</v>
      </c>
    </row>
    <row r="1964" customFormat="false" ht="15" hidden="false" customHeight="false" outlineLevel="0" collapsed="false">
      <c r="A1964" s="2" t="s">
        <v>1335</v>
      </c>
      <c r="B1964" s="2" t="s">
        <v>299</v>
      </c>
      <c r="C1964" s="2" t="n">
        <v>1</v>
      </c>
      <c r="D1964" s="2" t="s">
        <v>54</v>
      </c>
      <c r="E1964" s="2" t="s">
        <v>2876</v>
      </c>
      <c r="F1964" s="2"/>
      <c r="G1964" s="2" t="n">
        <v>2</v>
      </c>
      <c r="H1964" s="2" t="s">
        <v>1689</v>
      </c>
      <c r="I1964" s="2" t="n">
        <v>4</v>
      </c>
    </row>
    <row r="1965" customFormat="false" ht="15" hidden="false" customHeight="false" outlineLevel="0" collapsed="false">
      <c r="A1965" s="2" t="s">
        <v>1335</v>
      </c>
      <c r="B1965" s="2" t="s">
        <v>540</v>
      </c>
      <c r="C1965" s="2" t="n">
        <v>4.5</v>
      </c>
      <c r="D1965" s="2" t="s">
        <v>54</v>
      </c>
      <c r="E1965" s="2" t="s">
        <v>3082</v>
      </c>
      <c r="F1965" s="2" t="n">
        <v>2.25</v>
      </c>
      <c r="G1965" s="2" t="n">
        <v>6.75</v>
      </c>
      <c r="H1965" s="2" t="s">
        <v>1700</v>
      </c>
      <c r="I1965" s="2" t="n">
        <v>5</v>
      </c>
    </row>
    <row r="1966" customFormat="false" ht="15" hidden="false" customHeight="false" outlineLevel="0" collapsed="false">
      <c r="A1966" s="2" t="s">
        <v>1335</v>
      </c>
      <c r="B1966" s="2" t="s">
        <v>271</v>
      </c>
      <c r="C1966" s="2" t="n">
        <v>1.25</v>
      </c>
      <c r="D1966" s="2" t="s">
        <v>54</v>
      </c>
      <c r="E1966" s="2" t="s">
        <v>3084</v>
      </c>
      <c r="F1966" s="2" t="n">
        <v>0.62</v>
      </c>
      <c r="G1966" s="2" t="n">
        <v>1.88</v>
      </c>
      <c r="H1966" s="2" t="s">
        <v>1689</v>
      </c>
      <c r="I1966" s="2" t="n">
        <v>6</v>
      </c>
    </row>
    <row r="1967" customFormat="false" ht="15" hidden="false" customHeight="false" outlineLevel="0" collapsed="false">
      <c r="A1967" s="2" t="s">
        <v>1335</v>
      </c>
      <c r="B1967" s="2" t="s">
        <v>271</v>
      </c>
      <c r="C1967" s="2" t="n">
        <v>1.25</v>
      </c>
      <c r="D1967" s="2" t="s">
        <v>54</v>
      </c>
      <c r="E1967" s="2" t="s">
        <v>3090</v>
      </c>
      <c r="F1967" s="2" t="n">
        <v>0.62</v>
      </c>
      <c r="G1967" s="2" t="n">
        <v>1.88</v>
      </c>
      <c r="H1967" s="2" t="s">
        <v>1689</v>
      </c>
      <c r="I1967" s="2" t="n">
        <v>7</v>
      </c>
    </row>
    <row r="1968" customFormat="false" ht="15" hidden="false" customHeight="false" outlineLevel="0" collapsed="false">
      <c r="A1968" s="2" t="s">
        <v>1335</v>
      </c>
      <c r="B1968" s="2" t="s">
        <v>271</v>
      </c>
      <c r="C1968" s="2" t="n">
        <v>1</v>
      </c>
      <c r="D1968" s="2" t="s">
        <v>54</v>
      </c>
      <c r="E1968" s="2" t="s">
        <v>3091</v>
      </c>
      <c r="F1968" s="2" t="n">
        <v>0.5</v>
      </c>
      <c r="G1968" s="2" t="n">
        <v>1.5</v>
      </c>
      <c r="H1968" s="2" t="s">
        <v>1689</v>
      </c>
      <c r="I1968" s="2" t="n">
        <v>8</v>
      </c>
    </row>
    <row r="1969" customFormat="false" ht="15" hidden="false" customHeight="false" outlineLevel="0" collapsed="false">
      <c r="A1969" s="2" t="s">
        <v>1335</v>
      </c>
      <c r="B1969" s="2" t="s">
        <v>148</v>
      </c>
      <c r="C1969" s="2" t="n">
        <v>15</v>
      </c>
      <c r="D1969" s="2" t="s">
        <v>54</v>
      </c>
      <c r="E1969" s="2" t="s">
        <v>3092</v>
      </c>
      <c r="F1969" s="2" t="n">
        <v>7.5</v>
      </c>
      <c r="G1969" s="2" t="n">
        <v>22.5</v>
      </c>
      <c r="H1969" s="2" t="s">
        <v>1693</v>
      </c>
      <c r="I1969" s="2" t="n">
        <v>9</v>
      </c>
    </row>
    <row r="1970" customFormat="false" ht="15" hidden="false" customHeight="false" outlineLevel="0" collapsed="false">
      <c r="A1970" s="2" t="s">
        <v>1339</v>
      </c>
      <c r="B1970" s="2" t="s">
        <v>210</v>
      </c>
      <c r="C1970" s="2" t="n">
        <v>150</v>
      </c>
      <c r="D1970" s="2" t="s">
        <v>54</v>
      </c>
      <c r="E1970" s="2" t="s">
        <v>3093</v>
      </c>
      <c r="F1970" s="2" t="n">
        <v>75</v>
      </c>
      <c r="G1970" s="2" t="n">
        <v>225</v>
      </c>
      <c r="H1970" s="2" t="s">
        <v>1689</v>
      </c>
      <c r="I1970" s="2" t="n">
        <v>1</v>
      </c>
    </row>
    <row r="1971" customFormat="false" ht="15" hidden="false" customHeight="false" outlineLevel="0" collapsed="false">
      <c r="A1971" s="2" t="s">
        <v>1339</v>
      </c>
      <c r="B1971" s="2" t="s">
        <v>129</v>
      </c>
      <c r="C1971" s="2" t="n">
        <v>2.25</v>
      </c>
      <c r="D1971" s="2" t="s">
        <v>54</v>
      </c>
      <c r="E1971" s="2" t="s">
        <v>2555</v>
      </c>
      <c r="F1971" s="2" t="n">
        <v>1.12</v>
      </c>
      <c r="G1971" s="2" t="n">
        <v>3.38</v>
      </c>
      <c r="H1971" s="2" t="s">
        <v>1700</v>
      </c>
      <c r="I1971" s="2" t="n">
        <v>2</v>
      </c>
    </row>
    <row r="1972" customFormat="false" ht="15" hidden="false" customHeight="false" outlineLevel="0" collapsed="false">
      <c r="A1972" s="2" t="s">
        <v>1339</v>
      </c>
      <c r="B1972" s="2" t="s">
        <v>91</v>
      </c>
      <c r="C1972" s="2" t="n">
        <v>7</v>
      </c>
      <c r="D1972" s="2" t="s">
        <v>54</v>
      </c>
      <c r="E1972" s="2" t="s">
        <v>2408</v>
      </c>
      <c r="F1972" s="2" t="n">
        <v>3.5</v>
      </c>
      <c r="G1972" s="2" t="n">
        <v>10.5</v>
      </c>
      <c r="H1972" s="2" t="s">
        <v>1689</v>
      </c>
      <c r="I1972" s="2" t="n">
        <v>3</v>
      </c>
    </row>
    <row r="1973" customFormat="false" ht="15" hidden="false" customHeight="false" outlineLevel="0" collapsed="false">
      <c r="A1973" s="2" t="s">
        <v>1339</v>
      </c>
      <c r="B1973" s="2" t="s">
        <v>301</v>
      </c>
      <c r="C1973" s="2" t="n">
        <v>5</v>
      </c>
      <c r="D1973" s="2" t="s">
        <v>54</v>
      </c>
      <c r="E1973" s="2" t="s">
        <v>3094</v>
      </c>
      <c r="F1973" s="2" t="n">
        <v>2.5</v>
      </c>
      <c r="G1973" s="2" t="n">
        <v>7.5</v>
      </c>
      <c r="H1973" s="2" t="s">
        <v>1689</v>
      </c>
      <c r="I1973" s="2" t="n">
        <v>4</v>
      </c>
    </row>
    <row r="1974" customFormat="false" ht="15" hidden="false" customHeight="false" outlineLevel="0" collapsed="false">
      <c r="A1974" s="2" t="s">
        <v>1339</v>
      </c>
      <c r="B1974" s="2" t="s">
        <v>480</v>
      </c>
      <c r="C1974" s="2" t="n">
        <v>1</v>
      </c>
      <c r="D1974" s="2" t="s">
        <v>54</v>
      </c>
      <c r="E1974" s="2" t="s">
        <v>3095</v>
      </c>
      <c r="F1974" s="2" t="n">
        <v>0.5</v>
      </c>
      <c r="G1974" s="2" t="n">
        <v>1.5</v>
      </c>
      <c r="H1974" s="2" t="s">
        <v>1689</v>
      </c>
      <c r="I1974" s="2" t="n">
        <v>5</v>
      </c>
    </row>
    <row r="1975" customFormat="false" ht="15" hidden="false" customHeight="false" outlineLevel="0" collapsed="false">
      <c r="A1975" s="2" t="s">
        <v>1343</v>
      </c>
      <c r="B1975" s="2" t="s">
        <v>446</v>
      </c>
      <c r="C1975" s="2" t="n">
        <v>140</v>
      </c>
      <c r="D1975" s="2" t="s">
        <v>54</v>
      </c>
      <c r="E1975" s="2" t="s">
        <v>3096</v>
      </c>
      <c r="F1975" s="2" t="n">
        <v>70</v>
      </c>
      <c r="G1975" s="2" t="n">
        <v>210</v>
      </c>
      <c r="H1975" s="2" t="s">
        <v>1689</v>
      </c>
      <c r="I1975" s="2" t="n">
        <v>1</v>
      </c>
    </row>
    <row r="1976" customFormat="false" ht="15" hidden="false" customHeight="false" outlineLevel="0" collapsed="false">
      <c r="A1976" s="2" t="s">
        <v>1343</v>
      </c>
      <c r="B1976" s="2" t="s">
        <v>129</v>
      </c>
      <c r="C1976" s="2" t="n">
        <v>4.5</v>
      </c>
      <c r="D1976" s="2" t="s">
        <v>54</v>
      </c>
      <c r="E1976" s="2" t="s">
        <v>2421</v>
      </c>
      <c r="F1976" s="2" t="n">
        <v>2.25</v>
      </c>
      <c r="G1976" s="2" t="n">
        <v>6.75</v>
      </c>
      <c r="H1976" s="2" t="s">
        <v>1700</v>
      </c>
      <c r="I1976" s="2" t="n">
        <v>2</v>
      </c>
    </row>
    <row r="1977" customFormat="false" ht="15" hidden="false" customHeight="false" outlineLevel="0" collapsed="false">
      <c r="A1977" s="2" t="s">
        <v>1343</v>
      </c>
      <c r="B1977" s="2" t="s">
        <v>420</v>
      </c>
      <c r="C1977" s="2" t="n">
        <v>5</v>
      </c>
      <c r="D1977" s="2" t="s">
        <v>54</v>
      </c>
      <c r="E1977" s="2" t="s">
        <v>2668</v>
      </c>
      <c r="F1977" s="2" t="n">
        <v>2.5</v>
      </c>
      <c r="G1977" s="2" t="n">
        <v>7.5</v>
      </c>
      <c r="H1977" s="2" t="s">
        <v>1693</v>
      </c>
      <c r="I1977" s="2" t="n">
        <v>3</v>
      </c>
    </row>
    <row r="1978" customFormat="false" ht="15" hidden="false" customHeight="false" outlineLevel="0" collapsed="false">
      <c r="A1978" s="2" t="s">
        <v>1343</v>
      </c>
      <c r="B1978" s="2" t="s">
        <v>312</v>
      </c>
      <c r="C1978" s="2" t="n">
        <v>1</v>
      </c>
      <c r="D1978" s="2" t="s">
        <v>1687</v>
      </c>
      <c r="E1978" s="2" t="s">
        <v>2607</v>
      </c>
      <c r="F1978" s="2"/>
      <c r="G1978" s="2" t="n">
        <v>2</v>
      </c>
      <c r="H1978" s="2" t="s">
        <v>1689</v>
      </c>
      <c r="I1978" s="2" t="n">
        <v>4</v>
      </c>
    </row>
    <row r="1979" customFormat="false" ht="15" hidden="false" customHeight="false" outlineLevel="0" collapsed="false">
      <c r="A1979" s="2" t="s">
        <v>1343</v>
      </c>
      <c r="B1979" s="2" t="s">
        <v>301</v>
      </c>
      <c r="C1979" s="2" t="n">
        <v>5</v>
      </c>
      <c r="D1979" s="2" t="s">
        <v>54</v>
      </c>
      <c r="E1979" s="2" t="s">
        <v>3097</v>
      </c>
      <c r="F1979" s="2" t="n">
        <v>2.5</v>
      </c>
      <c r="G1979" s="2" t="n">
        <v>7.5</v>
      </c>
      <c r="H1979" s="2" t="s">
        <v>1689</v>
      </c>
      <c r="I1979" s="2" t="n">
        <v>5</v>
      </c>
    </row>
    <row r="1980" customFormat="false" ht="15" hidden="false" customHeight="false" outlineLevel="0" collapsed="false">
      <c r="A1980" s="2" t="s">
        <v>1343</v>
      </c>
      <c r="B1980" s="2" t="s">
        <v>480</v>
      </c>
      <c r="C1980" s="2" t="n">
        <v>1</v>
      </c>
      <c r="D1980" s="2" t="s">
        <v>54</v>
      </c>
      <c r="E1980" s="2" t="s">
        <v>3065</v>
      </c>
      <c r="F1980" s="2" t="n">
        <v>0.5</v>
      </c>
      <c r="G1980" s="2" t="n">
        <v>1.5</v>
      </c>
      <c r="H1980" s="2" t="s">
        <v>1689</v>
      </c>
      <c r="I1980" s="2" t="n">
        <v>6</v>
      </c>
    </row>
    <row r="1981" customFormat="false" ht="15" hidden="false" customHeight="false" outlineLevel="0" collapsed="false">
      <c r="A1981" s="2" t="s">
        <v>1347</v>
      </c>
      <c r="B1981" s="2" t="s">
        <v>446</v>
      </c>
      <c r="C1981" s="2" t="n">
        <v>90</v>
      </c>
      <c r="D1981" s="2" t="s">
        <v>54</v>
      </c>
      <c r="E1981" s="2" t="s">
        <v>3098</v>
      </c>
      <c r="F1981" s="2" t="n">
        <v>45</v>
      </c>
      <c r="G1981" s="2" t="n">
        <v>135</v>
      </c>
      <c r="H1981" s="2" t="s">
        <v>1689</v>
      </c>
      <c r="I1981" s="2" t="n">
        <v>1</v>
      </c>
    </row>
    <row r="1982" customFormat="false" ht="15" hidden="false" customHeight="false" outlineLevel="0" collapsed="false">
      <c r="A1982" s="2" t="s">
        <v>1347</v>
      </c>
      <c r="B1982" s="2" t="s">
        <v>210</v>
      </c>
      <c r="C1982" s="2" t="n">
        <v>50</v>
      </c>
      <c r="D1982" s="2" t="s">
        <v>54</v>
      </c>
      <c r="E1982" s="2" t="s">
        <v>3099</v>
      </c>
      <c r="F1982" s="2" t="n">
        <v>25</v>
      </c>
      <c r="G1982" s="2" t="n">
        <v>75</v>
      </c>
      <c r="H1982" s="2" t="s">
        <v>1689</v>
      </c>
      <c r="I1982" s="2" t="n">
        <v>2</v>
      </c>
    </row>
    <row r="1983" customFormat="false" ht="15" hidden="false" customHeight="false" outlineLevel="0" collapsed="false">
      <c r="A1983" s="2" t="s">
        <v>1347</v>
      </c>
      <c r="B1983" s="2" t="s">
        <v>494</v>
      </c>
      <c r="C1983" s="2" t="n">
        <v>20</v>
      </c>
      <c r="D1983" s="2" t="s">
        <v>76</v>
      </c>
      <c r="E1983" s="2" t="s">
        <v>3100</v>
      </c>
      <c r="F1983" s="2" t="n">
        <v>10</v>
      </c>
      <c r="G1983" s="2" t="n">
        <v>30</v>
      </c>
      <c r="H1983" s="2" t="s">
        <v>1689</v>
      </c>
      <c r="I1983" s="2" t="n">
        <v>3</v>
      </c>
    </row>
    <row r="1984" customFormat="false" ht="15" hidden="false" customHeight="false" outlineLevel="0" collapsed="false">
      <c r="A1984" s="2" t="s">
        <v>1347</v>
      </c>
      <c r="B1984" s="2" t="s">
        <v>129</v>
      </c>
      <c r="C1984" s="2" t="n">
        <v>4.5</v>
      </c>
      <c r="D1984" s="2" t="s">
        <v>54</v>
      </c>
      <c r="E1984" s="2" t="s">
        <v>2421</v>
      </c>
      <c r="F1984" s="2" t="n">
        <v>2.25</v>
      </c>
      <c r="G1984" s="2" t="n">
        <v>6.75</v>
      </c>
      <c r="H1984" s="2" t="s">
        <v>1700</v>
      </c>
      <c r="I1984" s="2" t="n">
        <v>4</v>
      </c>
    </row>
    <row r="1985" customFormat="false" ht="15" hidden="false" customHeight="false" outlineLevel="0" collapsed="false">
      <c r="A1985" s="2" t="s">
        <v>1347</v>
      </c>
      <c r="B1985" s="2" t="s">
        <v>480</v>
      </c>
      <c r="C1985" s="2" t="n">
        <v>1</v>
      </c>
      <c r="D1985" s="2" t="s">
        <v>54</v>
      </c>
      <c r="E1985" s="2" t="s">
        <v>3101</v>
      </c>
      <c r="F1985" s="2" t="n">
        <v>0.5</v>
      </c>
      <c r="G1985" s="2" t="n">
        <v>1.5</v>
      </c>
      <c r="H1985" s="2" t="s">
        <v>1689</v>
      </c>
      <c r="I1985" s="2" t="n">
        <v>5</v>
      </c>
    </row>
    <row r="1986" customFormat="false" ht="15" hidden="false" customHeight="false" outlineLevel="0" collapsed="false">
      <c r="A1986" s="2" t="s">
        <v>1347</v>
      </c>
      <c r="B1986" s="2" t="s">
        <v>301</v>
      </c>
      <c r="C1986" s="2" t="n">
        <v>5</v>
      </c>
      <c r="D1986" s="2" t="s">
        <v>54</v>
      </c>
      <c r="E1986" s="2" t="s">
        <v>3102</v>
      </c>
      <c r="F1986" s="2" t="n">
        <v>2.5</v>
      </c>
      <c r="G1986" s="2" t="n">
        <v>7.5</v>
      </c>
      <c r="H1986" s="2" t="s">
        <v>1689</v>
      </c>
      <c r="I1986" s="2" t="n">
        <v>6</v>
      </c>
    </row>
    <row r="1987" customFormat="false" ht="15" hidden="false" customHeight="false" outlineLevel="0" collapsed="false">
      <c r="A1987" s="2" t="s">
        <v>1351</v>
      </c>
      <c r="B1987" s="2" t="s">
        <v>102</v>
      </c>
      <c r="C1987" s="2" t="n">
        <v>50</v>
      </c>
      <c r="D1987" s="2" t="s">
        <v>54</v>
      </c>
      <c r="E1987" s="2" t="s">
        <v>3103</v>
      </c>
      <c r="F1987" s="2" t="n">
        <v>25</v>
      </c>
      <c r="G1987" s="2" t="n">
        <v>75</v>
      </c>
      <c r="H1987" s="2" t="s">
        <v>1689</v>
      </c>
      <c r="I1987" s="2" t="n">
        <v>1</v>
      </c>
    </row>
    <row r="1988" customFormat="false" ht="15" hidden="false" customHeight="false" outlineLevel="0" collapsed="false">
      <c r="A1988" s="2" t="s">
        <v>1351</v>
      </c>
      <c r="B1988" s="2" t="s">
        <v>518</v>
      </c>
      <c r="C1988" s="2" t="n">
        <v>10</v>
      </c>
      <c r="D1988" s="2" t="s">
        <v>54</v>
      </c>
      <c r="E1988" s="2" t="s">
        <v>3104</v>
      </c>
      <c r="F1988" s="2" t="n">
        <v>5</v>
      </c>
      <c r="G1988" s="2" t="n">
        <v>15</v>
      </c>
      <c r="H1988" s="2" t="s">
        <v>1700</v>
      </c>
      <c r="I1988" s="2" t="n">
        <v>2</v>
      </c>
    </row>
    <row r="1989" customFormat="false" ht="15" hidden="false" customHeight="false" outlineLevel="0" collapsed="false">
      <c r="A1989" s="2" t="s">
        <v>1351</v>
      </c>
      <c r="B1989" s="2" t="s">
        <v>365</v>
      </c>
      <c r="C1989" s="2" t="n">
        <v>0.25</v>
      </c>
      <c r="D1989" s="2" t="s">
        <v>1687</v>
      </c>
      <c r="E1989" s="2" t="s">
        <v>3105</v>
      </c>
      <c r="F1989" s="2"/>
      <c r="G1989" s="2" t="n">
        <v>1.25</v>
      </c>
      <c r="H1989" s="2" t="s">
        <v>1689</v>
      </c>
      <c r="I1989" s="2" t="n">
        <v>3</v>
      </c>
    </row>
    <row r="1990" customFormat="false" ht="15" hidden="false" customHeight="false" outlineLevel="0" collapsed="false">
      <c r="A1990" s="2" t="s">
        <v>1351</v>
      </c>
      <c r="B1990" s="2" t="s">
        <v>312</v>
      </c>
      <c r="C1990" s="2" t="n">
        <v>0.5</v>
      </c>
      <c r="D1990" s="2" t="s">
        <v>1687</v>
      </c>
      <c r="E1990" s="2" t="s">
        <v>1975</v>
      </c>
      <c r="F1990" s="2"/>
      <c r="G1990" s="2" t="n">
        <v>1.5</v>
      </c>
      <c r="H1990" s="2" t="s">
        <v>1689</v>
      </c>
      <c r="I1990" s="2" t="n">
        <v>4</v>
      </c>
    </row>
    <row r="1991" customFormat="false" ht="15" hidden="false" customHeight="false" outlineLevel="0" collapsed="false">
      <c r="A1991" s="2" t="s">
        <v>1351</v>
      </c>
      <c r="B1991" s="2" t="s">
        <v>271</v>
      </c>
      <c r="C1991" s="2" t="n">
        <v>0.625</v>
      </c>
      <c r="D1991" s="2" t="s">
        <v>54</v>
      </c>
      <c r="E1991" s="2" t="s">
        <v>3106</v>
      </c>
      <c r="F1991" s="2" t="n">
        <v>0.31</v>
      </c>
      <c r="G1991" s="2" t="n">
        <v>0.94</v>
      </c>
      <c r="H1991" s="2" t="s">
        <v>1689</v>
      </c>
      <c r="I1991" s="2" t="n">
        <v>5</v>
      </c>
    </row>
    <row r="1992" customFormat="false" ht="15" hidden="false" customHeight="false" outlineLevel="0" collapsed="false">
      <c r="A1992" s="2" t="s">
        <v>1351</v>
      </c>
      <c r="B1992" s="2" t="s">
        <v>143</v>
      </c>
      <c r="C1992" s="2" t="n">
        <v>1</v>
      </c>
      <c r="D1992" s="2" t="s">
        <v>76</v>
      </c>
      <c r="E1992" s="2" t="s">
        <v>3107</v>
      </c>
      <c r="F1992" s="2" t="n">
        <v>0.5</v>
      </c>
      <c r="G1992" s="2" t="n">
        <v>1.5</v>
      </c>
      <c r="H1992" s="2" t="s">
        <v>1689</v>
      </c>
      <c r="I1992" s="2" t="n">
        <v>6</v>
      </c>
    </row>
    <row r="1993" customFormat="false" ht="15" hidden="false" customHeight="false" outlineLevel="0" collapsed="false">
      <c r="A1993" s="2" t="s">
        <v>1351</v>
      </c>
      <c r="B1993" s="2" t="s">
        <v>480</v>
      </c>
      <c r="C1993" s="2" t="n">
        <v>1</v>
      </c>
      <c r="D1993" s="2" t="s">
        <v>54</v>
      </c>
      <c r="E1993" s="2" t="s">
        <v>3068</v>
      </c>
      <c r="F1993" s="2" t="n">
        <v>0.5</v>
      </c>
      <c r="G1993" s="2" t="n">
        <v>1.5</v>
      </c>
      <c r="H1993" s="2" t="s">
        <v>1689</v>
      </c>
      <c r="I1993" s="2" t="n">
        <v>7</v>
      </c>
    </row>
    <row r="1994" customFormat="false" ht="15" hidden="false" customHeight="false" outlineLevel="0" collapsed="false">
      <c r="A1994" s="2" t="s">
        <v>1355</v>
      </c>
      <c r="B1994" s="2" t="s">
        <v>245</v>
      </c>
      <c r="C1994" s="2" t="n">
        <v>1</v>
      </c>
      <c r="D1994" s="2" t="s">
        <v>1687</v>
      </c>
      <c r="E1994" s="2" t="s">
        <v>3108</v>
      </c>
      <c r="F1994" s="2"/>
      <c r="G1994" s="2" t="n">
        <v>2</v>
      </c>
      <c r="H1994" s="2" t="s">
        <v>1689</v>
      </c>
      <c r="I1994" s="2" t="n">
        <v>1</v>
      </c>
    </row>
    <row r="1995" customFormat="false" ht="15" hidden="false" customHeight="false" outlineLevel="0" collapsed="false">
      <c r="A1995" s="2" t="s">
        <v>1355</v>
      </c>
      <c r="B1995" s="2" t="s">
        <v>375</v>
      </c>
      <c r="C1995" s="2" t="n">
        <v>0.25</v>
      </c>
      <c r="D1995" s="2" t="s">
        <v>1687</v>
      </c>
      <c r="E1995" s="2" t="s">
        <v>3079</v>
      </c>
      <c r="F1995" s="2"/>
      <c r="G1995" s="2" t="n">
        <v>1.25</v>
      </c>
      <c r="H1995" s="2" t="s">
        <v>1689</v>
      </c>
      <c r="I1995" s="2" t="n">
        <v>2</v>
      </c>
    </row>
    <row r="1996" customFormat="false" ht="15" hidden="false" customHeight="false" outlineLevel="0" collapsed="false">
      <c r="A1996" s="2" t="s">
        <v>1355</v>
      </c>
      <c r="B1996" s="2" t="s">
        <v>271</v>
      </c>
      <c r="C1996" s="2" t="n">
        <v>1</v>
      </c>
      <c r="D1996" s="2" t="s">
        <v>54</v>
      </c>
      <c r="E1996" s="2" t="s">
        <v>3091</v>
      </c>
      <c r="F1996" s="2" t="n">
        <v>0.5</v>
      </c>
      <c r="G1996" s="2" t="n">
        <v>1.5</v>
      </c>
      <c r="H1996" s="2" t="s">
        <v>1689</v>
      </c>
      <c r="I1996" s="2" t="n">
        <v>3</v>
      </c>
    </row>
    <row r="1997" customFormat="false" ht="15" hidden="false" customHeight="false" outlineLevel="0" collapsed="false">
      <c r="A1997" s="2" t="s">
        <v>1355</v>
      </c>
      <c r="B1997" s="2" t="s">
        <v>301</v>
      </c>
      <c r="C1997" s="2" t="n">
        <v>5</v>
      </c>
      <c r="D1997" s="2" t="s">
        <v>54</v>
      </c>
      <c r="E1997" s="2" t="s">
        <v>3080</v>
      </c>
      <c r="F1997" s="2" t="n">
        <v>2.5</v>
      </c>
      <c r="G1997" s="2" t="n">
        <v>7.5</v>
      </c>
      <c r="H1997" s="2" t="s">
        <v>1689</v>
      </c>
      <c r="I1997" s="2" t="n">
        <v>4</v>
      </c>
    </row>
    <row r="1998" customFormat="false" ht="15" hidden="false" customHeight="false" outlineLevel="0" collapsed="false">
      <c r="A1998" s="2" t="s">
        <v>1355</v>
      </c>
      <c r="B1998" s="2" t="s">
        <v>480</v>
      </c>
      <c r="C1998" s="2" t="n">
        <v>1</v>
      </c>
      <c r="D1998" s="2" t="s">
        <v>54</v>
      </c>
      <c r="E1998" s="2" t="s">
        <v>3068</v>
      </c>
      <c r="F1998" s="2" t="n">
        <v>0.5</v>
      </c>
      <c r="G1998" s="2" t="n">
        <v>1.5</v>
      </c>
      <c r="H1998" s="2" t="s">
        <v>1689</v>
      </c>
      <c r="I1998" s="2" t="n">
        <v>5</v>
      </c>
    </row>
    <row r="1999" customFormat="false" ht="15" hidden="false" customHeight="false" outlineLevel="0" collapsed="false">
      <c r="A1999" s="2" t="s">
        <v>1359</v>
      </c>
      <c r="B1999" s="2" t="s">
        <v>394</v>
      </c>
      <c r="C1999" s="2" t="n">
        <v>50</v>
      </c>
      <c r="D1999" s="2" t="s">
        <v>54</v>
      </c>
      <c r="E1999" s="2" t="s">
        <v>2580</v>
      </c>
      <c r="F1999" s="2" t="n">
        <v>25</v>
      </c>
      <c r="G1999" s="2" t="n">
        <v>75</v>
      </c>
      <c r="H1999" s="2" t="s">
        <v>1689</v>
      </c>
      <c r="I1999" s="2" t="n">
        <v>1</v>
      </c>
    </row>
    <row r="2000" customFormat="false" ht="15" hidden="false" customHeight="false" outlineLevel="0" collapsed="false">
      <c r="A2000" s="2" t="s">
        <v>1359</v>
      </c>
      <c r="B2000" s="2" t="s">
        <v>219</v>
      </c>
      <c r="C2000" s="2" t="n">
        <v>40</v>
      </c>
      <c r="D2000" s="2" t="s">
        <v>54</v>
      </c>
      <c r="E2000" s="2" t="s">
        <v>3027</v>
      </c>
      <c r="F2000" s="2" t="n">
        <v>20</v>
      </c>
      <c r="G2000" s="2" t="n">
        <v>60</v>
      </c>
      <c r="H2000" s="2" t="s">
        <v>1689</v>
      </c>
      <c r="I2000" s="2" t="n">
        <v>2</v>
      </c>
    </row>
    <row r="2001" customFormat="false" ht="15" hidden="false" customHeight="false" outlineLevel="0" collapsed="false">
      <c r="A2001" s="2" t="s">
        <v>1359</v>
      </c>
      <c r="B2001" s="2" t="s">
        <v>260</v>
      </c>
      <c r="C2001" s="2" t="n">
        <v>30</v>
      </c>
      <c r="D2001" s="2" t="s">
        <v>54</v>
      </c>
      <c r="E2001" s="2" t="s">
        <v>3109</v>
      </c>
      <c r="F2001" s="2" t="n">
        <v>15</v>
      </c>
      <c r="G2001" s="2" t="n">
        <v>45</v>
      </c>
      <c r="H2001" s="2" t="s">
        <v>1689</v>
      </c>
      <c r="I2001" s="2" t="n">
        <v>3</v>
      </c>
    </row>
    <row r="2002" customFormat="false" ht="15" hidden="false" customHeight="false" outlineLevel="0" collapsed="false">
      <c r="A2002" s="2" t="s">
        <v>1359</v>
      </c>
      <c r="B2002" s="2" t="s">
        <v>129</v>
      </c>
      <c r="C2002" s="2" t="n">
        <v>1.125</v>
      </c>
      <c r="D2002" s="2" t="s">
        <v>54</v>
      </c>
      <c r="E2002" s="2" t="s">
        <v>3110</v>
      </c>
      <c r="F2002" s="2" t="n">
        <v>0.56</v>
      </c>
      <c r="G2002" s="2" t="n">
        <v>1.69</v>
      </c>
      <c r="H2002" s="2" t="s">
        <v>1700</v>
      </c>
      <c r="I2002" s="2" t="n">
        <v>4</v>
      </c>
    </row>
    <row r="2003" customFormat="false" ht="15" hidden="false" customHeight="false" outlineLevel="0" collapsed="false">
      <c r="A2003" s="2" t="s">
        <v>1359</v>
      </c>
      <c r="B2003" s="2" t="s">
        <v>170</v>
      </c>
      <c r="C2003" s="2" t="n">
        <v>5</v>
      </c>
      <c r="D2003" s="2" t="s">
        <v>76</v>
      </c>
      <c r="E2003" s="2" t="s">
        <v>2678</v>
      </c>
      <c r="F2003" s="2" t="n">
        <v>2.5</v>
      </c>
      <c r="G2003" s="2" t="n">
        <v>7.5</v>
      </c>
      <c r="H2003" s="2" t="s">
        <v>1689</v>
      </c>
      <c r="I2003" s="2" t="n">
        <v>5</v>
      </c>
    </row>
    <row r="2004" customFormat="false" ht="15" hidden="false" customHeight="false" outlineLevel="0" collapsed="false">
      <c r="A2004" s="2" t="s">
        <v>1359</v>
      </c>
      <c r="B2004" s="2" t="s">
        <v>480</v>
      </c>
      <c r="C2004" s="2" t="n">
        <v>1</v>
      </c>
      <c r="D2004" s="2" t="s">
        <v>54</v>
      </c>
      <c r="E2004" s="2" t="s">
        <v>3095</v>
      </c>
      <c r="F2004" s="2" t="n">
        <v>0.5</v>
      </c>
      <c r="G2004" s="2" t="n">
        <v>1.5</v>
      </c>
      <c r="H2004" s="2" t="s">
        <v>1689</v>
      </c>
      <c r="I2004" s="2" t="n">
        <v>6</v>
      </c>
    </row>
    <row r="2005" customFormat="false" ht="15" hidden="false" customHeight="false" outlineLevel="0" collapsed="false">
      <c r="A2005" s="2" t="s">
        <v>1363</v>
      </c>
      <c r="B2005" s="2" t="s">
        <v>117</v>
      </c>
      <c r="C2005" s="2" t="n">
        <v>0.433</v>
      </c>
      <c r="D2005" s="2" t="s">
        <v>1687</v>
      </c>
      <c r="E2005" s="2" t="s">
        <v>3111</v>
      </c>
      <c r="F2005" s="2"/>
      <c r="G2005" s="2" t="n">
        <v>1.43333333333333</v>
      </c>
      <c r="H2005" s="2" t="s">
        <v>1700</v>
      </c>
      <c r="I2005" s="2" t="n">
        <v>1</v>
      </c>
    </row>
    <row r="2006" customFormat="false" ht="15" hidden="false" customHeight="false" outlineLevel="0" collapsed="false">
      <c r="A2006" s="2" t="s">
        <v>1363</v>
      </c>
      <c r="B2006" s="2" t="s">
        <v>524</v>
      </c>
      <c r="C2006" s="2" t="n">
        <v>20</v>
      </c>
      <c r="D2006" s="2" t="s">
        <v>54</v>
      </c>
      <c r="E2006" s="2" t="s">
        <v>3112</v>
      </c>
      <c r="F2006" s="2" t="n">
        <v>10</v>
      </c>
      <c r="G2006" s="2" t="n">
        <v>30</v>
      </c>
      <c r="H2006" s="2" t="s">
        <v>1689</v>
      </c>
      <c r="I2006" s="2" t="n">
        <v>2</v>
      </c>
    </row>
    <row r="2007" customFormat="false" ht="15" hidden="false" customHeight="false" outlineLevel="0" collapsed="false">
      <c r="A2007" s="2" t="s">
        <v>1363</v>
      </c>
      <c r="B2007" s="2" t="s">
        <v>458</v>
      </c>
      <c r="C2007" s="2" t="n">
        <v>10</v>
      </c>
      <c r="D2007" s="2" t="s">
        <v>54</v>
      </c>
      <c r="E2007" s="2" t="s">
        <v>3113</v>
      </c>
      <c r="F2007" s="2" t="n">
        <v>5</v>
      </c>
      <c r="G2007" s="2" t="n">
        <v>15</v>
      </c>
      <c r="H2007" s="2" t="s">
        <v>1689</v>
      </c>
      <c r="I2007" s="2" t="n">
        <v>3</v>
      </c>
    </row>
    <row r="2008" customFormat="false" ht="15" hidden="false" customHeight="false" outlineLevel="0" collapsed="false">
      <c r="A2008" s="2" t="s">
        <v>1363</v>
      </c>
      <c r="B2008" s="2" t="s">
        <v>375</v>
      </c>
      <c r="C2008" s="2" t="n">
        <v>0.25</v>
      </c>
      <c r="D2008" s="2" t="s">
        <v>1687</v>
      </c>
      <c r="E2008" s="2" t="s">
        <v>3079</v>
      </c>
      <c r="F2008" s="2"/>
      <c r="G2008" s="2" t="n">
        <v>1.25</v>
      </c>
      <c r="H2008" s="2" t="s">
        <v>1689</v>
      </c>
      <c r="I2008" s="2" t="n">
        <v>4</v>
      </c>
    </row>
    <row r="2009" customFormat="false" ht="15" hidden="false" customHeight="false" outlineLevel="0" collapsed="false">
      <c r="A2009" s="2" t="s">
        <v>1363</v>
      </c>
      <c r="B2009" s="2" t="s">
        <v>301</v>
      </c>
      <c r="C2009" s="2" t="n">
        <v>5</v>
      </c>
      <c r="D2009" s="2" t="s">
        <v>54</v>
      </c>
      <c r="E2009" s="2" t="s">
        <v>3080</v>
      </c>
      <c r="F2009" s="2" t="n">
        <v>2.5</v>
      </c>
      <c r="G2009" s="2" t="n">
        <v>7.5</v>
      </c>
      <c r="H2009" s="2" t="s">
        <v>1689</v>
      </c>
      <c r="I2009" s="2" t="n">
        <v>5</v>
      </c>
    </row>
    <row r="2010" customFormat="false" ht="15" hidden="false" customHeight="false" outlineLevel="0" collapsed="false">
      <c r="A2010" s="2" t="s">
        <v>1363</v>
      </c>
      <c r="B2010" s="2" t="s">
        <v>271</v>
      </c>
      <c r="C2010" s="2" t="n">
        <v>1</v>
      </c>
      <c r="D2010" s="2" t="s">
        <v>54</v>
      </c>
      <c r="E2010" s="2" t="s">
        <v>1939</v>
      </c>
      <c r="F2010" s="2" t="n">
        <v>0.5</v>
      </c>
      <c r="G2010" s="2" t="n">
        <v>1.5</v>
      </c>
      <c r="H2010" s="2" t="s">
        <v>1689</v>
      </c>
      <c r="I2010" s="2" t="n">
        <v>6</v>
      </c>
    </row>
    <row r="2011" customFormat="false" ht="15" hidden="false" customHeight="false" outlineLevel="0" collapsed="false">
      <c r="A2011" s="2" t="s">
        <v>1363</v>
      </c>
      <c r="B2011" s="2" t="s">
        <v>480</v>
      </c>
      <c r="C2011" s="2" t="n">
        <v>1</v>
      </c>
      <c r="D2011" s="2" t="s">
        <v>54</v>
      </c>
      <c r="E2011" s="2" t="s">
        <v>3068</v>
      </c>
      <c r="F2011" s="2" t="n">
        <v>0.5</v>
      </c>
      <c r="G2011" s="2" t="n">
        <v>1.5</v>
      </c>
      <c r="H2011" s="2" t="s">
        <v>1689</v>
      </c>
      <c r="I2011" s="2" t="n">
        <v>7</v>
      </c>
    </row>
    <row r="2012" customFormat="false" ht="15" hidden="false" customHeight="false" outlineLevel="0" collapsed="false">
      <c r="A2012" s="2" t="s">
        <v>1367</v>
      </c>
      <c r="B2012" s="2" t="s">
        <v>221</v>
      </c>
      <c r="C2012" s="2" t="n">
        <v>250</v>
      </c>
      <c r="D2012" s="2" t="s">
        <v>54</v>
      </c>
      <c r="E2012" s="2" t="s">
        <v>3114</v>
      </c>
      <c r="F2012" s="2" t="n">
        <v>125</v>
      </c>
      <c r="G2012" s="2" t="n">
        <v>375</v>
      </c>
      <c r="H2012" s="2" t="s">
        <v>1693</v>
      </c>
      <c r="I2012" s="2" t="n">
        <v>1</v>
      </c>
    </row>
    <row r="2013" customFormat="false" ht="15" hidden="false" customHeight="false" outlineLevel="0" collapsed="false">
      <c r="A2013" s="2" t="s">
        <v>1367</v>
      </c>
      <c r="B2013" s="2" t="s">
        <v>110</v>
      </c>
      <c r="C2013" s="2" t="n">
        <v>1</v>
      </c>
      <c r="D2013" s="2" t="s">
        <v>1687</v>
      </c>
      <c r="E2013" s="2" t="s">
        <v>1853</v>
      </c>
      <c r="F2013" s="2"/>
      <c r="G2013" s="2" t="n">
        <v>2</v>
      </c>
      <c r="H2013" s="2" t="s">
        <v>1693</v>
      </c>
      <c r="I2013" s="2" t="n">
        <v>2</v>
      </c>
    </row>
    <row r="2014" customFormat="false" ht="15" hidden="false" customHeight="false" outlineLevel="0" collapsed="false">
      <c r="A2014" s="2" t="s">
        <v>1367</v>
      </c>
      <c r="B2014" s="2" t="s">
        <v>81</v>
      </c>
      <c r="C2014" s="2" t="n">
        <v>90</v>
      </c>
      <c r="D2014" s="2" t="s">
        <v>54</v>
      </c>
      <c r="E2014" s="2" t="s">
        <v>3115</v>
      </c>
      <c r="F2014" s="2" t="n">
        <v>45</v>
      </c>
      <c r="G2014" s="2" t="n">
        <v>135</v>
      </c>
      <c r="H2014" s="2" t="s">
        <v>1689</v>
      </c>
      <c r="I2014" s="2" t="n">
        <v>3</v>
      </c>
    </row>
    <row r="2015" customFormat="false" ht="15" hidden="false" customHeight="false" outlineLevel="0" collapsed="false">
      <c r="A2015" s="2" t="s">
        <v>1367</v>
      </c>
      <c r="B2015" s="2" t="s">
        <v>74</v>
      </c>
      <c r="C2015" s="2" t="n">
        <v>15</v>
      </c>
      <c r="D2015" s="2" t="s">
        <v>76</v>
      </c>
      <c r="E2015" s="2" t="s">
        <v>3116</v>
      </c>
      <c r="F2015" s="2" t="n">
        <v>7.5</v>
      </c>
      <c r="G2015" s="2" t="n">
        <v>22.5</v>
      </c>
      <c r="H2015" s="2" t="s">
        <v>1689</v>
      </c>
      <c r="I2015" s="2" t="n">
        <v>4</v>
      </c>
    </row>
    <row r="2016" customFormat="false" ht="15" hidden="false" customHeight="false" outlineLevel="0" collapsed="false">
      <c r="A2016" s="2" t="s">
        <v>1367</v>
      </c>
      <c r="B2016" s="2" t="s">
        <v>262</v>
      </c>
      <c r="C2016" s="2" t="n">
        <v>10</v>
      </c>
      <c r="D2016" s="2" t="s">
        <v>54</v>
      </c>
      <c r="E2016" s="2" t="s">
        <v>3117</v>
      </c>
      <c r="F2016" s="2" t="n">
        <v>5</v>
      </c>
      <c r="G2016" s="2" t="n">
        <v>15</v>
      </c>
      <c r="H2016" s="2" t="s">
        <v>1689</v>
      </c>
      <c r="I2016" s="2" t="n">
        <v>5</v>
      </c>
    </row>
    <row r="2017" customFormat="false" ht="15" hidden="false" customHeight="false" outlineLevel="0" collapsed="false">
      <c r="A2017" s="2" t="s">
        <v>1367</v>
      </c>
      <c r="B2017" s="2" t="s">
        <v>129</v>
      </c>
      <c r="C2017" s="2" t="n">
        <v>15</v>
      </c>
      <c r="D2017" s="2" t="s">
        <v>54</v>
      </c>
      <c r="E2017" s="2" t="s">
        <v>3118</v>
      </c>
      <c r="F2017" s="2" t="n">
        <v>7.5</v>
      </c>
      <c r="G2017" s="2" t="n">
        <v>22.5</v>
      </c>
      <c r="H2017" s="2" t="s">
        <v>1700</v>
      </c>
      <c r="I2017" s="2" t="n">
        <v>6</v>
      </c>
    </row>
    <row r="2018" customFormat="false" ht="15" hidden="false" customHeight="false" outlineLevel="0" collapsed="false">
      <c r="A2018" s="2" t="s">
        <v>1367</v>
      </c>
      <c r="B2018" s="2" t="s">
        <v>498</v>
      </c>
      <c r="C2018" s="2" t="n">
        <v>60</v>
      </c>
      <c r="D2018" s="2" t="s">
        <v>54</v>
      </c>
      <c r="E2018" s="2" t="s">
        <v>3119</v>
      </c>
      <c r="F2018" s="2" t="n">
        <v>30</v>
      </c>
      <c r="G2018" s="2" t="n">
        <v>90</v>
      </c>
      <c r="H2018" s="2" t="s">
        <v>1693</v>
      </c>
      <c r="I2018" s="2" t="n">
        <v>7</v>
      </c>
    </row>
    <row r="2019" customFormat="false" ht="15" hidden="false" customHeight="false" outlineLevel="0" collapsed="false">
      <c r="A2019" s="2" t="s">
        <v>1367</v>
      </c>
      <c r="B2019" s="2" t="s">
        <v>219</v>
      </c>
      <c r="C2019" s="2" t="n">
        <v>30</v>
      </c>
      <c r="D2019" s="2" t="s">
        <v>54</v>
      </c>
      <c r="E2019" s="2" t="s">
        <v>3120</v>
      </c>
      <c r="F2019" s="2" t="n">
        <v>15</v>
      </c>
      <c r="G2019" s="2" t="n">
        <v>45</v>
      </c>
      <c r="H2019" s="2" t="s">
        <v>1689</v>
      </c>
      <c r="I2019" s="2" t="n">
        <v>8</v>
      </c>
    </row>
    <row r="2020" customFormat="false" ht="15" hidden="false" customHeight="false" outlineLevel="0" collapsed="false">
      <c r="A2020" s="2" t="s">
        <v>1367</v>
      </c>
      <c r="B2020" s="2" t="s">
        <v>514</v>
      </c>
      <c r="C2020" s="2" t="n">
        <v>300</v>
      </c>
      <c r="D2020" s="2" t="s">
        <v>54</v>
      </c>
      <c r="E2020" s="2" t="s">
        <v>3121</v>
      </c>
      <c r="F2020" s="2" t="n">
        <v>150</v>
      </c>
      <c r="G2020" s="2" t="n">
        <v>450</v>
      </c>
      <c r="H2020" s="2" t="s">
        <v>1689</v>
      </c>
      <c r="I2020" s="2" t="n">
        <v>9</v>
      </c>
    </row>
    <row r="2021" customFormat="false" ht="15" hidden="false" customHeight="false" outlineLevel="0" collapsed="false">
      <c r="A2021" s="2" t="s">
        <v>1367</v>
      </c>
      <c r="B2021" s="2" t="s">
        <v>91</v>
      </c>
      <c r="C2021" s="2" t="n">
        <v>15</v>
      </c>
      <c r="D2021" s="2" t="s">
        <v>54</v>
      </c>
      <c r="E2021" s="2" t="s">
        <v>2924</v>
      </c>
      <c r="F2021" s="2" t="n">
        <v>7.5</v>
      </c>
      <c r="G2021" s="2" t="n">
        <v>22.5</v>
      </c>
      <c r="H2021" s="2" t="s">
        <v>1689</v>
      </c>
      <c r="I2021" s="2" t="n">
        <v>10</v>
      </c>
    </row>
    <row r="2022" customFormat="false" ht="15" hidden="false" customHeight="false" outlineLevel="0" collapsed="false">
      <c r="A2022" s="2" t="s">
        <v>1371</v>
      </c>
      <c r="B2022" s="2" t="s">
        <v>81</v>
      </c>
      <c r="C2022" s="2" t="n">
        <v>180</v>
      </c>
      <c r="D2022" s="2" t="s">
        <v>54</v>
      </c>
      <c r="E2022" s="2" t="s">
        <v>3122</v>
      </c>
      <c r="F2022" s="2" t="n">
        <v>90</v>
      </c>
      <c r="G2022" s="2" t="n">
        <v>270</v>
      </c>
      <c r="H2022" s="2" t="s">
        <v>1689</v>
      </c>
      <c r="I2022" s="2" t="n">
        <v>1</v>
      </c>
    </row>
    <row r="2023" customFormat="false" ht="15" hidden="false" customHeight="false" outlineLevel="0" collapsed="false">
      <c r="A2023" s="2" t="s">
        <v>1371</v>
      </c>
      <c r="B2023" s="2" t="s">
        <v>71</v>
      </c>
      <c r="C2023" s="2" t="n">
        <v>120</v>
      </c>
      <c r="D2023" s="2" t="s">
        <v>54</v>
      </c>
      <c r="E2023" s="2" t="s">
        <v>3123</v>
      </c>
      <c r="F2023" s="2" t="n">
        <v>60</v>
      </c>
      <c r="G2023" s="2" t="n">
        <v>180</v>
      </c>
      <c r="H2023" s="2" t="s">
        <v>1693</v>
      </c>
      <c r="I2023" s="2" t="n">
        <v>2</v>
      </c>
    </row>
    <row r="2024" customFormat="false" ht="15" hidden="false" customHeight="false" outlineLevel="0" collapsed="false">
      <c r="A2024" s="2" t="s">
        <v>1371</v>
      </c>
      <c r="B2024" s="2" t="s">
        <v>74</v>
      </c>
      <c r="C2024" s="2" t="n">
        <v>120</v>
      </c>
      <c r="D2024" s="2" t="s">
        <v>76</v>
      </c>
      <c r="E2024" s="2" t="s">
        <v>3124</v>
      </c>
      <c r="F2024" s="2" t="n">
        <v>60</v>
      </c>
      <c r="G2024" s="2" t="n">
        <v>180</v>
      </c>
      <c r="H2024" s="2" t="s">
        <v>1689</v>
      </c>
      <c r="I2024" s="2" t="n">
        <v>3</v>
      </c>
    </row>
    <row r="2025" customFormat="false" ht="15" hidden="false" customHeight="false" outlineLevel="0" collapsed="false">
      <c r="A2025" s="2" t="s">
        <v>1371</v>
      </c>
      <c r="B2025" s="2" t="s">
        <v>91</v>
      </c>
      <c r="C2025" s="2" t="n">
        <v>22.5</v>
      </c>
      <c r="D2025" s="2" t="s">
        <v>54</v>
      </c>
      <c r="E2025" s="2" t="s">
        <v>3125</v>
      </c>
      <c r="F2025" s="2" t="n">
        <v>11.25</v>
      </c>
      <c r="G2025" s="2" t="n">
        <v>33.75</v>
      </c>
      <c r="H2025" s="2" t="s">
        <v>1689</v>
      </c>
      <c r="I2025" s="2" t="n">
        <v>4</v>
      </c>
    </row>
    <row r="2026" customFormat="false" ht="15" hidden="false" customHeight="false" outlineLevel="0" collapsed="false">
      <c r="A2026" s="2" t="s">
        <v>1371</v>
      </c>
      <c r="B2026" s="2" t="s">
        <v>85</v>
      </c>
      <c r="C2026" s="2" t="n">
        <v>30</v>
      </c>
      <c r="D2026" s="2" t="s">
        <v>54</v>
      </c>
      <c r="E2026" s="2" t="s">
        <v>3126</v>
      </c>
      <c r="F2026" s="2" t="n">
        <v>15</v>
      </c>
      <c r="G2026" s="2" t="n">
        <v>45</v>
      </c>
      <c r="H2026" s="2" t="s">
        <v>1700</v>
      </c>
      <c r="I2026" s="2" t="n">
        <v>5</v>
      </c>
    </row>
    <row r="2027" customFormat="false" ht="15" hidden="false" customHeight="false" outlineLevel="0" collapsed="false">
      <c r="A2027" s="2" t="s">
        <v>1371</v>
      </c>
      <c r="B2027" s="2" t="s">
        <v>450</v>
      </c>
      <c r="C2027" s="2" t="n">
        <v>15</v>
      </c>
      <c r="D2027" s="2" t="s">
        <v>54</v>
      </c>
      <c r="E2027" s="2" t="s">
        <v>3127</v>
      </c>
      <c r="F2027" s="2" t="n">
        <v>7.5</v>
      </c>
      <c r="G2027" s="2" t="n">
        <v>22.5</v>
      </c>
      <c r="H2027" s="2" t="s">
        <v>1689</v>
      </c>
      <c r="I2027" s="2" t="n">
        <v>6</v>
      </c>
    </row>
    <row r="2028" customFormat="false" ht="15" hidden="false" customHeight="false" outlineLevel="0" collapsed="false">
      <c r="A2028" s="2" t="s">
        <v>1371</v>
      </c>
      <c r="B2028" s="2" t="s">
        <v>573</v>
      </c>
      <c r="C2028" s="2" t="n">
        <v>45</v>
      </c>
      <c r="D2028" s="2" t="s">
        <v>54</v>
      </c>
      <c r="E2028" s="2" t="s">
        <v>3128</v>
      </c>
      <c r="F2028" s="2" t="n">
        <v>22.5</v>
      </c>
      <c r="G2028" s="2" t="n">
        <v>67.5</v>
      </c>
      <c r="H2028" s="2" t="s">
        <v>1700</v>
      </c>
      <c r="I2028" s="2" t="n">
        <v>7</v>
      </c>
    </row>
    <row r="2029" customFormat="false" ht="15" hidden="false" customHeight="false" outlineLevel="0" collapsed="false">
      <c r="A2029" s="2" t="s">
        <v>1371</v>
      </c>
      <c r="B2029" s="2" t="s">
        <v>538</v>
      </c>
      <c r="C2029" s="2" t="n">
        <v>80</v>
      </c>
      <c r="D2029" s="2" t="s">
        <v>54</v>
      </c>
      <c r="E2029" s="2" t="s">
        <v>3129</v>
      </c>
      <c r="F2029" s="2" t="n">
        <v>40</v>
      </c>
      <c r="G2029" s="2" t="n">
        <v>120</v>
      </c>
      <c r="H2029" s="2" t="s">
        <v>1700</v>
      </c>
      <c r="I2029" s="2" t="n">
        <v>8</v>
      </c>
    </row>
    <row r="2030" customFormat="false" ht="15" hidden="false" customHeight="false" outlineLevel="0" collapsed="false">
      <c r="A2030" s="2" t="s">
        <v>1375</v>
      </c>
      <c r="B2030" s="2" t="s">
        <v>476</v>
      </c>
      <c r="C2030" s="2" t="n">
        <v>150</v>
      </c>
      <c r="D2030" s="2" t="s">
        <v>54</v>
      </c>
      <c r="E2030" s="2" t="s">
        <v>3130</v>
      </c>
      <c r="F2030" s="2" t="n">
        <v>75</v>
      </c>
      <c r="G2030" s="2" t="n">
        <v>225</v>
      </c>
      <c r="H2030" s="2" t="s">
        <v>1693</v>
      </c>
      <c r="I2030" s="2" t="n">
        <v>1</v>
      </c>
    </row>
    <row r="2031" customFormat="false" ht="15" hidden="false" customHeight="false" outlineLevel="0" collapsed="false">
      <c r="A2031" s="2" t="s">
        <v>1375</v>
      </c>
      <c r="B2031" s="2" t="s">
        <v>409</v>
      </c>
      <c r="C2031" s="2" t="n">
        <v>25</v>
      </c>
      <c r="D2031" s="2" t="s">
        <v>54</v>
      </c>
      <c r="E2031" s="2" t="s">
        <v>2910</v>
      </c>
      <c r="F2031" s="2" t="n">
        <v>12.5</v>
      </c>
      <c r="G2031" s="2" t="n">
        <v>37.5</v>
      </c>
      <c r="H2031" s="2" t="s">
        <v>1689</v>
      </c>
      <c r="I2031" s="2" t="n">
        <v>2</v>
      </c>
    </row>
    <row r="2032" customFormat="false" ht="15" hidden="false" customHeight="false" outlineLevel="0" collapsed="false">
      <c r="A2032" s="2" t="s">
        <v>1375</v>
      </c>
      <c r="B2032" s="2" t="s">
        <v>245</v>
      </c>
      <c r="C2032" s="2" t="n">
        <v>1</v>
      </c>
      <c r="D2032" s="2" t="s">
        <v>1687</v>
      </c>
      <c r="E2032" s="2" t="s">
        <v>3131</v>
      </c>
      <c r="F2032" s="2"/>
      <c r="G2032" s="2" t="n">
        <v>2</v>
      </c>
      <c r="H2032" s="2" t="s">
        <v>1689</v>
      </c>
      <c r="I2032" s="2" t="n">
        <v>3</v>
      </c>
    </row>
    <row r="2033" customFormat="false" ht="15" hidden="false" customHeight="false" outlineLevel="0" collapsed="false">
      <c r="A2033" s="2" t="s">
        <v>1375</v>
      </c>
      <c r="B2033" s="2" t="s">
        <v>514</v>
      </c>
      <c r="C2033" s="2" t="n">
        <v>200</v>
      </c>
      <c r="D2033" s="2" t="s">
        <v>54</v>
      </c>
      <c r="E2033" s="2" t="s">
        <v>3132</v>
      </c>
      <c r="F2033" s="2" t="n">
        <v>100</v>
      </c>
      <c r="G2033" s="2" t="n">
        <v>300</v>
      </c>
      <c r="H2033" s="2" t="s">
        <v>1689</v>
      </c>
      <c r="I2033" s="2" t="n">
        <v>4</v>
      </c>
    </row>
    <row r="2034" customFormat="false" ht="15" hidden="false" customHeight="false" outlineLevel="0" collapsed="false">
      <c r="A2034" s="2" t="s">
        <v>1375</v>
      </c>
      <c r="B2034" s="2" t="s">
        <v>271</v>
      </c>
      <c r="C2034" s="2" t="n">
        <v>1</v>
      </c>
      <c r="D2034" s="2" t="s">
        <v>54</v>
      </c>
      <c r="E2034" s="2" t="s">
        <v>3133</v>
      </c>
      <c r="F2034" s="2" t="n">
        <v>0.5</v>
      </c>
      <c r="G2034" s="2" t="n">
        <v>1.5</v>
      </c>
      <c r="H2034" s="2" t="s">
        <v>1689</v>
      </c>
      <c r="I2034" s="2" t="n">
        <v>5</v>
      </c>
    </row>
    <row r="2035" customFormat="false" ht="15" hidden="false" customHeight="false" outlineLevel="0" collapsed="false">
      <c r="A2035" s="2" t="s">
        <v>1375</v>
      </c>
      <c r="B2035" s="2" t="s">
        <v>129</v>
      </c>
      <c r="C2035" s="2" t="n">
        <v>5</v>
      </c>
      <c r="D2035" s="2" t="s">
        <v>54</v>
      </c>
      <c r="E2035" s="2" t="s">
        <v>3134</v>
      </c>
      <c r="F2035" s="2" t="n">
        <v>2.5</v>
      </c>
      <c r="G2035" s="2" t="n">
        <v>7.5</v>
      </c>
      <c r="H2035" s="2" t="s">
        <v>1700</v>
      </c>
      <c r="I2035" s="2" t="n">
        <v>6</v>
      </c>
    </row>
    <row r="2036" customFormat="false" ht="15" hidden="false" customHeight="false" outlineLevel="0" collapsed="false">
      <c r="A2036" s="2" t="s">
        <v>1375</v>
      </c>
      <c r="B2036" s="2" t="s">
        <v>271</v>
      </c>
      <c r="C2036" s="2" t="n">
        <v>1</v>
      </c>
      <c r="D2036" s="2" t="s">
        <v>54</v>
      </c>
      <c r="E2036" s="2" t="s">
        <v>3135</v>
      </c>
      <c r="F2036" s="2" t="n">
        <v>0.5</v>
      </c>
      <c r="G2036" s="2" t="n">
        <v>1.5</v>
      </c>
      <c r="H2036" s="2" t="s">
        <v>1689</v>
      </c>
      <c r="I2036" s="2" t="n">
        <v>7</v>
      </c>
    </row>
    <row r="2037" customFormat="false" ht="15" hidden="false" customHeight="false" outlineLevel="0" collapsed="false">
      <c r="A2037" s="2" t="s">
        <v>1375</v>
      </c>
      <c r="B2037" s="2" t="s">
        <v>365</v>
      </c>
      <c r="C2037" s="2" t="n">
        <v>1</v>
      </c>
      <c r="D2037" s="2" t="s">
        <v>1687</v>
      </c>
      <c r="E2037" s="2" t="s">
        <v>3136</v>
      </c>
      <c r="F2037" s="2"/>
      <c r="G2037" s="2" t="n">
        <v>2</v>
      </c>
      <c r="H2037" s="2" t="s">
        <v>1689</v>
      </c>
      <c r="I2037" s="2" t="n">
        <v>8</v>
      </c>
    </row>
    <row r="2038" customFormat="false" ht="15" hidden="false" customHeight="false" outlineLevel="0" collapsed="false">
      <c r="A2038" s="2" t="s">
        <v>1378</v>
      </c>
      <c r="B2038" s="2" t="s">
        <v>341</v>
      </c>
      <c r="C2038" s="2" t="n">
        <v>300</v>
      </c>
      <c r="D2038" s="2" t="s">
        <v>54</v>
      </c>
      <c r="E2038" s="2" t="s">
        <v>3137</v>
      </c>
      <c r="F2038" s="2" t="n">
        <v>150</v>
      </c>
      <c r="G2038" s="2" t="n">
        <v>450</v>
      </c>
      <c r="H2038" s="2" t="s">
        <v>1693</v>
      </c>
      <c r="I2038" s="2" t="n">
        <v>1</v>
      </c>
    </row>
    <row r="2039" customFormat="false" ht="15" hidden="false" customHeight="false" outlineLevel="0" collapsed="false">
      <c r="A2039" s="2" t="s">
        <v>1378</v>
      </c>
      <c r="B2039" s="2" t="s">
        <v>388</v>
      </c>
      <c r="C2039" s="2" t="n">
        <v>100</v>
      </c>
      <c r="D2039" s="2" t="s">
        <v>54</v>
      </c>
      <c r="E2039" s="2" t="s">
        <v>3138</v>
      </c>
      <c r="F2039" s="2" t="n">
        <v>50</v>
      </c>
      <c r="G2039" s="2" t="n">
        <v>150</v>
      </c>
      <c r="H2039" s="2" t="s">
        <v>1689</v>
      </c>
      <c r="I2039" s="2" t="n">
        <v>2</v>
      </c>
    </row>
    <row r="2040" customFormat="false" ht="15" hidden="false" customHeight="false" outlineLevel="0" collapsed="false">
      <c r="A2040" s="2" t="s">
        <v>1378</v>
      </c>
      <c r="B2040" s="2" t="s">
        <v>183</v>
      </c>
      <c r="C2040" s="2" t="n">
        <v>100</v>
      </c>
      <c r="D2040" s="2" t="s">
        <v>54</v>
      </c>
      <c r="E2040" s="2" t="s">
        <v>3139</v>
      </c>
      <c r="F2040" s="2" t="n">
        <v>50</v>
      </c>
      <c r="G2040" s="2" t="n">
        <v>150</v>
      </c>
      <c r="H2040" s="2" t="s">
        <v>1689</v>
      </c>
      <c r="I2040" s="2" t="n">
        <v>3</v>
      </c>
    </row>
    <row r="2041" customFormat="false" ht="15" hidden="false" customHeight="false" outlineLevel="0" collapsed="false">
      <c r="A2041" s="2" t="s">
        <v>1378</v>
      </c>
      <c r="B2041" s="2" t="s">
        <v>546</v>
      </c>
      <c r="C2041" s="2" t="n">
        <v>90</v>
      </c>
      <c r="D2041" s="2" t="s">
        <v>54</v>
      </c>
      <c r="E2041" s="2" t="s">
        <v>3140</v>
      </c>
      <c r="F2041" s="2" t="n">
        <v>45</v>
      </c>
      <c r="G2041" s="2" t="n">
        <v>135</v>
      </c>
      <c r="H2041" s="2" t="s">
        <v>1689</v>
      </c>
      <c r="I2041" s="2" t="n">
        <v>4</v>
      </c>
    </row>
    <row r="2042" customFormat="false" ht="15" hidden="false" customHeight="false" outlineLevel="0" collapsed="false">
      <c r="A2042" s="2" t="s">
        <v>1378</v>
      </c>
      <c r="B2042" s="2" t="s">
        <v>210</v>
      </c>
      <c r="C2042" s="2" t="n">
        <v>120</v>
      </c>
      <c r="D2042" s="2" t="s">
        <v>54</v>
      </c>
      <c r="E2042" s="2" t="s">
        <v>3141</v>
      </c>
      <c r="F2042" s="2" t="n">
        <v>60</v>
      </c>
      <c r="G2042" s="2" t="n">
        <v>180</v>
      </c>
      <c r="H2042" s="2" t="s">
        <v>1689</v>
      </c>
      <c r="I2042" s="2" t="n">
        <v>5</v>
      </c>
    </row>
    <row r="2043" customFormat="false" ht="15" hidden="false" customHeight="false" outlineLevel="0" collapsed="false">
      <c r="A2043" s="2" t="s">
        <v>1378</v>
      </c>
      <c r="B2043" s="2" t="s">
        <v>500</v>
      </c>
      <c r="C2043" s="2" t="n">
        <v>2</v>
      </c>
      <c r="D2043" s="2" t="s">
        <v>1687</v>
      </c>
      <c r="E2043" s="2" t="s">
        <v>2877</v>
      </c>
      <c r="F2043" s="2" t="n">
        <v>1</v>
      </c>
      <c r="G2043" s="2" t="n">
        <v>3</v>
      </c>
      <c r="H2043" s="2" t="s">
        <v>1689</v>
      </c>
      <c r="I2043" s="2" t="n">
        <v>6</v>
      </c>
    </row>
    <row r="2044" customFormat="false" ht="15" hidden="false" customHeight="false" outlineLevel="0" collapsed="false">
      <c r="A2044" s="2" t="s">
        <v>1378</v>
      </c>
      <c r="B2044" s="2" t="s">
        <v>454</v>
      </c>
      <c r="C2044" s="2" t="n">
        <v>120</v>
      </c>
      <c r="D2044" s="2" t="s">
        <v>54</v>
      </c>
      <c r="E2044" s="2" t="s">
        <v>3142</v>
      </c>
      <c r="F2044" s="2" t="n">
        <v>60</v>
      </c>
      <c r="G2044" s="2" t="n">
        <v>180</v>
      </c>
      <c r="H2044" s="2" t="s">
        <v>1689</v>
      </c>
      <c r="I2044" s="2" t="n">
        <v>7</v>
      </c>
    </row>
    <row r="2045" customFormat="false" ht="15" hidden="false" customHeight="false" outlineLevel="0" collapsed="false">
      <c r="A2045" s="2" t="s">
        <v>1378</v>
      </c>
      <c r="B2045" s="2" t="s">
        <v>498</v>
      </c>
      <c r="C2045" s="2" t="n">
        <v>60</v>
      </c>
      <c r="D2045" s="2" t="s">
        <v>54</v>
      </c>
      <c r="E2045" s="2" t="s">
        <v>3143</v>
      </c>
      <c r="F2045" s="2" t="n">
        <v>30</v>
      </c>
      <c r="G2045" s="2" t="n">
        <v>90</v>
      </c>
      <c r="H2045" s="2" t="s">
        <v>1693</v>
      </c>
      <c r="I2045" s="2" t="n">
        <v>8</v>
      </c>
    </row>
    <row r="2046" customFormat="false" ht="15" hidden="false" customHeight="false" outlineLevel="0" collapsed="false">
      <c r="A2046" s="2" t="s">
        <v>1378</v>
      </c>
      <c r="B2046" s="2" t="s">
        <v>85</v>
      </c>
      <c r="C2046" s="2" t="n">
        <v>15</v>
      </c>
      <c r="D2046" s="2" t="s">
        <v>54</v>
      </c>
      <c r="E2046" s="2" t="s">
        <v>3144</v>
      </c>
      <c r="F2046" s="2" t="n">
        <v>7.5</v>
      </c>
      <c r="G2046" s="2" t="n">
        <v>22.5</v>
      </c>
      <c r="H2046" s="2" t="s">
        <v>1700</v>
      </c>
      <c r="I2046" s="2" t="n">
        <v>9</v>
      </c>
    </row>
    <row r="2047" customFormat="false" ht="15" hidden="false" customHeight="false" outlineLevel="0" collapsed="false">
      <c r="A2047" s="2" t="s">
        <v>1378</v>
      </c>
      <c r="B2047" s="2" t="s">
        <v>496</v>
      </c>
      <c r="C2047" s="2" t="n">
        <v>30</v>
      </c>
      <c r="D2047" s="2" t="s">
        <v>76</v>
      </c>
      <c r="E2047" s="2" t="s">
        <v>3145</v>
      </c>
      <c r="F2047" s="2" t="n">
        <v>15</v>
      </c>
      <c r="G2047" s="2" t="n">
        <v>45</v>
      </c>
      <c r="H2047" s="2" t="s">
        <v>1693</v>
      </c>
      <c r="I2047" s="2" t="n">
        <v>10</v>
      </c>
    </row>
    <row r="2048" customFormat="false" ht="15" hidden="false" customHeight="false" outlineLevel="0" collapsed="false">
      <c r="A2048" s="2" t="s">
        <v>1378</v>
      </c>
      <c r="B2048" s="2" t="s">
        <v>91</v>
      </c>
      <c r="C2048" s="2" t="n">
        <v>15</v>
      </c>
      <c r="D2048" s="2" t="s">
        <v>54</v>
      </c>
      <c r="E2048" s="2" t="s">
        <v>2924</v>
      </c>
      <c r="F2048" s="2" t="n">
        <v>7.5</v>
      </c>
      <c r="G2048" s="2" t="n">
        <v>22.5</v>
      </c>
      <c r="H2048" s="2" t="s">
        <v>1689</v>
      </c>
      <c r="I2048" s="2" t="n">
        <v>11</v>
      </c>
    </row>
    <row r="2049" customFormat="false" ht="15" hidden="false" customHeight="false" outlineLevel="0" collapsed="false">
      <c r="A2049" s="2" t="s">
        <v>1378</v>
      </c>
      <c r="B2049" s="2" t="s">
        <v>456</v>
      </c>
      <c r="C2049" s="2" t="n">
        <v>0.5</v>
      </c>
      <c r="D2049" s="2" t="s">
        <v>1687</v>
      </c>
      <c r="E2049" s="2" t="s">
        <v>3146</v>
      </c>
      <c r="F2049" s="2"/>
      <c r="G2049" s="2" t="n">
        <v>1.5</v>
      </c>
      <c r="H2049" s="2" t="s">
        <v>1689</v>
      </c>
      <c r="I2049" s="2" t="n">
        <v>12</v>
      </c>
    </row>
    <row r="2050" customFormat="false" ht="15" hidden="false" customHeight="false" outlineLevel="0" collapsed="false">
      <c r="A2050" s="2" t="s">
        <v>1378</v>
      </c>
      <c r="B2050" s="2" t="s">
        <v>486</v>
      </c>
      <c r="C2050" s="2" t="n">
        <v>15</v>
      </c>
      <c r="D2050" s="2" t="s">
        <v>54</v>
      </c>
      <c r="E2050" s="2" t="s">
        <v>3147</v>
      </c>
      <c r="F2050" s="2" t="n">
        <v>7.5</v>
      </c>
      <c r="G2050" s="2" t="n">
        <v>22.5</v>
      </c>
      <c r="H2050" s="2" t="s">
        <v>1700</v>
      </c>
      <c r="I2050" s="2" t="n">
        <v>13</v>
      </c>
    </row>
    <row r="2051" customFormat="false" ht="15" hidden="false" customHeight="false" outlineLevel="0" collapsed="false">
      <c r="A2051" s="2" t="s">
        <v>1378</v>
      </c>
      <c r="B2051" s="2" t="s">
        <v>143</v>
      </c>
      <c r="C2051" s="2" t="n">
        <v>30</v>
      </c>
      <c r="D2051" s="2" t="s">
        <v>76</v>
      </c>
      <c r="E2051" s="2" t="s">
        <v>3148</v>
      </c>
      <c r="F2051" s="2" t="n">
        <v>15</v>
      </c>
      <c r="G2051" s="2" t="n">
        <v>45</v>
      </c>
      <c r="H2051" s="2" t="s">
        <v>1689</v>
      </c>
      <c r="I2051" s="2" t="n">
        <v>14</v>
      </c>
    </row>
    <row r="2052" customFormat="false" ht="15" hidden="false" customHeight="false" outlineLevel="0" collapsed="false">
      <c r="A2052" s="2" t="s">
        <v>1378</v>
      </c>
      <c r="B2052" s="2" t="s">
        <v>301</v>
      </c>
      <c r="C2052" s="2" t="n">
        <v>15</v>
      </c>
      <c r="D2052" s="2" t="s">
        <v>54</v>
      </c>
      <c r="E2052" s="2" t="s">
        <v>3149</v>
      </c>
      <c r="F2052" s="2" t="n">
        <v>7.5</v>
      </c>
      <c r="G2052" s="2" t="n">
        <v>22.5</v>
      </c>
      <c r="H2052" s="2" t="s">
        <v>1689</v>
      </c>
      <c r="I2052" s="2" t="n">
        <v>15</v>
      </c>
    </row>
    <row r="2053" customFormat="false" ht="15" hidden="false" customHeight="false" outlineLevel="0" collapsed="false">
      <c r="A2053" s="2" t="s">
        <v>1378</v>
      </c>
      <c r="B2053" s="2" t="s">
        <v>301</v>
      </c>
      <c r="C2053" s="2" t="n">
        <v>15</v>
      </c>
      <c r="D2053" s="2" t="s">
        <v>54</v>
      </c>
      <c r="E2053" s="2" t="s">
        <v>3150</v>
      </c>
      <c r="F2053" s="2" t="n">
        <v>7.5</v>
      </c>
      <c r="G2053" s="2" t="n">
        <v>22.5</v>
      </c>
      <c r="H2053" s="2" t="s">
        <v>1689</v>
      </c>
      <c r="I2053" s="2" t="n">
        <v>16</v>
      </c>
    </row>
    <row r="2054" customFormat="false" ht="15" hidden="false" customHeight="false" outlineLevel="0" collapsed="false">
      <c r="A2054" s="2" t="s">
        <v>1380</v>
      </c>
      <c r="B2054" s="2" t="s">
        <v>81</v>
      </c>
      <c r="C2054" s="2" t="n">
        <v>300</v>
      </c>
      <c r="D2054" s="2" t="s">
        <v>54</v>
      </c>
      <c r="E2054" s="2" t="s">
        <v>1803</v>
      </c>
      <c r="F2054" s="2" t="n">
        <v>150</v>
      </c>
      <c r="G2054" s="2" t="n">
        <v>450</v>
      </c>
      <c r="H2054" s="2" t="s">
        <v>1689</v>
      </c>
      <c r="I2054" s="2" t="n">
        <v>1</v>
      </c>
    </row>
    <row r="2055" customFormat="false" ht="15" hidden="false" customHeight="false" outlineLevel="0" collapsed="false">
      <c r="A2055" s="2" t="s">
        <v>1380</v>
      </c>
      <c r="B2055" s="2" t="s">
        <v>110</v>
      </c>
      <c r="C2055" s="2" t="n">
        <v>2</v>
      </c>
      <c r="D2055" s="2" t="s">
        <v>1687</v>
      </c>
      <c r="E2055" s="2" t="s">
        <v>1720</v>
      </c>
      <c r="F2055" s="2" t="n">
        <v>1</v>
      </c>
      <c r="G2055" s="2" t="n">
        <v>3</v>
      </c>
      <c r="H2055" s="2" t="s">
        <v>1693</v>
      </c>
      <c r="I2055" s="2" t="n">
        <v>2</v>
      </c>
    </row>
    <row r="2056" customFormat="false" ht="15" hidden="false" customHeight="false" outlineLevel="0" collapsed="false">
      <c r="A2056" s="2" t="s">
        <v>1380</v>
      </c>
      <c r="B2056" s="2" t="s">
        <v>52</v>
      </c>
      <c r="C2056" s="2" t="n">
        <v>3</v>
      </c>
      <c r="D2056" s="2" t="s">
        <v>1687</v>
      </c>
      <c r="E2056" s="2" t="s">
        <v>1804</v>
      </c>
      <c r="F2056" s="2" t="n">
        <v>2</v>
      </c>
      <c r="G2056" s="2" t="n">
        <v>4</v>
      </c>
      <c r="H2056" s="2" t="s">
        <v>1689</v>
      </c>
      <c r="I2056" s="2" t="n">
        <v>3</v>
      </c>
    </row>
    <row r="2057" customFormat="false" ht="15" hidden="false" customHeight="false" outlineLevel="0" collapsed="false">
      <c r="A2057" s="2" t="s">
        <v>1380</v>
      </c>
      <c r="B2057" s="2" t="s">
        <v>148</v>
      </c>
      <c r="C2057" s="2" t="n">
        <v>60</v>
      </c>
      <c r="D2057" s="2" t="s">
        <v>54</v>
      </c>
      <c r="E2057" s="2" t="s">
        <v>3151</v>
      </c>
      <c r="F2057" s="2" t="n">
        <v>30</v>
      </c>
      <c r="G2057" s="2" t="n">
        <v>90</v>
      </c>
      <c r="H2057" s="2" t="s">
        <v>1693</v>
      </c>
      <c r="I2057" s="2" t="n">
        <v>4</v>
      </c>
    </row>
    <row r="2058" customFormat="false" ht="15" hidden="false" customHeight="false" outlineLevel="0" collapsed="false">
      <c r="A2058" s="2" t="s">
        <v>1380</v>
      </c>
      <c r="B2058" s="2" t="s">
        <v>91</v>
      </c>
      <c r="C2058" s="2" t="n">
        <v>30</v>
      </c>
      <c r="D2058" s="2" t="s">
        <v>54</v>
      </c>
      <c r="E2058" s="2" t="s">
        <v>3152</v>
      </c>
      <c r="F2058" s="2" t="n">
        <v>15</v>
      </c>
      <c r="G2058" s="2" t="n">
        <v>45</v>
      </c>
      <c r="H2058" s="2" t="s">
        <v>1689</v>
      </c>
      <c r="I2058" s="2" t="n">
        <v>5</v>
      </c>
    </row>
    <row r="2059" customFormat="false" ht="15" hidden="false" customHeight="false" outlineLevel="0" collapsed="false">
      <c r="A2059" s="2" t="s">
        <v>1380</v>
      </c>
      <c r="B2059" s="2" t="s">
        <v>234</v>
      </c>
      <c r="C2059" s="2" t="n">
        <v>15</v>
      </c>
      <c r="D2059" s="2" t="s">
        <v>54</v>
      </c>
      <c r="E2059" s="2" t="s">
        <v>3153</v>
      </c>
      <c r="F2059" s="2" t="n">
        <v>7.5</v>
      </c>
      <c r="G2059" s="2" t="n">
        <v>22.5</v>
      </c>
      <c r="H2059" s="2" t="s">
        <v>1700</v>
      </c>
      <c r="I2059" s="2" t="n">
        <v>6</v>
      </c>
    </row>
    <row r="2060" customFormat="false" ht="15" hidden="false" customHeight="false" outlineLevel="0" collapsed="false">
      <c r="A2060" s="2" t="s">
        <v>1380</v>
      </c>
      <c r="B2060" s="2" t="s">
        <v>271</v>
      </c>
      <c r="C2060" s="2" t="n">
        <v>8</v>
      </c>
      <c r="D2060" s="2" t="s">
        <v>54</v>
      </c>
      <c r="E2060" s="2" t="s">
        <v>3154</v>
      </c>
      <c r="F2060" s="2" t="n">
        <v>4</v>
      </c>
      <c r="G2060" s="2" t="n">
        <v>12</v>
      </c>
      <c r="H2060" s="2" t="s">
        <v>1689</v>
      </c>
      <c r="I2060" s="2" t="n">
        <v>7</v>
      </c>
    </row>
    <row r="2061" customFormat="false" ht="15" hidden="false" customHeight="false" outlineLevel="0" collapsed="false">
      <c r="A2061" s="2" t="s">
        <v>1382</v>
      </c>
      <c r="B2061" s="2" t="s">
        <v>52</v>
      </c>
      <c r="C2061" s="2" t="n">
        <v>1</v>
      </c>
      <c r="D2061" s="2" t="s">
        <v>1687</v>
      </c>
      <c r="E2061" s="2" t="s">
        <v>3155</v>
      </c>
      <c r="F2061" s="2"/>
      <c r="G2061" s="2" t="n">
        <v>2</v>
      </c>
      <c r="H2061" s="2" t="s">
        <v>1689</v>
      </c>
      <c r="I2061" s="2" t="n">
        <v>1</v>
      </c>
    </row>
    <row r="2062" customFormat="false" ht="15" hidden="false" customHeight="false" outlineLevel="0" collapsed="false">
      <c r="A2062" s="2" t="s">
        <v>1382</v>
      </c>
      <c r="B2062" s="2" t="s">
        <v>343</v>
      </c>
      <c r="C2062" s="2" t="n">
        <v>1</v>
      </c>
      <c r="D2062" s="2" t="s">
        <v>1687</v>
      </c>
      <c r="E2062" s="2" t="s">
        <v>3156</v>
      </c>
      <c r="F2062" s="2"/>
      <c r="G2062" s="2" t="n">
        <v>2</v>
      </c>
      <c r="H2062" s="2" t="s">
        <v>1689</v>
      </c>
      <c r="I2062" s="2" t="n">
        <v>2</v>
      </c>
    </row>
    <row r="2063" customFormat="false" ht="15" hidden="false" customHeight="false" outlineLevel="0" collapsed="false">
      <c r="A2063" s="2" t="s">
        <v>1382</v>
      </c>
      <c r="B2063" s="2" t="s">
        <v>392</v>
      </c>
      <c r="C2063" s="2" t="n">
        <v>60</v>
      </c>
      <c r="D2063" s="2" t="s">
        <v>54</v>
      </c>
      <c r="E2063" s="2" t="s">
        <v>3157</v>
      </c>
      <c r="F2063" s="2" t="n">
        <v>30</v>
      </c>
      <c r="G2063" s="2" t="n">
        <v>90</v>
      </c>
      <c r="H2063" s="2" t="s">
        <v>1689</v>
      </c>
      <c r="I2063" s="2" t="n">
        <v>3</v>
      </c>
    </row>
    <row r="2064" customFormat="false" ht="15" hidden="false" customHeight="false" outlineLevel="0" collapsed="false">
      <c r="A2064" s="2" t="s">
        <v>1382</v>
      </c>
      <c r="B2064" s="2" t="s">
        <v>536</v>
      </c>
      <c r="C2064" s="2" t="n">
        <v>250</v>
      </c>
      <c r="D2064" s="2" t="s">
        <v>76</v>
      </c>
      <c r="E2064" s="2" t="s">
        <v>3158</v>
      </c>
      <c r="F2064" s="2" t="n">
        <v>125</v>
      </c>
      <c r="G2064" s="2" t="n">
        <v>375</v>
      </c>
      <c r="H2064" s="2" t="s">
        <v>1700</v>
      </c>
      <c r="I2064" s="2" t="n">
        <v>4</v>
      </c>
    </row>
    <row r="2065" customFormat="false" ht="15" hidden="false" customHeight="false" outlineLevel="0" collapsed="false">
      <c r="A2065" s="2" t="s">
        <v>1382</v>
      </c>
      <c r="B2065" s="2" t="s">
        <v>71</v>
      </c>
      <c r="C2065" s="2" t="n">
        <v>30</v>
      </c>
      <c r="D2065" s="2" t="s">
        <v>54</v>
      </c>
      <c r="E2065" s="2" t="s">
        <v>3159</v>
      </c>
      <c r="F2065" s="2" t="n">
        <v>15</v>
      </c>
      <c r="G2065" s="2" t="n">
        <v>45</v>
      </c>
      <c r="H2065" s="2" t="s">
        <v>1693</v>
      </c>
      <c r="I2065" s="2" t="n">
        <v>5</v>
      </c>
    </row>
    <row r="2066" customFormat="false" ht="15" hidden="false" customHeight="false" outlineLevel="0" collapsed="false">
      <c r="A2066" s="2" t="s">
        <v>1385</v>
      </c>
      <c r="B2066" s="2" t="s">
        <v>363</v>
      </c>
      <c r="C2066" s="2" t="n">
        <v>500</v>
      </c>
      <c r="D2066" s="2" t="s">
        <v>54</v>
      </c>
      <c r="E2066" s="2" t="s">
        <v>3160</v>
      </c>
      <c r="F2066" s="2" t="n">
        <v>250</v>
      </c>
      <c r="G2066" s="2" t="n">
        <v>750</v>
      </c>
      <c r="H2066" s="2" t="s">
        <v>1693</v>
      </c>
      <c r="I2066" s="2" t="n">
        <v>1</v>
      </c>
    </row>
    <row r="2067" customFormat="false" ht="15" hidden="false" customHeight="false" outlineLevel="0" collapsed="false">
      <c r="A2067" s="2" t="s">
        <v>1385</v>
      </c>
      <c r="B2067" s="2" t="s">
        <v>129</v>
      </c>
      <c r="C2067" s="2" t="n">
        <v>15</v>
      </c>
      <c r="D2067" s="2" t="s">
        <v>54</v>
      </c>
      <c r="E2067" s="2" t="s">
        <v>3161</v>
      </c>
      <c r="F2067" s="2" t="n">
        <v>7.5</v>
      </c>
      <c r="G2067" s="2" t="n">
        <v>22.5</v>
      </c>
      <c r="H2067" s="2" t="s">
        <v>1700</v>
      </c>
      <c r="I2067" s="2" t="n">
        <v>2</v>
      </c>
    </row>
    <row r="2068" customFormat="false" ht="15" hidden="false" customHeight="false" outlineLevel="0" collapsed="false">
      <c r="A2068" s="2" t="s">
        <v>1385</v>
      </c>
      <c r="B2068" s="2" t="s">
        <v>409</v>
      </c>
      <c r="C2068" s="2" t="n">
        <v>80</v>
      </c>
      <c r="D2068" s="2" t="s">
        <v>54</v>
      </c>
      <c r="E2068" s="2" t="s">
        <v>3162</v>
      </c>
      <c r="F2068" s="2" t="n">
        <v>40</v>
      </c>
      <c r="G2068" s="2" t="n">
        <v>120</v>
      </c>
      <c r="H2068" s="2" t="s">
        <v>1689</v>
      </c>
      <c r="I2068" s="2" t="n">
        <v>3</v>
      </c>
    </row>
    <row r="2069" customFormat="false" ht="15" hidden="false" customHeight="false" outlineLevel="0" collapsed="false">
      <c r="A2069" s="2" t="s">
        <v>1385</v>
      </c>
      <c r="B2069" s="2" t="s">
        <v>216</v>
      </c>
      <c r="C2069" s="2" t="n">
        <v>80</v>
      </c>
      <c r="D2069" s="2" t="s">
        <v>54</v>
      </c>
      <c r="E2069" s="2" t="s">
        <v>3163</v>
      </c>
      <c r="F2069" s="2" t="n">
        <v>40</v>
      </c>
      <c r="G2069" s="2" t="n">
        <v>120</v>
      </c>
      <c r="H2069" s="2" t="s">
        <v>1689</v>
      </c>
      <c r="I2069" s="2" t="n">
        <v>4</v>
      </c>
    </row>
    <row r="2070" customFormat="false" ht="15" hidden="false" customHeight="false" outlineLevel="0" collapsed="false">
      <c r="A2070" s="2" t="s">
        <v>1385</v>
      </c>
      <c r="B2070" s="2" t="s">
        <v>312</v>
      </c>
      <c r="C2070" s="2" t="n">
        <v>2</v>
      </c>
      <c r="D2070" s="2" t="s">
        <v>1687</v>
      </c>
      <c r="E2070" s="2" t="s">
        <v>2934</v>
      </c>
      <c r="F2070" s="2" t="n">
        <v>1</v>
      </c>
      <c r="G2070" s="2" t="n">
        <v>3</v>
      </c>
      <c r="H2070" s="2" t="s">
        <v>1689</v>
      </c>
      <c r="I2070" s="2" t="n">
        <v>5</v>
      </c>
    </row>
    <row r="2071" customFormat="false" ht="15" hidden="false" customHeight="false" outlineLevel="0" collapsed="false">
      <c r="A2071" s="2" t="s">
        <v>1385</v>
      </c>
      <c r="B2071" s="2" t="s">
        <v>210</v>
      </c>
      <c r="C2071" s="2" t="n">
        <v>120</v>
      </c>
      <c r="D2071" s="2" t="s">
        <v>54</v>
      </c>
      <c r="E2071" s="2" t="s">
        <v>3164</v>
      </c>
      <c r="F2071" s="2" t="n">
        <v>60</v>
      </c>
      <c r="G2071" s="2" t="n">
        <v>180</v>
      </c>
      <c r="H2071" s="2" t="s">
        <v>1689</v>
      </c>
      <c r="I2071" s="2" t="n">
        <v>6</v>
      </c>
    </row>
    <row r="2072" customFormat="false" ht="15" hidden="false" customHeight="false" outlineLevel="0" collapsed="false">
      <c r="A2072" s="2" t="s">
        <v>1385</v>
      </c>
      <c r="B2072" s="2" t="s">
        <v>422</v>
      </c>
      <c r="C2072" s="2" t="n">
        <v>800</v>
      </c>
      <c r="D2072" s="2" t="s">
        <v>54</v>
      </c>
      <c r="E2072" s="2" t="s">
        <v>3165</v>
      </c>
      <c r="F2072" s="2" t="n">
        <v>400</v>
      </c>
      <c r="G2072" s="2" t="n">
        <v>1200</v>
      </c>
      <c r="H2072" s="2" t="s">
        <v>1689</v>
      </c>
      <c r="I2072" s="2" t="n">
        <v>7</v>
      </c>
    </row>
    <row r="2073" customFormat="false" ht="15" hidden="false" customHeight="false" outlineLevel="0" collapsed="false">
      <c r="A2073" s="2" t="s">
        <v>1385</v>
      </c>
      <c r="B2073" s="2" t="s">
        <v>526</v>
      </c>
      <c r="C2073" s="2" t="n">
        <v>30</v>
      </c>
      <c r="D2073" s="2" t="s">
        <v>54</v>
      </c>
      <c r="E2073" s="2" t="s">
        <v>3166</v>
      </c>
      <c r="F2073" s="2" t="n">
        <v>15</v>
      </c>
      <c r="G2073" s="2" t="n">
        <v>45</v>
      </c>
      <c r="H2073" s="2" t="s">
        <v>1689</v>
      </c>
      <c r="I2073" s="2" t="n">
        <v>8</v>
      </c>
    </row>
    <row r="2074" customFormat="false" ht="15" hidden="false" customHeight="false" outlineLevel="0" collapsed="false">
      <c r="A2074" s="2" t="s">
        <v>1385</v>
      </c>
      <c r="B2074" s="2" t="s">
        <v>271</v>
      </c>
      <c r="C2074" s="2" t="n">
        <v>4</v>
      </c>
      <c r="D2074" s="2" t="s">
        <v>54</v>
      </c>
      <c r="E2074" s="2" t="s">
        <v>3167</v>
      </c>
      <c r="F2074" s="2" t="n">
        <v>2</v>
      </c>
      <c r="G2074" s="2" t="n">
        <v>6</v>
      </c>
      <c r="H2074" s="2" t="s">
        <v>1689</v>
      </c>
      <c r="I2074" s="2" t="n">
        <v>9</v>
      </c>
    </row>
    <row r="2075" customFormat="false" ht="15" hidden="false" customHeight="false" outlineLevel="0" collapsed="false">
      <c r="A2075" s="2" t="s">
        <v>1385</v>
      </c>
      <c r="B2075" s="2" t="s">
        <v>562</v>
      </c>
      <c r="C2075" s="2" t="n">
        <v>5</v>
      </c>
      <c r="D2075" s="2" t="s">
        <v>76</v>
      </c>
      <c r="E2075" s="2" t="s">
        <v>3168</v>
      </c>
      <c r="F2075" s="2" t="n">
        <v>2.5</v>
      </c>
      <c r="G2075" s="2" t="n">
        <v>7.5</v>
      </c>
      <c r="H2075" s="2" t="s">
        <v>1689</v>
      </c>
      <c r="I2075" s="2" t="n">
        <v>10</v>
      </c>
    </row>
    <row r="2076" customFormat="false" ht="15" hidden="false" customHeight="false" outlineLevel="0" collapsed="false">
      <c r="A2076" s="2" t="s">
        <v>1385</v>
      </c>
      <c r="B2076" s="2" t="s">
        <v>424</v>
      </c>
      <c r="C2076" s="2" t="n">
        <v>500</v>
      </c>
      <c r="D2076" s="2" t="s">
        <v>54</v>
      </c>
      <c r="E2076" s="2" t="s">
        <v>3169</v>
      </c>
      <c r="F2076" s="2" t="n">
        <v>250</v>
      </c>
      <c r="G2076" s="2" t="n">
        <v>750</v>
      </c>
      <c r="H2076" s="2" t="s">
        <v>1689</v>
      </c>
      <c r="I2076" s="2" t="n">
        <v>11</v>
      </c>
    </row>
    <row r="2077" customFormat="false" ht="15" hidden="false" customHeight="false" outlineLevel="0" collapsed="false">
      <c r="A2077" s="2" t="s">
        <v>1385</v>
      </c>
      <c r="B2077" s="2" t="s">
        <v>420</v>
      </c>
      <c r="C2077" s="2" t="n">
        <v>15</v>
      </c>
      <c r="D2077" s="2" t="s">
        <v>54</v>
      </c>
      <c r="E2077" s="2" t="s">
        <v>3170</v>
      </c>
      <c r="F2077" s="2" t="n">
        <v>7.5</v>
      </c>
      <c r="G2077" s="2" t="n">
        <v>22.5</v>
      </c>
      <c r="H2077" s="2" t="s">
        <v>1693</v>
      </c>
      <c r="I2077" s="2" t="n">
        <v>12</v>
      </c>
    </row>
    <row r="2078" customFormat="false" ht="15" hidden="false" customHeight="false" outlineLevel="0" collapsed="false">
      <c r="A2078" s="2" t="s">
        <v>1385</v>
      </c>
      <c r="B2078" s="2" t="s">
        <v>131</v>
      </c>
      <c r="C2078" s="2" t="n">
        <v>1</v>
      </c>
      <c r="D2078" s="2" t="s">
        <v>54</v>
      </c>
      <c r="E2078" s="2" t="s">
        <v>1880</v>
      </c>
      <c r="F2078" s="2" t="n">
        <v>0.5</v>
      </c>
      <c r="G2078" s="2" t="n">
        <v>1.5</v>
      </c>
      <c r="H2078" s="2" t="s">
        <v>1689</v>
      </c>
      <c r="I2078" s="2" t="n">
        <v>13</v>
      </c>
    </row>
    <row r="2079" customFormat="false" ht="15" hidden="false" customHeight="false" outlineLevel="0" collapsed="false">
      <c r="A2079" s="2" t="s">
        <v>1388</v>
      </c>
      <c r="B2079" s="2" t="s">
        <v>71</v>
      </c>
      <c r="C2079" s="2" t="n">
        <v>30</v>
      </c>
      <c r="D2079" s="2" t="s">
        <v>54</v>
      </c>
      <c r="E2079" s="2" t="s">
        <v>3171</v>
      </c>
      <c r="F2079" s="2" t="n">
        <v>15</v>
      </c>
      <c r="G2079" s="2" t="n">
        <v>45</v>
      </c>
      <c r="H2079" s="2" t="s">
        <v>1693</v>
      </c>
      <c r="I2079" s="2" t="n">
        <v>1</v>
      </c>
    </row>
    <row r="2080" customFormat="false" ht="15" hidden="false" customHeight="false" outlineLevel="0" collapsed="false">
      <c r="A2080" s="2" t="s">
        <v>1388</v>
      </c>
      <c r="B2080" s="2" t="s">
        <v>52</v>
      </c>
      <c r="C2080" s="2" t="n">
        <v>1.5</v>
      </c>
      <c r="D2080" s="2" t="s">
        <v>1687</v>
      </c>
      <c r="E2080" s="2" t="s">
        <v>3172</v>
      </c>
      <c r="F2080" s="2" t="n">
        <v>0.5</v>
      </c>
      <c r="G2080" s="2" t="n">
        <v>2.5</v>
      </c>
      <c r="H2080" s="2" t="s">
        <v>1689</v>
      </c>
      <c r="I2080" s="2" t="n">
        <v>2</v>
      </c>
    </row>
    <row r="2081" customFormat="false" ht="15" hidden="false" customHeight="false" outlineLevel="0" collapsed="false">
      <c r="A2081" s="2" t="s">
        <v>1388</v>
      </c>
      <c r="B2081" s="2" t="s">
        <v>110</v>
      </c>
      <c r="C2081" s="2" t="n">
        <v>2</v>
      </c>
      <c r="D2081" s="2" t="s">
        <v>1687</v>
      </c>
      <c r="E2081" s="2" t="s">
        <v>1720</v>
      </c>
      <c r="F2081" s="2" t="n">
        <v>1</v>
      </c>
      <c r="G2081" s="2" t="n">
        <v>3</v>
      </c>
      <c r="H2081" s="2" t="s">
        <v>1693</v>
      </c>
      <c r="I2081" s="2" t="n">
        <v>3</v>
      </c>
    </row>
    <row r="2082" customFormat="false" ht="15" hidden="false" customHeight="false" outlineLevel="0" collapsed="false">
      <c r="A2082" s="2" t="s">
        <v>1388</v>
      </c>
      <c r="B2082" s="2" t="s">
        <v>234</v>
      </c>
      <c r="C2082" s="2" t="n">
        <v>5</v>
      </c>
      <c r="D2082" s="2" t="s">
        <v>54</v>
      </c>
      <c r="E2082" s="2" t="s">
        <v>3173</v>
      </c>
      <c r="F2082" s="2" t="n">
        <v>2.5</v>
      </c>
      <c r="G2082" s="2" t="n">
        <v>7.5</v>
      </c>
      <c r="H2082" s="2" t="s">
        <v>1700</v>
      </c>
      <c r="I2082" s="2" t="n">
        <v>4</v>
      </c>
    </row>
    <row r="2083" customFormat="false" ht="15" hidden="false" customHeight="false" outlineLevel="0" collapsed="false">
      <c r="A2083" s="2" t="s">
        <v>1388</v>
      </c>
      <c r="B2083" s="2" t="s">
        <v>93</v>
      </c>
      <c r="C2083" s="2" t="n">
        <v>15</v>
      </c>
      <c r="D2083" s="2" t="s">
        <v>54</v>
      </c>
      <c r="E2083" s="2" t="s">
        <v>3174</v>
      </c>
      <c r="F2083" s="2" t="n">
        <v>7.5</v>
      </c>
      <c r="G2083" s="2" t="n">
        <v>22.5</v>
      </c>
      <c r="H2083" s="2" t="s">
        <v>1689</v>
      </c>
      <c r="I2083" s="2" t="n">
        <v>5</v>
      </c>
    </row>
    <row r="2084" customFormat="false" ht="15" hidden="false" customHeight="false" outlineLevel="0" collapsed="false">
      <c r="A2084" s="2" t="s">
        <v>1388</v>
      </c>
      <c r="B2084" s="2" t="s">
        <v>59</v>
      </c>
      <c r="C2084" s="2" t="n">
        <v>40</v>
      </c>
      <c r="D2084" s="2" t="s">
        <v>54</v>
      </c>
      <c r="E2084" s="2" t="s">
        <v>3175</v>
      </c>
      <c r="F2084" s="2" t="n">
        <v>20</v>
      </c>
      <c r="G2084" s="2" t="n">
        <v>60</v>
      </c>
      <c r="H2084" s="2" t="s">
        <v>1689</v>
      </c>
      <c r="I2084" s="2" t="n">
        <v>6</v>
      </c>
    </row>
    <row r="2085" customFormat="false" ht="15" hidden="false" customHeight="false" outlineLevel="0" collapsed="false">
      <c r="A2085" s="2" t="s">
        <v>1388</v>
      </c>
      <c r="B2085" s="2" t="s">
        <v>91</v>
      </c>
      <c r="C2085" s="2" t="n">
        <v>5</v>
      </c>
      <c r="D2085" s="2" t="s">
        <v>54</v>
      </c>
      <c r="E2085" s="2" t="s">
        <v>2825</v>
      </c>
      <c r="F2085" s="2" t="n">
        <v>2.5</v>
      </c>
      <c r="G2085" s="2" t="n">
        <v>7.5</v>
      </c>
      <c r="H2085" s="2" t="s">
        <v>1689</v>
      </c>
      <c r="I2085" s="2" t="n">
        <v>7</v>
      </c>
    </row>
    <row r="2086" customFormat="false" ht="15" hidden="false" customHeight="false" outlineLevel="0" collapsed="false">
      <c r="A2086" s="2" t="s">
        <v>1391</v>
      </c>
      <c r="B2086" s="2" t="s">
        <v>129</v>
      </c>
      <c r="C2086" s="2" t="n">
        <v>15</v>
      </c>
      <c r="D2086" s="2" t="s">
        <v>54</v>
      </c>
      <c r="E2086" s="2" t="s">
        <v>3161</v>
      </c>
      <c r="F2086" s="2" t="n">
        <v>7.5</v>
      </c>
      <c r="G2086" s="2" t="n">
        <v>22.5</v>
      </c>
      <c r="H2086" s="2" t="s">
        <v>1700</v>
      </c>
      <c r="I2086" s="2" t="n">
        <v>1</v>
      </c>
    </row>
    <row r="2087" customFormat="false" ht="15" hidden="false" customHeight="false" outlineLevel="0" collapsed="false">
      <c r="A2087" s="2" t="s">
        <v>1391</v>
      </c>
      <c r="B2087" s="2" t="s">
        <v>409</v>
      </c>
      <c r="C2087" s="2" t="n">
        <v>80</v>
      </c>
      <c r="D2087" s="2" t="s">
        <v>54</v>
      </c>
      <c r="E2087" s="2" t="s">
        <v>3176</v>
      </c>
      <c r="F2087" s="2" t="n">
        <v>40</v>
      </c>
      <c r="G2087" s="2" t="n">
        <v>120</v>
      </c>
      <c r="H2087" s="2" t="s">
        <v>1689</v>
      </c>
      <c r="I2087" s="2" t="n">
        <v>2</v>
      </c>
    </row>
    <row r="2088" customFormat="false" ht="15" hidden="false" customHeight="false" outlineLevel="0" collapsed="false">
      <c r="A2088" s="2" t="s">
        <v>1391</v>
      </c>
      <c r="B2088" s="2" t="s">
        <v>312</v>
      </c>
      <c r="C2088" s="2" t="n">
        <v>2</v>
      </c>
      <c r="D2088" s="2" t="s">
        <v>1687</v>
      </c>
      <c r="E2088" s="2" t="s">
        <v>2934</v>
      </c>
      <c r="F2088" s="2" t="n">
        <v>1</v>
      </c>
      <c r="G2088" s="2" t="n">
        <v>3</v>
      </c>
      <c r="H2088" s="2" t="s">
        <v>1689</v>
      </c>
      <c r="I2088" s="2" t="n">
        <v>3</v>
      </c>
    </row>
    <row r="2089" customFormat="false" ht="15" hidden="false" customHeight="false" outlineLevel="0" collapsed="false">
      <c r="A2089" s="2" t="s">
        <v>1391</v>
      </c>
      <c r="B2089" s="2" t="s">
        <v>81</v>
      </c>
      <c r="C2089" s="2" t="n">
        <v>75</v>
      </c>
      <c r="D2089" s="2" t="s">
        <v>54</v>
      </c>
      <c r="E2089" s="2" t="s">
        <v>3177</v>
      </c>
      <c r="F2089" s="2" t="n">
        <v>37.5</v>
      </c>
      <c r="G2089" s="2" t="n">
        <v>112.5</v>
      </c>
      <c r="H2089" s="2" t="s">
        <v>1689</v>
      </c>
      <c r="I2089" s="2" t="n">
        <v>4</v>
      </c>
    </row>
    <row r="2090" customFormat="false" ht="15" hidden="false" customHeight="false" outlineLevel="0" collapsed="false">
      <c r="A2090" s="2" t="s">
        <v>1391</v>
      </c>
      <c r="B2090" s="2" t="s">
        <v>363</v>
      </c>
      <c r="C2090" s="2" t="n">
        <v>400</v>
      </c>
      <c r="D2090" s="2" t="s">
        <v>54</v>
      </c>
      <c r="E2090" s="2" t="s">
        <v>3178</v>
      </c>
      <c r="F2090" s="2" t="n">
        <v>200</v>
      </c>
      <c r="G2090" s="2" t="n">
        <v>600</v>
      </c>
      <c r="H2090" s="2" t="s">
        <v>1693</v>
      </c>
      <c r="I2090" s="2" t="n">
        <v>5</v>
      </c>
    </row>
    <row r="2091" customFormat="false" ht="15" hidden="false" customHeight="false" outlineLevel="0" collapsed="false">
      <c r="A2091" s="2" t="s">
        <v>1391</v>
      </c>
      <c r="B2091" s="2" t="s">
        <v>571</v>
      </c>
      <c r="C2091" s="2" t="n">
        <v>75</v>
      </c>
      <c r="D2091" s="2" t="s">
        <v>54</v>
      </c>
      <c r="E2091" s="2" t="s">
        <v>3179</v>
      </c>
      <c r="F2091" s="2" t="n">
        <v>37.5</v>
      </c>
      <c r="G2091" s="2" t="n">
        <v>112.5</v>
      </c>
      <c r="H2091" s="2" t="s">
        <v>1689</v>
      </c>
      <c r="I2091" s="2" t="n">
        <v>6</v>
      </c>
    </row>
    <row r="2092" customFormat="false" ht="15" hidden="false" customHeight="false" outlineLevel="0" collapsed="false">
      <c r="A2092" s="2" t="s">
        <v>1391</v>
      </c>
      <c r="B2092" s="2" t="s">
        <v>210</v>
      </c>
      <c r="C2092" s="2" t="n">
        <v>60</v>
      </c>
      <c r="D2092" s="2" t="s">
        <v>54</v>
      </c>
      <c r="E2092" s="2" t="s">
        <v>3180</v>
      </c>
      <c r="F2092" s="2" t="n">
        <v>30</v>
      </c>
      <c r="G2092" s="2" t="n">
        <v>90</v>
      </c>
      <c r="H2092" s="2" t="s">
        <v>1689</v>
      </c>
      <c r="I2092" s="2" t="n">
        <v>7</v>
      </c>
    </row>
    <row r="2093" customFormat="false" ht="15" hidden="false" customHeight="false" outlineLevel="0" collapsed="false">
      <c r="A2093" s="2" t="s">
        <v>1391</v>
      </c>
      <c r="B2093" s="2" t="s">
        <v>110</v>
      </c>
      <c r="C2093" s="2" t="n">
        <v>1</v>
      </c>
      <c r="D2093" s="2" t="s">
        <v>1687</v>
      </c>
      <c r="E2093" s="2" t="s">
        <v>1853</v>
      </c>
      <c r="F2093" s="2"/>
      <c r="G2093" s="2" t="n">
        <v>2</v>
      </c>
      <c r="H2093" s="2" t="s">
        <v>1693</v>
      </c>
      <c r="I2093" s="2" t="n">
        <v>8</v>
      </c>
    </row>
    <row r="2094" customFormat="false" ht="15" hidden="false" customHeight="false" outlineLevel="0" collapsed="false">
      <c r="A2094" s="2" t="s">
        <v>1391</v>
      </c>
      <c r="B2094" s="2" t="s">
        <v>394</v>
      </c>
      <c r="C2094" s="2" t="n">
        <v>50</v>
      </c>
      <c r="D2094" s="2" t="s">
        <v>54</v>
      </c>
      <c r="E2094" s="2" t="s">
        <v>3181</v>
      </c>
      <c r="F2094" s="2" t="n">
        <v>25</v>
      </c>
      <c r="G2094" s="2" t="n">
        <v>75</v>
      </c>
      <c r="H2094" s="2" t="s">
        <v>1689</v>
      </c>
      <c r="I2094" s="2" t="n">
        <v>9</v>
      </c>
    </row>
    <row r="2095" customFormat="false" ht="15" hidden="false" customHeight="false" outlineLevel="0" collapsed="false">
      <c r="A2095" s="2" t="s">
        <v>1391</v>
      </c>
      <c r="B2095" s="2" t="s">
        <v>524</v>
      </c>
      <c r="C2095" s="2" t="n">
        <v>90</v>
      </c>
      <c r="D2095" s="2" t="s">
        <v>54</v>
      </c>
      <c r="E2095" s="2" t="s">
        <v>3182</v>
      </c>
      <c r="F2095" s="2" t="n">
        <v>45</v>
      </c>
      <c r="G2095" s="2" t="n">
        <v>135</v>
      </c>
      <c r="H2095" s="2" t="s">
        <v>1689</v>
      </c>
      <c r="I2095" s="2" t="n">
        <v>10</v>
      </c>
    </row>
    <row r="2096" customFormat="false" ht="15" hidden="false" customHeight="false" outlineLevel="0" collapsed="false">
      <c r="A2096" s="2" t="s">
        <v>1391</v>
      </c>
      <c r="B2096" s="2" t="s">
        <v>528</v>
      </c>
      <c r="C2096" s="2" t="n">
        <v>37.5</v>
      </c>
      <c r="D2096" s="2" t="s">
        <v>54</v>
      </c>
      <c r="E2096" s="2" t="s">
        <v>3183</v>
      </c>
      <c r="F2096" s="2" t="n">
        <v>18.75</v>
      </c>
      <c r="G2096" s="2" t="n">
        <v>56.25</v>
      </c>
      <c r="H2096" s="2" t="s">
        <v>1689</v>
      </c>
      <c r="I2096" s="2" t="n">
        <v>11</v>
      </c>
    </row>
    <row r="2097" customFormat="false" ht="15" hidden="false" customHeight="false" outlineLevel="0" collapsed="false">
      <c r="A2097" s="2" t="s">
        <v>1391</v>
      </c>
      <c r="B2097" s="2" t="s">
        <v>117</v>
      </c>
      <c r="C2097" s="2" t="n">
        <v>1.5</v>
      </c>
      <c r="D2097" s="2" t="s">
        <v>1687</v>
      </c>
      <c r="E2097" s="2" t="s">
        <v>3184</v>
      </c>
      <c r="F2097" s="2" t="n">
        <v>0.5</v>
      </c>
      <c r="G2097" s="2" t="n">
        <v>2.5</v>
      </c>
      <c r="H2097" s="2" t="s">
        <v>1700</v>
      </c>
      <c r="I2097" s="2" t="n">
        <v>12</v>
      </c>
    </row>
    <row r="2098" customFormat="false" ht="15" hidden="false" customHeight="false" outlineLevel="0" collapsed="false">
      <c r="A2098" s="2" t="s">
        <v>1391</v>
      </c>
      <c r="B2098" s="2" t="s">
        <v>201</v>
      </c>
      <c r="C2098" s="2" t="n">
        <v>5</v>
      </c>
      <c r="D2098" s="2" t="s">
        <v>1687</v>
      </c>
      <c r="E2098" s="2" t="s">
        <v>3185</v>
      </c>
      <c r="F2098" s="2" t="n">
        <v>4</v>
      </c>
      <c r="G2098" s="2" t="n">
        <v>6</v>
      </c>
      <c r="H2098" s="2" t="s">
        <v>1689</v>
      </c>
      <c r="I2098" s="2" t="n">
        <v>13</v>
      </c>
    </row>
    <row r="2099" customFormat="false" ht="15" hidden="false" customHeight="false" outlineLevel="0" collapsed="false">
      <c r="A2099" s="2" t="s">
        <v>1394</v>
      </c>
      <c r="B2099" s="2" t="s">
        <v>74</v>
      </c>
      <c r="C2099" s="2" t="n">
        <v>100</v>
      </c>
      <c r="D2099" s="2" t="s">
        <v>76</v>
      </c>
      <c r="E2099" s="2" t="s">
        <v>1702</v>
      </c>
      <c r="F2099" s="2" t="n">
        <v>50</v>
      </c>
      <c r="G2099" s="2" t="n">
        <v>150</v>
      </c>
      <c r="H2099" s="2" t="s">
        <v>1689</v>
      </c>
      <c r="I2099" s="2" t="n">
        <v>1</v>
      </c>
    </row>
    <row r="2100" customFormat="false" ht="15" hidden="false" customHeight="false" outlineLevel="0" collapsed="false">
      <c r="A2100" s="2" t="s">
        <v>1394</v>
      </c>
      <c r="B2100" s="2" t="s">
        <v>148</v>
      </c>
      <c r="C2100" s="2" t="n">
        <v>50</v>
      </c>
      <c r="D2100" s="2" t="s">
        <v>54</v>
      </c>
      <c r="E2100" s="2" t="s">
        <v>3186</v>
      </c>
      <c r="F2100" s="2" t="n">
        <v>25</v>
      </c>
      <c r="G2100" s="2" t="n">
        <v>75</v>
      </c>
      <c r="H2100" s="2" t="s">
        <v>1693</v>
      </c>
      <c r="I2100" s="2" t="n">
        <v>2</v>
      </c>
    </row>
    <row r="2101" customFormat="false" ht="15" hidden="false" customHeight="false" outlineLevel="0" collapsed="false">
      <c r="A2101" s="2" t="s">
        <v>1394</v>
      </c>
      <c r="B2101" s="2" t="s">
        <v>81</v>
      </c>
      <c r="C2101" s="2" t="n">
        <v>50</v>
      </c>
      <c r="D2101" s="2" t="s">
        <v>54</v>
      </c>
      <c r="E2101" s="2" t="s">
        <v>3187</v>
      </c>
      <c r="F2101" s="2" t="n">
        <v>25</v>
      </c>
      <c r="G2101" s="2" t="n">
        <v>75</v>
      </c>
      <c r="H2101" s="2" t="s">
        <v>1689</v>
      </c>
      <c r="I2101" s="2" t="n">
        <v>3</v>
      </c>
    </row>
    <row r="2102" customFormat="false" ht="15" hidden="false" customHeight="false" outlineLevel="0" collapsed="false">
      <c r="A2102" s="2" t="s">
        <v>1394</v>
      </c>
      <c r="B2102" s="2" t="s">
        <v>544</v>
      </c>
      <c r="C2102" s="2" t="n">
        <v>20</v>
      </c>
      <c r="D2102" s="2" t="s">
        <v>54</v>
      </c>
      <c r="E2102" s="2" t="s">
        <v>3188</v>
      </c>
      <c r="F2102" s="2" t="n">
        <v>10</v>
      </c>
      <c r="G2102" s="2" t="n">
        <v>30</v>
      </c>
      <c r="H2102" s="2" t="s">
        <v>1700</v>
      </c>
      <c r="I2102" s="2" t="n">
        <v>4</v>
      </c>
    </row>
    <row r="2103" customFormat="false" ht="15" hidden="false" customHeight="false" outlineLevel="0" collapsed="false">
      <c r="A2103" s="2" t="s">
        <v>1394</v>
      </c>
      <c r="B2103" s="2" t="s">
        <v>450</v>
      </c>
      <c r="C2103" s="2" t="n">
        <v>20</v>
      </c>
      <c r="D2103" s="2" t="s">
        <v>54</v>
      </c>
      <c r="E2103" s="2" t="s">
        <v>3189</v>
      </c>
      <c r="F2103" s="2" t="n">
        <v>10</v>
      </c>
      <c r="G2103" s="2" t="n">
        <v>30</v>
      </c>
      <c r="H2103" s="2" t="s">
        <v>1689</v>
      </c>
      <c r="I2103" s="2" t="n">
        <v>5</v>
      </c>
    </row>
    <row r="2104" customFormat="false" ht="15" hidden="false" customHeight="false" outlineLevel="0" collapsed="false">
      <c r="A2104" s="2" t="s">
        <v>1394</v>
      </c>
      <c r="B2104" s="2" t="s">
        <v>91</v>
      </c>
      <c r="C2104" s="2" t="n">
        <v>5</v>
      </c>
      <c r="D2104" s="2" t="s">
        <v>54</v>
      </c>
      <c r="E2104" s="2" t="s">
        <v>2825</v>
      </c>
      <c r="F2104" s="2" t="n">
        <v>2.5</v>
      </c>
      <c r="G2104" s="2" t="n">
        <v>7.5</v>
      </c>
      <c r="H2104" s="2" t="s">
        <v>1689</v>
      </c>
      <c r="I2104" s="2" t="n">
        <v>6</v>
      </c>
    </row>
    <row r="2105" customFormat="false" ht="15" hidden="false" customHeight="false" outlineLevel="0" collapsed="false">
      <c r="A2105" s="2" t="s">
        <v>1394</v>
      </c>
      <c r="B2105" s="2" t="s">
        <v>210</v>
      </c>
      <c r="C2105" s="2" t="n">
        <v>50</v>
      </c>
      <c r="D2105" s="2" t="s">
        <v>54</v>
      </c>
      <c r="E2105" s="2" t="s">
        <v>3190</v>
      </c>
      <c r="F2105" s="2" t="n">
        <v>25</v>
      </c>
      <c r="G2105" s="2" t="n">
        <v>75</v>
      </c>
      <c r="H2105" s="2" t="s">
        <v>1689</v>
      </c>
      <c r="I2105" s="2" t="n">
        <v>7</v>
      </c>
    </row>
    <row r="2106" customFormat="false" ht="15" hidden="false" customHeight="false" outlineLevel="0" collapsed="false">
      <c r="A2106" s="2" t="s">
        <v>1394</v>
      </c>
      <c r="B2106" s="2" t="s">
        <v>271</v>
      </c>
      <c r="C2106" s="2" t="n">
        <v>2</v>
      </c>
      <c r="D2106" s="2" t="s">
        <v>54</v>
      </c>
      <c r="E2106" s="2" t="s">
        <v>3191</v>
      </c>
      <c r="F2106" s="2" t="n">
        <v>1</v>
      </c>
      <c r="G2106" s="2" t="n">
        <v>3</v>
      </c>
      <c r="H2106" s="2" t="s">
        <v>1689</v>
      </c>
      <c r="I2106" s="2" t="n">
        <v>8</v>
      </c>
    </row>
    <row r="2107" customFormat="false" ht="15" hidden="false" customHeight="false" outlineLevel="0" collapsed="false">
      <c r="A2107" s="2" t="s">
        <v>1394</v>
      </c>
      <c r="B2107" s="2" t="s">
        <v>271</v>
      </c>
      <c r="C2107" s="2" t="n">
        <v>2</v>
      </c>
      <c r="D2107" s="2" t="s">
        <v>54</v>
      </c>
      <c r="E2107" s="2" t="s">
        <v>3192</v>
      </c>
      <c r="F2107" s="2" t="n">
        <v>1</v>
      </c>
      <c r="G2107" s="2" t="n">
        <v>3</v>
      </c>
      <c r="H2107" s="2" t="s">
        <v>1689</v>
      </c>
      <c r="I2107" s="2" t="n">
        <v>9</v>
      </c>
    </row>
    <row r="2108" customFormat="false" ht="15" hidden="false" customHeight="false" outlineLevel="0" collapsed="false">
      <c r="A2108" s="2" t="s">
        <v>1398</v>
      </c>
      <c r="B2108" s="2" t="s">
        <v>110</v>
      </c>
      <c r="C2108" s="2" t="n">
        <v>3</v>
      </c>
      <c r="D2108" s="2" t="s">
        <v>1687</v>
      </c>
      <c r="E2108" s="2" t="s">
        <v>3193</v>
      </c>
      <c r="F2108" s="2" t="n">
        <v>2</v>
      </c>
      <c r="G2108" s="2" t="n">
        <v>4</v>
      </c>
      <c r="H2108" s="2" t="s">
        <v>1693</v>
      </c>
      <c r="I2108" s="2" t="n">
        <v>1</v>
      </c>
    </row>
    <row r="2109" customFormat="false" ht="15" hidden="false" customHeight="false" outlineLevel="0" collapsed="false">
      <c r="A2109" s="2" t="s">
        <v>1398</v>
      </c>
      <c r="B2109" s="2" t="s">
        <v>524</v>
      </c>
      <c r="C2109" s="2" t="n">
        <v>100</v>
      </c>
      <c r="D2109" s="2" t="s">
        <v>54</v>
      </c>
      <c r="E2109" s="2" t="s">
        <v>3194</v>
      </c>
      <c r="F2109" s="2" t="n">
        <v>50</v>
      </c>
      <c r="G2109" s="2" t="n">
        <v>150</v>
      </c>
      <c r="H2109" s="2" t="s">
        <v>1689</v>
      </c>
      <c r="I2109" s="2" t="n">
        <v>2</v>
      </c>
    </row>
    <row r="2110" customFormat="false" ht="15" hidden="false" customHeight="false" outlineLevel="0" collapsed="false">
      <c r="A2110" s="2" t="s">
        <v>1398</v>
      </c>
      <c r="B2110" s="2" t="s">
        <v>129</v>
      </c>
      <c r="C2110" s="2" t="n">
        <v>5</v>
      </c>
      <c r="D2110" s="2" t="s">
        <v>54</v>
      </c>
      <c r="E2110" s="2" t="s">
        <v>2929</v>
      </c>
      <c r="F2110" s="2" t="n">
        <v>2.5</v>
      </c>
      <c r="G2110" s="2" t="n">
        <v>7.5</v>
      </c>
      <c r="H2110" s="2" t="s">
        <v>1700</v>
      </c>
      <c r="I2110" s="2" t="n">
        <v>3</v>
      </c>
    </row>
    <row r="2111" customFormat="false" ht="15" hidden="false" customHeight="false" outlineLevel="0" collapsed="false">
      <c r="A2111" s="2" t="s">
        <v>1398</v>
      </c>
      <c r="B2111" s="2" t="s">
        <v>289</v>
      </c>
      <c r="C2111" s="2" t="n">
        <v>40</v>
      </c>
      <c r="D2111" s="2" t="s">
        <v>54</v>
      </c>
      <c r="E2111" s="2" t="s">
        <v>3195</v>
      </c>
      <c r="F2111" s="2" t="n">
        <v>20</v>
      </c>
      <c r="G2111" s="2" t="n">
        <v>60</v>
      </c>
      <c r="H2111" s="2" t="s">
        <v>1700</v>
      </c>
      <c r="I2111" s="2" t="n">
        <v>4</v>
      </c>
    </row>
    <row r="2112" customFormat="false" ht="15" hidden="false" customHeight="false" outlineLevel="0" collapsed="false">
      <c r="A2112" s="2" t="s">
        <v>1398</v>
      </c>
      <c r="B2112" s="2" t="s">
        <v>271</v>
      </c>
      <c r="C2112" s="2" t="n">
        <v>1</v>
      </c>
      <c r="D2112" s="2" t="s">
        <v>54</v>
      </c>
      <c r="E2112" s="2" t="s">
        <v>3196</v>
      </c>
      <c r="F2112" s="2" t="n">
        <v>0.5</v>
      </c>
      <c r="G2112" s="2" t="n">
        <v>1.5</v>
      </c>
      <c r="H2112" s="2" t="s">
        <v>1689</v>
      </c>
      <c r="I2112" s="2" t="n">
        <v>5</v>
      </c>
    </row>
    <row r="2113" customFormat="false" ht="15" hidden="false" customHeight="false" outlineLevel="0" collapsed="false">
      <c r="A2113" s="2" t="s">
        <v>1401</v>
      </c>
      <c r="B2113" s="2" t="s">
        <v>312</v>
      </c>
      <c r="C2113" s="2" t="n">
        <v>2</v>
      </c>
      <c r="D2113" s="2" t="s">
        <v>1687</v>
      </c>
      <c r="E2113" s="2" t="s">
        <v>1982</v>
      </c>
      <c r="F2113" s="2" t="n">
        <v>1</v>
      </c>
      <c r="G2113" s="2" t="n">
        <v>3</v>
      </c>
      <c r="H2113" s="2" t="s">
        <v>1689</v>
      </c>
      <c r="I2113" s="2" t="n">
        <v>1</v>
      </c>
    </row>
    <row r="2114" customFormat="false" ht="15" hidden="false" customHeight="false" outlineLevel="0" collapsed="false">
      <c r="A2114" s="2" t="s">
        <v>1401</v>
      </c>
      <c r="B2114" s="2" t="s">
        <v>291</v>
      </c>
      <c r="C2114" s="2" t="n">
        <v>440</v>
      </c>
      <c r="D2114" s="2" t="s">
        <v>54</v>
      </c>
      <c r="E2114" s="2" t="s">
        <v>3197</v>
      </c>
      <c r="F2114" s="2" t="n">
        <v>220</v>
      </c>
      <c r="G2114" s="2" t="n">
        <v>660</v>
      </c>
      <c r="H2114" s="2" t="s">
        <v>1693</v>
      </c>
      <c r="I2114" s="2" t="n">
        <v>2</v>
      </c>
    </row>
    <row r="2115" customFormat="false" ht="15" hidden="false" customHeight="false" outlineLevel="0" collapsed="false">
      <c r="A2115" s="2" t="s">
        <v>1401</v>
      </c>
      <c r="B2115" s="2" t="s">
        <v>102</v>
      </c>
      <c r="C2115" s="2" t="n">
        <v>480</v>
      </c>
      <c r="D2115" s="2" t="s">
        <v>54</v>
      </c>
      <c r="E2115" s="2" t="s">
        <v>3198</v>
      </c>
      <c r="F2115" s="2" t="n">
        <v>240</v>
      </c>
      <c r="G2115" s="2" t="n">
        <v>720</v>
      </c>
      <c r="H2115" s="2" t="s">
        <v>1689</v>
      </c>
      <c r="I2115" s="2" t="n">
        <v>3</v>
      </c>
    </row>
    <row r="2116" customFormat="false" ht="15" hidden="false" customHeight="false" outlineLevel="0" collapsed="false">
      <c r="A2116" s="2" t="s">
        <v>1401</v>
      </c>
      <c r="B2116" s="2" t="s">
        <v>371</v>
      </c>
      <c r="C2116" s="2" t="n">
        <v>400</v>
      </c>
      <c r="D2116" s="2" t="s">
        <v>76</v>
      </c>
      <c r="E2116" s="2" t="s">
        <v>3199</v>
      </c>
      <c r="F2116" s="2" t="n">
        <v>200</v>
      </c>
      <c r="G2116" s="2" t="n">
        <v>600</v>
      </c>
      <c r="H2116" s="2" t="s">
        <v>1700</v>
      </c>
      <c r="I2116" s="2" t="n">
        <v>4</v>
      </c>
    </row>
    <row r="2117" customFormat="false" ht="15" hidden="false" customHeight="false" outlineLevel="0" collapsed="false">
      <c r="A2117" s="2" t="s">
        <v>1401</v>
      </c>
      <c r="B2117" s="2" t="s">
        <v>520</v>
      </c>
      <c r="C2117" s="2" t="n">
        <v>20</v>
      </c>
      <c r="D2117" s="2" t="s">
        <v>54</v>
      </c>
      <c r="E2117" s="2" t="s">
        <v>3200</v>
      </c>
      <c r="F2117" s="2" t="n">
        <v>10</v>
      </c>
      <c r="G2117" s="2" t="n">
        <v>30</v>
      </c>
      <c r="H2117" s="2" t="s">
        <v>1689</v>
      </c>
      <c r="I2117" s="2" t="n">
        <v>5</v>
      </c>
    </row>
    <row r="2118" customFormat="false" ht="15" hidden="false" customHeight="false" outlineLevel="0" collapsed="false">
      <c r="A2118" s="2" t="s">
        <v>1401</v>
      </c>
      <c r="B2118" s="2" t="s">
        <v>456</v>
      </c>
      <c r="C2118" s="2" t="n">
        <v>3</v>
      </c>
      <c r="D2118" s="2" t="s">
        <v>1687</v>
      </c>
      <c r="E2118" s="2" t="s">
        <v>3201</v>
      </c>
      <c r="F2118" s="2" t="n">
        <v>2</v>
      </c>
      <c r="G2118" s="2" t="n">
        <v>4</v>
      </c>
      <c r="H2118" s="2" t="s">
        <v>1689</v>
      </c>
      <c r="I2118" s="2" t="n">
        <v>6</v>
      </c>
    </row>
    <row r="2119" customFormat="false" ht="15" hidden="false" customHeight="false" outlineLevel="0" collapsed="false">
      <c r="A2119" s="2" t="s">
        <v>1401</v>
      </c>
      <c r="B2119" s="2" t="s">
        <v>299</v>
      </c>
      <c r="C2119" s="2" t="n">
        <v>5</v>
      </c>
      <c r="D2119" s="2" t="s">
        <v>54</v>
      </c>
      <c r="E2119" s="2" t="s">
        <v>3202</v>
      </c>
      <c r="F2119" s="2" t="n">
        <v>4</v>
      </c>
      <c r="G2119" s="2" t="n">
        <v>6</v>
      </c>
      <c r="H2119" s="2" t="s">
        <v>1689</v>
      </c>
      <c r="I2119" s="2" t="n">
        <v>7</v>
      </c>
    </row>
    <row r="2120" customFormat="false" ht="15" hidden="false" customHeight="false" outlineLevel="0" collapsed="false">
      <c r="A2120" s="2" t="s">
        <v>1401</v>
      </c>
      <c r="B2120" s="2" t="s">
        <v>496</v>
      </c>
      <c r="C2120" s="2" t="n">
        <v>15</v>
      </c>
      <c r="D2120" s="2" t="s">
        <v>76</v>
      </c>
      <c r="E2120" s="2" t="s">
        <v>3203</v>
      </c>
      <c r="F2120" s="2" t="n">
        <v>7.5</v>
      </c>
      <c r="G2120" s="2" t="n">
        <v>22.5</v>
      </c>
      <c r="H2120" s="2" t="s">
        <v>1693</v>
      </c>
      <c r="I2120" s="2" t="n">
        <v>8</v>
      </c>
    </row>
    <row r="2121" customFormat="false" ht="15" hidden="false" customHeight="false" outlineLevel="0" collapsed="false">
      <c r="A2121" s="2" t="s">
        <v>1401</v>
      </c>
      <c r="B2121" s="2" t="s">
        <v>367</v>
      </c>
      <c r="C2121" s="2" t="n">
        <v>3</v>
      </c>
      <c r="D2121" s="2" t="s">
        <v>76</v>
      </c>
      <c r="E2121" s="2" t="s">
        <v>3204</v>
      </c>
      <c r="F2121" s="2" t="n">
        <v>2</v>
      </c>
      <c r="G2121" s="2" t="n">
        <v>4</v>
      </c>
      <c r="H2121" s="2" t="s">
        <v>1689</v>
      </c>
      <c r="I2121" s="2" t="n">
        <v>9</v>
      </c>
    </row>
    <row r="2122" customFormat="false" ht="15" hidden="false" customHeight="false" outlineLevel="0" collapsed="false">
      <c r="A2122" s="2" t="s">
        <v>1401</v>
      </c>
      <c r="B2122" s="2" t="s">
        <v>129</v>
      </c>
      <c r="C2122" s="2" t="n">
        <v>30</v>
      </c>
      <c r="D2122" s="2" t="s">
        <v>54</v>
      </c>
      <c r="E2122" s="2" t="s">
        <v>3205</v>
      </c>
      <c r="F2122" s="2" t="n">
        <v>15</v>
      </c>
      <c r="G2122" s="2" t="n">
        <v>45</v>
      </c>
      <c r="H2122" s="2" t="s">
        <v>1700</v>
      </c>
      <c r="I2122" s="2" t="n">
        <v>10</v>
      </c>
    </row>
    <row r="2123" customFormat="false" ht="15" hidden="false" customHeight="false" outlineLevel="0" collapsed="false">
      <c r="A2123" s="2" t="s">
        <v>1401</v>
      </c>
      <c r="B2123" s="2" t="s">
        <v>85</v>
      </c>
      <c r="C2123" s="2" t="n">
        <v>30</v>
      </c>
      <c r="D2123" s="2" t="s">
        <v>54</v>
      </c>
      <c r="E2123" s="2" t="s">
        <v>3206</v>
      </c>
      <c r="F2123" s="2" t="n">
        <v>15</v>
      </c>
      <c r="G2123" s="2" t="n">
        <v>45</v>
      </c>
      <c r="H2123" s="2" t="s">
        <v>1700</v>
      </c>
      <c r="I2123" s="2" t="n">
        <v>11</v>
      </c>
    </row>
    <row r="2124" customFormat="false" ht="15" hidden="false" customHeight="false" outlineLevel="0" collapsed="false">
      <c r="A2124" s="2" t="s">
        <v>1401</v>
      </c>
      <c r="B2124" s="2" t="s">
        <v>271</v>
      </c>
      <c r="C2124" s="2" t="n">
        <v>2</v>
      </c>
      <c r="D2124" s="2" t="s">
        <v>54</v>
      </c>
      <c r="E2124" s="2" t="s">
        <v>3207</v>
      </c>
      <c r="F2124" s="2" t="n">
        <v>1</v>
      </c>
      <c r="G2124" s="2" t="n">
        <v>3</v>
      </c>
      <c r="H2124" s="2" t="s">
        <v>1689</v>
      </c>
      <c r="I2124" s="2" t="n">
        <v>12</v>
      </c>
    </row>
    <row r="2125" customFormat="false" ht="15" hidden="false" customHeight="false" outlineLevel="0" collapsed="false">
      <c r="A2125" s="2" t="s">
        <v>1401</v>
      </c>
      <c r="B2125" s="2" t="s">
        <v>177</v>
      </c>
      <c r="C2125" s="2" t="n">
        <v>190</v>
      </c>
      <c r="D2125" s="2" t="s">
        <v>54</v>
      </c>
      <c r="E2125" s="2" t="s">
        <v>3208</v>
      </c>
      <c r="F2125" s="2" t="n">
        <v>95</v>
      </c>
      <c r="G2125" s="2" t="n">
        <v>285</v>
      </c>
      <c r="H2125" s="2" t="s">
        <v>1689</v>
      </c>
      <c r="I2125" s="2" t="n">
        <v>13</v>
      </c>
    </row>
    <row r="2126" customFormat="false" ht="15" hidden="false" customHeight="false" outlineLevel="0" collapsed="false">
      <c r="A2126" s="2" t="s">
        <v>1403</v>
      </c>
      <c r="B2126" s="2" t="s">
        <v>347</v>
      </c>
      <c r="C2126" s="2" t="n">
        <v>150</v>
      </c>
      <c r="D2126" s="2" t="s">
        <v>54</v>
      </c>
      <c r="E2126" s="2" t="s">
        <v>3209</v>
      </c>
      <c r="F2126" s="2" t="n">
        <v>75</v>
      </c>
      <c r="G2126" s="2" t="n">
        <v>225</v>
      </c>
      <c r="H2126" s="2" t="s">
        <v>1693</v>
      </c>
      <c r="I2126" s="2" t="n">
        <v>1</v>
      </c>
    </row>
    <row r="2127" customFormat="false" ht="15" hidden="false" customHeight="false" outlineLevel="0" collapsed="false">
      <c r="A2127" s="2" t="s">
        <v>1403</v>
      </c>
      <c r="B2127" s="2" t="s">
        <v>514</v>
      </c>
      <c r="C2127" s="2" t="n">
        <v>200</v>
      </c>
      <c r="D2127" s="2" t="s">
        <v>54</v>
      </c>
      <c r="E2127" s="2" t="s">
        <v>3210</v>
      </c>
      <c r="F2127" s="2" t="n">
        <v>100</v>
      </c>
      <c r="G2127" s="2" t="n">
        <v>300</v>
      </c>
      <c r="H2127" s="2" t="s">
        <v>1689</v>
      </c>
      <c r="I2127" s="2" t="n">
        <v>2</v>
      </c>
    </row>
    <row r="2128" customFormat="false" ht="15" hidden="false" customHeight="false" outlineLevel="0" collapsed="false">
      <c r="A2128" s="2" t="s">
        <v>1403</v>
      </c>
      <c r="B2128" s="2" t="s">
        <v>129</v>
      </c>
      <c r="C2128" s="2" t="n">
        <v>5</v>
      </c>
      <c r="D2128" s="2" t="s">
        <v>54</v>
      </c>
      <c r="E2128" s="2" t="s">
        <v>2929</v>
      </c>
      <c r="F2128" s="2" t="n">
        <v>2.5</v>
      </c>
      <c r="G2128" s="2" t="n">
        <v>7.5</v>
      </c>
      <c r="H2128" s="2" t="s">
        <v>1700</v>
      </c>
      <c r="I2128" s="2" t="n">
        <v>3</v>
      </c>
    </row>
    <row r="2129" customFormat="false" ht="15" hidden="false" customHeight="false" outlineLevel="0" collapsed="false">
      <c r="A2129" s="2" t="s">
        <v>1403</v>
      </c>
      <c r="B2129" s="2" t="s">
        <v>312</v>
      </c>
      <c r="C2129" s="2" t="n">
        <v>1</v>
      </c>
      <c r="D2129" s="2" t="s">
        <v>1687</v>
      </c>
      <c r="E2129" s="2" t="s">
        <v>2875</v>
      </c>
      <c r="F2129" s="2"/>
      <c r="G2129" s="2" t="n">
        <v>2</v>
      </c>
      <c r="H2129" s="2" t="s">
        <v>1689</v>
      </c>
      <c r="I2129" s="2" t="n">
        <v>4</v>
      </c>
    </row>
    <row r="2130" customFormat="false" ht="15" hidden="false" customHeight="false" outlineLevel="0" collapsed="false">
      <c r="A2130" s="2" t="s">
        <v>1403</v>
      </c>
      <c r="B2130" s="2" t="s">
        <v>271</v>
      </c>
      <c r="C2130" s="2" t="n">
        <v>1</v>
      </c>
      <c r="D2130" s="2" t="s">
        <v>54</v>
      </c>
      <c r="E2130" s="2" t="s">
        <v>3211</v>
      </c>
      <c r="F2130" s="2" t="n">
        <v>0.5</v>
      </c>
      <c r="G2130" s="2" t="n">
        <v>1.5</v>
      </c>
      <c r="H2130" s="2" t="s">
        <v>1689</v>
      </c>
      <c r="I2130" s="2" t="n">
        <v>5</v>
      </c>
    </row>
    <row r="2131" customFormat="false" ht="15" hidden="false" customHeight="false" outlineLevel="0" collapsed="false">
      <c r="A2131" s="2" t="s">
        <v>1403</v>
      </c>
      <c r="B2131" s="2" t="s">
        <v>271</v>
      </c>
      <c r="C2131" s="2" t="n">
        <v>1</v>
      </c>
      <c r="D2131" s="2" t="s">
        <v>54</v>
      </c>
      <c r="E2131" s="2" t="s">
        <v>2723</v>
      </c>
      <c r="F2131" s="2" t="n">
        <v>0.5</v>
      </c>
      <c r="G2131" s="2" t="n">
        <v>1.5</v>
      </c>
      <c r="H2131" s="2" t="s">
        <v>1689</v>
      </c>
      <c r="I2131" s="2" t="n">
        <v>6</v>
      </c>
    </row>
    <row r="2132" customFormat="false" ht="15" hidden="false" customHeight="false" outlineLevel="0" collapsed="false">
      <c r="A2132" s="2" t="s">
        <v>1403</v>
      </c>
      <c r="B2132" s="2" t="s">
        <v>271</v>
      </c>
      <c r="C2132" s="2" t="n">
        <v>1</v>
      </c>
      <c r="D2132" s="2" t="s">
        <v>54</v>
      </c>
      <c r="E2132" s="2" t="s">
        <v>2692</v>
      </c>
      <c r="F2132" s="2" t="n">
        <v>0.5</v>
      </c>
      <c r="G2132" s="2" t="n">
        <v>1.5</v>
      </c>
      <c r="H2132" s="2" t="s">
        <v>1689</v>
      </c>
      <c r="I2132" s="2" t="n">
        <v>7</v>
      </c>
    </row>
    <row r="2133" customFormat="false" ht="15" hidden="false" customHeight="false" outlineLevel="0" collapsed="false">
      <c r="A2133" s="2" t="s">
        <v>1403</v>
      </c>
      <c r="B2133" s="2" t="s">
        <v>131</v>
      </c>
      <c r="C2133" s="2" t="n">
        <v>1</v>
      </c>
      <c r="D2133" s="2" t="s">
        <v>54</v>
      </c>
      <c r="E2133" s="2" t="s">
        <v>1880</v>
      </c>
      <c r="F2133" s="2" t="n">
        <v>0.5</v>
      </c>
      <c r="G2133" s="2" t="n">
        <v>1.5</v>
      </c>
      <c r="H2133" s="2" t="s">
        <v>1689</v>
      </c>
      <c r="I2133" s="2" t="n">
        <v>8</v>
      </c>
    </row>
    <row r="2134" customFormat="false" ht="15" hidden="false" customHeight="false" outlineLevel="0" collapsed="false">
      <c r="A2134" s="2" t="s">
        <v>1403</v>
      </c>
      <c r="B2134" s="2" t="s">
        <v>148</v>
      </c>
      <c r="C2134" s="2" t="n">
        <v>15</v>
      </c>
      <c r="D2134" s="2" t="s">
        <v>54</v>
      </c>
      <c r="E2134" s="2" t="s">
        <v>3212</v>
      </c>
      <c r="F2134" s="2" t="n">
        <v>7.5</v>
      </c>
      <c r="G2134" s="2" t="n">
        <v>22.5</v>
      </c>
      <c r="H2134" s="2" t="s">
        <v>1693</v>
      </c>
      <c r="I2134" s="2" t="n">
        <v>9</v>
      </c>
    </row>
    <row r="2135" customFormat="false" ht="15" hidden="false" customHeight="false" outlineLevel="0" collapsed="false">
      <c r="A2135" s="2" t="s">
        <v>1403</v>
      </c>
      <c r="B2135" s="2" t="s">
        <v>323</v>
      </c>
      <c r="C2135" s="2" t="n">
        <v>100</v>
      </c>
      <c r="D2135" s="2" t="s">
        <v>54</v>
      </c>
      <c r="E2135" s="2" t="s">
        <v>3213</v>
      </c>
      <c r="F2135" s="2" t="n">
        <v>50</v>
      </c>
      <c r="G2135" s="2" t="n">
        <v>150</v>
      </c>
      <c r="H2135" s="2" t="s">
        <v>1689</v>
      </c>
      <c r="I2135" s="2" t="n">
        <v>10</v>
      </c>
    </row>
    <row r="2136" customFormat="false" ht="15" hidden="false" customHeight="false" outlineLevel="0" collapsed="false">
      <c r="A2136" s="2" t="s">
        <v>1407</v>
      </c>
      <c r="B2136" s="2" t="s">
        <v>476</v>
      </c>
      <c r="C2136" s="2" t="n">
        <v>150</v>
      </c>
      <c r="D2136" s="2" t="s">
        <v>54</v>
      </c>
      <c r="E2136" s="2" t="s">
        <v>3214</v>
      </c>
      <c r="F2136" s="2" t="n">
        <v>75</v>
      </c>
      <c r="G2136" s="2" t="n">
        <v>225</v>
      </c>
      <c r="H2136" s="2" t="s">
        <v>1693</v>
      </c>
      <c r="I2136" s="2" t="n">
        <v>1</v>
      </c>
    </row>
    <row r="2137" customFormat="false" ht="15" hidden="false" customHeight="false" outlineLevel="0" collapsed="false">
      <c r="A2137" s="2" t="s">
        <v>1407</v>
      </c>
      <c r="B2137" s="2" t="s">
        <v>177</v>
      </c>
      <c r="C2137" s="2" t="n">
        <v>30</v>
      </c>
      <c r="D2137" s="2" t="s">
        <v>54</v>
      </c>
      <c r="E2137" s="2" t="s">
        <v>3215</v>
      </c>
      <c r="F2137" s="2" t="n">
        <v>15</v>
      </c>
      <c r="G2137" s="2" t="n">
        <v>45</v>
      </c>
      <c r="H2137" s="2" t="s">
        <v>1689</v>
      </c>
      <c r="I2137" s="2" t="n">
        <v>2</v>
      </c>
    </row>
    <row r="2138" customFormat="false" ht="15" hidden="false" customHeight="false" outlineLevel="0" collapsed="false">
      <c r="A2138" s="2" t="s">
        <v>1407</v>
      </c>
      <c r="B2138" s="2" t="s">
        <v>371</v>
      </c>
      <c r="C2138" s="2" t="n">
        <v>15</v>
      </c>
      <c r="D2138" s="2" t="s">
        <v>76</v>
      </c>
      <c r="E2138" s="2" t="s">
        <v>372</v>
      </c>
      <c r="F2138" s="2" t="n">
        <v>7.5</v>
      </c>
      <c r="G2138" s="2" t="n">
        <v>22.5</v>
      </c>
      <c r="H2138" s="2" t="s">
        <v>1700</v>
      </c>
      <c r="I2138" s="2" t="n">
        <v>3</v>
      </c>
    </row>
    <row r="2139" customFormat="false" ht="15" hidden="false" customHeight="false" outlineLevel="0" collapsed="false">
      <c r="A2139" s="2" t="s">
        <v>1407</v>
      </c>
      <c r="B2139" s="2" t="s">
        <v>454</v>
      </c>
      <c r="C2139" s="2" t="n">
        <v>150</v>
      </c>
      <c r="D2139" s="2" t="s">
        <v>54</v>
      </c>
      <c r="E2139" s="2" t="s">
        <v>3216</v>
      </c>
      <c r="F2139" s="2" t="n">
        <v>75</v>
      </c>
      <c r="G2139" s="2" t="n">
        <v>225</v>
      </c>
      <c r="H2139" s="2" t="s">
        <v>1689</v>
      </c>
      <c r="I2139" s="2" t="n">
        <v>4</v>
      </c>
    </row>
    <row r="2140" customFormat="false" ht="15" hidden="false" customHeight="false" outlineLevel="0" collapsed="false">
      <c r="A2140" s="2" t="s">
        <v>1407</v>
      </c>
      <c r="B2140" s="2" t="s">
        <v>486</v>
      </c>
      <c r="C2140" s="2" t="n">
        <v>5</v>
      </c>
      <c r="D2140" s="2" t="s">
        <v>54</v>
      </c>
      <c r="E2140" s="2" t="s">
        <v>3217</v>
      </c>
      <c r="F2140" s="2" t="n">
        <v>2.5</v>
      </c>
      <c r="G2140" s="2" t="n">
        <v>7.5</v>
      </c>
      <c r="H2140" s="2" t="s">
        <v>1700</v>
      </c>
      <c r="I2140" s="2" t="n">
        <v>5</v>
      </c>
    </row>
    <row r="2141" customFormat="false" ht="15" hidden="false" customHeight="false" outlineLevel="0" collapsed="false">
      <c r="A2141" s="2" t="s">
        <v>1407</v>
      </c>
      <c r="B2141" s="2" t="s">
        <v>496</v>
      </c>
      <c r="C2141" s="2" t="n">
        <v>5</v>
      </c>
      <c r="D2141" s="2" t="s">
        <v>76</v>
      </c>
      <c r="E2141" s="2" t="s">
        <v>3218</v>
      </c>
      <c r="F2141" s="2" t="n">
        <v>2.5</v>
      </c>
      <c r="G2141" s="2" t="n">
        <v>7.5</v>
      </c>
      <c r="H2141" s="2" t="s">
        <v>1693</v>
      </c>
      <c r="I2141" s="2" t="n">
        <v>6</v>
      </c>
    </row>
    <row r="2142" customFormat="false" ht="15" hidden="false" customHeight="false" outlineLevel="0" collapsed="false">
      <c r="A2142" s="2" t="s">
        <v>1407</v>
      </c>
      <c r="B2142" s="2" t="s">
        <v>91</v>
      </c>
      <c r="C2142" s="2" t="n">
        <v>5</v>
      </c>
      <c r="D2142" s="2" t="s">
        <v>54</v>
      </c>
      <c r="E2142" s="2" t="s">
        <v>2825</v>
      </c>
      <c r="F2142" s="2" t="n">
        <v>2.5</v>
      </c>
      <c r="G2142" s="2" t="n">
        <v>7.5</v>
      </c>
      <c r="H2142" s="2" t="s">
        <v>1689</v>
      </c>
      <c r="I2142" s="2" t="n">
        <v>7</v>
      </c>
    </row>
    <row r="2143" customFormat="false" ht="15" hidden="false" customHeight="false" outlineLevel="0" collapsed="false">
      <c r="A2143" s="2" t="s">
        <v>1407</v>
      </c>
      <c r="B2143" s="2" t="s">
        <v>299</v>
      </c>
      <c r="C2143" s="2" t="n">
        <v>1</v>
      </c>
      <c r="D2143" s="2" t="s">
        <v>54</v>
      </c>
      <c r="E2143" s="2" t="s">
        <v>3219</v>
      </c>
      <c r="F2143" s="2"/>
      <c r="G2143" s="2" t="n">
        <v>2</v>
      </c>
      <c r="H2143" s="2" t="s">
        <v>1689</v>
      </c>
      <c r="I2143" s="2" t="n">
        <v>8</v>
      </c>
    </row>
    <row r="2144" customFormat="false" ht="15" hidden="false" customHeight="false" outlineLevel="0" collapsed="false">
      <c r="A2144" s="2" t="s">
        <v>1407</v>
      </c>
      <c r="B2144" s="2" t="s">
        <v>312</v>
      </c>
      <c r="C2144" s="2" t="n">
        <v>1</v>
      </c>
      <c r="D2144" s="2" t="s">
        <v>1687</v>
      </c>
      <c r="E2144" s="2" t="s">
        <v>3220</v>
      </c>
      <c r="F2144" s="2"/>
      <c r="G2144" s="2" t="n">
        <v>2</v>
      </c>
      <c r="H2144" s="2" t="s">
        <v>1689</v>
      </c>
      <c r="I2144" s="2" t="n">
        <v>9</v>
      </c>
    </row>
    <row r="2145" customFormat="false" ht="15" hidden="false" customHeight="false" outlineLevel="0" collapsed="false">
      <c r="A2145" s="2" t="s">
        <v>1407</v>
      </c>
      <c r="B2145" s="2" t="s">
        <v>466</v>
      </c>
      <c r="C2145" s="2" t="n">
        <v>5</v>
      </c>
      <c r="D2145" s="2" t="s">
        <v>76</v>
      </c>
      <c r="E2145" s="2" t="s">
        <v>3221</v>
      </c>
      <c r="F2145" s="2" t="n">
        <v>2.5</v>
      </c>
      <c r="G2145" s="2" t="n">
        <v>7.5</v>
      </c>
      <c r="H2145" s="2" t="s">
        <v>1689</v>
      </c>
      <c r="I2145" s="2" t="n">
        <v>10</v>
      </c>
    </row>
    <row r="2146" customFormat="false" ht="15" hidden="false" customHeight="false" outlineLevel="0" collapsed="false">
      <c r="A2146" s="2" t="s">
        <v>1407</v>
      </c>
      <c r="B2146" s="2" t="s">
        <v>488</v>
      </c>
      <c r="C2146" s="2" t="n">
        <v>1</v>
      </c>
      <c r="D2146" s="2" t="s">
        <v>54</v>
      </c>
      <c r="E2146" s="2" t="s">
        <v>3222</v>
      </c>
      <c r="F2146" s="2" t="n">
        <v>0.5</v>
      </c>
      <c r="G2146" s="2" t="n">
        <v>1.5</v>
      </c>
      <c r="H2146" s="2" t="s">
        <v>1700</v>
      </c>
      <c r="I2146" s="2" t="n">
        <v>11</v>
      </c>
    </row>
    <row r="2147" customFormat="false" ht="15" hidden="false" customHeight="false" outlineLevel="0" collapsed="false">
      <c r="A2147" s="2" t="s">
        <v>1407</v>
      </c>
      <c r="B2147" s="2" t="s">
        <v>131</v>
      </c>
      <c r="C2147" s="2" t="n">
        <v>1</v>
      </c>
      <c r="D2147" s="2" t="s">
        <v>54</v>
      </c>
      <c r="E2147" s="2" t="s">
        <v>1880</v>
      </c>
      <c r="F2147" s="2" t="n">
        <v>0.5</v>
      </c>
      <c r="G2147" s="2" t="n">
        <v>1.5</v>
      </c>
      <c r="H2147" s="2" t="s">
        <v>1689</v>
      </c>
      <c r="I2147" s="2" t="n">
        <v>12</v>
      </c>
    </row>
    <row r="2148" customFormat="false" ht="15" hidden="false" customHeight="false" outlineLevel="0" collapsed="false">
      <c r="A2148" s="2" t="s">
        <v>1407</v>
      </c>
      <c r="B2148" s="2" t="s">
        <v>375</v>
      </c>
      <c r="C2148" s="2" t="n">
        <v>0.25</v>
      </c>
      <c r="D2148" s="2" t="s">
        <v>1687</v>
      </c>
      <c r="E2148" s="2" t="s">
        <v>3223</v>
      </c>
      <c r="F2148" s="2"/>
      <c r="G2148" s="2" t="n">
        <v>1.25</v>
      </c>
      <c r="H2148" s="2" t="s">
        <v>1689</v>
      </c>
      <c r="I2148" s="2" t="n">
        <v>13</v>
      </c>
    </row>
    <row r="2149" customFormat="false" ht="15" hidden="false" customHeight="false" outlineLevel="0" collapsed="false">
      <c r="A2149" s="2" t="s">
        <v>1411</v>
      </c>
      <c r="B2149" s="2" t="s">
        <v>347</v>
      </c>
      <c r="C2149" s="2" t="n">
        <v>150</v>
      </c>
      <c r="D2149" s="2" t="s">
        <v>54</v>
      </c>
      <c r="E2149" s="2" t="s">
        <v>3224</v>
      </c>
      <c r="F2149" s="2" t="n">
        <v>75</v>
      </c>
      <c r="G2149" s="2" t="n">
        <v>225</v>
      </c>
      <c r="H2149" s="2" t="s">
        <v>1693</v>
      </c>
      <c r="I2149" s="2" t="n">
        <v>1</v>
      </c>
    </row>
    <row r="2150" customFormat="false" ht="15" hidden="false" customHeight="false" outlineLevel="0" collapsed="false">
      <c r="A2150" s="2" t="s">
        <v>1411</v>
      </c>
      <c r="B2150" s="2" t="s">
        <v>446</v>
      </c>
      <c r="C2150" s="2" t="n">
        <v>100</v>
      </c>
      <c r="D2150" s="2" t="s">
        <v>54</v>
      </c>
      <c r="E2150" s="2" t="s">
        <v>3225</v>
      </c>
      <c r="F2150" s="2" t="n">
        <v>50</v>
      </c>
      <c r="G2150" s="2" t="n">
        <v>150</v>
      </c>
      <c r="H2150" s="2" t="s">
        <v>1689</v>
      </c>
      <c r="I2150" s="2" t="n">
        <v>2</v>
      </c>
    </row>
    <row r="2151" customFormat="false" ht="15" hidden="false" customHeight="false" outlineLevel="0" collapsed="false">
      <c r="A2151" s="2" t="s">
        <v>1411</v>
      </c>
      <c r="B2151" s="2" t="s">
        <v>129</v>
      </c>
      <c r="C2151" s="2" t="n">
        <v>5</v>
      </c>
      <c r="D2151" s="2" t="s">
        <v>54</v>
      </c>
      <c r="E2151" s="2" t="s">
        <v>2929</v>
      </c>
      <c r="F2151" s="2" t="n">
        <v>2.5</v>
      </c>
      <c r="G2151" s="2" t="n">
        <v>7.5</v>
      </c>
      <c r="H2151" s="2" t="s">
        <v>1700</v>
      </c>
      <c r="I2151" s="2" t="n">
        <v>3</v>
      </c>
    </row>
    <row r="2152" customFormat="false" ht="15" hidden="false" customHeight="false" outlineLevel="0" collapsed="false">
      <c r="A2152" s="2" t="s">
        <v>1411</v>
      </c>
      <c r="B2152" s="2" t="s">
        <v>312</v>
      </c>
      <c r="C2152" s="2" t="n">
        <v>1</v>
      </c>
      <c r="D2152" s="2" t="s">
        <v>1687</v>
      </c>
      <c r="E2152" s="2" t="s">
        <v>3226</v>
      </c>
      <c r="F2152" s="2"/>
      <c r="G2152" s="2" t="n">
        <v>2</v>
      </c>
      <c r="H2152" s="2" t="s">
        <v>1689</v>
      </c>
      <c r="I2152" s="2" t="n">
        <v>4</v>
      </c>
    </row>
    <row r="2153" customFormat="false" ht="15" hidden="false" customHeight="false" outlineLevel="0" collapsed="false">
      <c r="A2153" s="2" t="s">
        <v>1411</v>
      </c>
      <c r="B2153" s="2" t="s">
        <v>271</v>
      </c>
      <c r="C2153" s="2" t="n">
        <v>2</v>
      </c>
      <c r="D2153" s="2" t="s">
        <v>54</v>
      </c>
      <c r="E2153" s="2" t="s">
        <v>3227</v>
      </c>
      <c r="F2153" s="2" t="n">
        <v>1</v>
      </c>
      <c r="G2153" s="2" t="n">
        <v>3</v>
      </c>
      <c r="H2153" s="2" t="s">
        <v>1689</v>
      </c>
      <c r="I2153" s="2" t="n">
        <v>5</v>
      </c>
    </row>
    <row r="2154" customFormat="false" ht="15" hidden="false" customHeight="false" outlineLevel="0" collapsed="false">
      <c r="A2154" s="2" t="s">
        <v>1411</v>
      </c>
      <c r="B2154" s="2" t="s">
        <v>454</v>
      </c>
      <c r="C2154" s="2" t="n">
        <v>75</v>
      </c>
      <c r="D2154" s="2" t="s">
        <v>54</v>
      </c>
      <c r="E2154" s="2" t="s">
        <v>3228</v>
      </c>
      <c r="F2154" s="2" t="n">
        <v>37.5</v>
      </c>
      <c r="G2154" s="2" t="n">
        <v>112.5</v>
      </c>
      <c r="H2154" s="2" t="s">
        <v>1689</v>
      </c>
      <c r="I2154" s="2" t="n">
        <v>6</v>
      </c>
    </row>
    <row r="2155" customFormat="false" ht="15" hidden="false" customHeight="false" outlineLevel="0" collapsed="false">
      <c r="A2155" s="2" t="s">
        <v>1411</v>
      </c>
      <c r="B2155" s="2" t="s">
        <v>323</v>
      </c>
      <c r="C2155" s="2" t="n">
        <v>75</v>
      </c>
      <c r="D2155" s="2" t="s">
        <v>54</v>
      </c>
      <c r="E2155" s="2" t="s">
        <v>3229</v>
      </c>
      <c r="F2155" s="2" t="n">
        <v>37.5</v>
      </c>
      <c r="G2155" s="2" t="n">
        <v>112.5</v>
      </c>
      <c r="H2155" s="2" t="s">
        <v>1689</v>
      </c>
      <c r="I2155" s="2" t="n">
        <v>7</v>
      </c>
    </row>
    <row r="2156" customFormat="false" ht="15" hidden="false" customHeight="false" outlineLevel="0" collapsed="false">
      <c r="A2156" s="2" t="s">
        <v>1411</v>
      </c>
      <c r="B2156" s="2" t="s">
        <v>131</v>
      </c>
      <c r="C2156" s="2" t="n">
        <v>1</v>
      </c>
      <c r="D2156" s="2" t="s">
        <v>54</v>
      </c>
      <c r="E2156" s="2" t="s">
        <v>1880</v>
      </c>
      <c r="F2156" s="2" t="n">
        <v>0.5</v>
      </c>
      <c r="G2156" s="2" t="n">
        <v>1.5</v>
      </c>
      <c r="H2156" s="2" t="s">
        <v>1689</v>
      </c>
      <c r="I2156" s="2" t="n">
        <v>8</v>
      </c>
    </row>
    <row r="2157" customFormat="false" ht="15" hidden="false" customHeight="false" outlineLevel="0" collapsed="false">
      <c r="A2157" s="2" t="s">
        <v>1411</v>
      </c>
      <c r="B2157" s="2" t="s">
        <v>365</v>
      </c>
      <c r="C2157" s="2" t="n">
        <v>0.25</v>
      </c>
      <c r="D2157" s="2" t="s">
        <v>1687</v>
      </c>
      <c r="E2157" s="2" t="s">
        <v>3230</v>
      </c>
      <c r="F2157" s="2"/>
      <c r="G2157" s="2" t="n">
        <v>1.25</v>
      </c>
      <c r="H2157" s="2" t="s">
        <v>1689</v>
      </c>
      <c r="I2157" s="2" t="n">
        <v>9</v>
      </c>
    </row>
    <row r="2158" customFormat="false" ht="15" hidden="false" customHeight="false" outlineLevel="0" collapsed="false">
      <c r="A2158" s="2" t="s">
        <v>1414</v>
      </c>
      <c r="B2158" s="2" t="s">
        <v>514</v>
      </c>
      <c r="C2158" s="2" t="n">
        <v>200</v>
      </c>
      <c r="D2158" s="2" t="s">
        <v>54</v>
      </c>
      <c r="E2158" s="2" t="s">
        <v>3231</v>
      </c>
      <c r="F2158" s="2" t="n">
        <v>100</v>
      </c>
      <c r="G2158" s="2" t="n">
        <v>300</v>
      </c>
      <c r="H2158" s="2" t="s">
        <v>1689</v>
      </c>
      <c r="I2158" s="2" t="n">
        <v>1</v>
      </c>
    </row>
    <row r="2159" customFormat="false" ht="15" hidden="false" customHeight="false" outlineLevel="0" collapsed="false">
      <c r="A2159" s="2" t="s">
        <v>1414</v>
      </c>
      <c r="B2159" s="2" t="s">
        <v>129</v>
      </c>
      <c r="C2159" s="2" t="n">
        <v>22.5</v>
      </c>
      <c r="D2159" s="2" t="s">
        <v>54</v>
      </c>
      <c r="E2159" s="2" t="s">
        <v>3232</v>
      </c>
      <c r="F2159" s="2" t="n">
        <v>11.25</v>
      </c>
      <c r="G2159" s="2" t="n">
        <v>33.75</v>
      </c>
      <c r="H2159" s="2" t="s">
        <v>1700</v>
      </c>
      <c r="I2159" s="2" t="n">
        <v>2</v>
      </c>
    </row>
    <row r="2160" customFormat="false" ht="15" hidden="false" customHeight="false" outlineLevel="0" collapsed="false">
      <c r="A2160" s="2" t="s">
        <v>1414</v>
      </c>
      <c r="B2160" s="2" t="s">
        <v>271</v>
      </c>
      <c r="C2160" s="2" t="n">
        <v>1</v>
      </c>
      <c r="D2160" s="2" t="s">
        <v>54</v>
      </c>
      <c r="E2160" s="2" t="s">
        <v>2957</v>
      </c>
      <c r="F2160" s="2" t="n">
        <v>0.5</v>
      </c>
      <c r="G2160" s="2" t="n">
        <v>1.5</v>
      </c>
      <c r="H2160" s="2" t="s">
        <v>1689</v>
      </c>
      <c r="I2160" s="2" t="n">
        <v>3</v>
      </c>
    </row>
    <row r="2161" customFormat="false" ht="15" hidden="false" customHeight="false" outlineLevel="0" collapsed="false">
      <c r="A2161" s="2" t="s">
        <v>1414</v>
      </c>
      <c r="B2161" s="2" t="s">
        <v>367</v>
      </c>
      <c r="C2161" s="2" t="n">
        <v>2</v>
      </c>
      <c r="D2161" s="2" t="s">
        <v>76</v>
      </c>
      <c r="E2161" s="2" t="s">
        <v>3233</v>
      </c>
      <c r="F2161" s="2" t="n">
        <v>1</v>
      </c>
      <c r="G2161" s="2" t="n">
        <v>3</v>
      </c>
      <c r="H2161" s="2" t="s">
        <v>1689</v>
      </c>
      <c r="I2161" s="2" t="n">
        <v>4</v>
      </c>
    </row>
    <row r="2162" customFormat="false" ht="15" hidden="false" customHeight="false" outlineLevel="0" collapsed="false">
      <c r="A2162" s="2" t="s">
        <v>1414</v>
      </c>
      <c r="B2162" s="2" t="s">
        <v>480</v>
      </c>
      <c r="C2162" s="2" t="n">
        <v>1</v>
      </c>
      <c r="D2162" s="2" t="s">
        <v>54</v>
      </c>
      <c r="E2162" s="2" t="s">
        <v>3234</v>
      </c>
      <c r="F2162" s="2" t="n">
        <v>0.5</v>
      </c>
      <c r="G2162" s="2" t="n">
        <v>1.5</v>
      </c>
      <c r="H2162" s="2" t="s">
        <v>1689</v>
      </c>
      <c r="I2162" s="2" t="n">
        <v>5</v>
      </c>
    </row>
    <row r="2163" customFormat="false" ht="15" hidden="false" customHeight="false" outlineLevel="0" collapsed="false">
      <c r="A2163" s="2" t="s">
        <v>1414</v>
      </c>
      <c r="B2163" s="2" t="s">
        <v>480</v>
      </c>
      <c r="C2163" s="2" t="n">
        <v>1</v>
      </c>
      <c r="D2163" s="2" t="s">
        <v>54</v>
      </c>
      <c r="E2163" s="2" t="s">
        <v>3235</v>
      </c>
      <c r="F2163" s="2" t="n">
        <v>0.5</v>
      </c>
      <c r="G2163" s="2" t="n">
        <v>1.5</v>
      </c>
      <c r="H2163" s="2" t="s">
        <v>1689</v>
      </c>
      <c r="I2163" s="2" t="n">
        <v>6</v>
      </c>
    </row>
    <row r="2164" customFormat="false" ht="15" hidden="false" customHeight="false" outlineLevel="0" collapsed="false">
      <c r="A2164" s="2" t="s">
        <v>1414</v>
      </c>
      <c r="B2164" s="2" t="s">
        <v>476</v>
      </c>
      <c r="C2164" s="2" t="n">
        <v>150</v>
      </c>
      <c r="D2164" s="2" t="s">
        <v>54</v>
      </c>
      <c r="E2164" s="2" t="s">
        <v>3214</v>
      </c>
      <c r="F2164" s="2" t="n">
        <v>75</v>
      </c>
      <c r="G2164" s="2" t="n">
        <v>225</v>
      </c>
      <c r="H2164" s="2" t="s">
        <v>1693</v>
      </c>
      <c r="I2164" s="2" t="n">
        <v>7</v>
      </c>
    </row>
    <row r="2165" customFormat="false" ht="15" hidden="false" customHeight="false" outlineLevel="0" collapsed="false">
      <c r="A2165" s="2" t="s">
        <v>1414</v>
      </c>
      <c r="B2165" s="2" t="s">
        <v>454</v>
      </c>
      <c r="C2165" s="2" t="n">
        <v>125</v>
      </c>
      <c r="D2165" s="2" t="s">
        <v>54</v>
      </c>
      <c r="E2165" s="2" t="s">
        <v>3236</v>
      </c>
      <c r="F2165" s="2" t="n">
        <v>62.5</v>
      </c>
      <c r="G2165" s="2" t="n">
        <v>187.5</v>
      </c>
      <c r="H2165" s="2" t="s">
        <v>1689</v>
      </c>
      <c r="I2165" s="2" t="n">
        <v>8</v>
      </c>
    </row>
    <row r="2166" customFormat="false" ht="15" hidden="false" customHeight="false" outlineLevel="0" collapsed="false">
      <c r="A2166" s="2" t="s">
        <v>1418</v>
      </c>
      <c r="B2166" s="2" t="s">
        <v>221</v>
      </c>
      <c r="C2166" s="2" t="n">
        <v>160</v>
      </c>
      <c r="D2166" s="2" t="s">
        <v>54</v>
      </c>
      <c r="E2166" s="2" t="s">
        <v>3237</v>
      </c>
      <c r="F2166" s="2" t="n">
        <v>80</v>
      </c>
      <c r="G2166" s="2" t="n">
        <v>240</v>
      </c>
      <c r="H2166" s="2" t="s">
        <v>1693</v>
      </c>
      <c r="I2166" s="2" t="n">
        <v>1</v>
      </c>
    </row>
    <row r="2167" customFormat="false" ht="15" hidden="false" customHeight="false" outlineLevel="0" collapsed="false">
      <c r="A2167" s="2" t="s">
        <v>1418</v>
      </c>
      <c r="B2167" s="2" t="s">
        <v>253</v>
      </c>
      <c r="C2167" s="2" t="n">
        <v>50</v>
      </c>
      <c r="D2167" s="2" t="s">
        <v>54</v>
      </c>
      <c r="E2167" s="2" t="s">
        <v>3238</v>
      </c>
      <c r="F2167" s="2" t="n">
        <v>25</v>
      </c>
      <c r="G2167" s="2" t="n">
        <v>75</v>
      </c>
      <c r="H2167" s="2" t="s">
        <v>1689</v>
      </c>
      <c r="I2167" s="2" t="n">
        <v>2</v>
      </c>
    </row>
    <row r="2168" customFormat="false" ht="15" hidden="false" customHeight="false" outlineLevel="0" collapsed="false">
      <c r="A2168" s="2" t="s">
        <v>1418</v>
      </c>
      <c r="B2168" s="2" t="s">
        <v>271</v>
      </c>
      <c r="C2168" s="2" t="n">
        <v>3</v>
      </c>
      <c r="D2168" s="2" t="s">
        <v>54</v>
      </c>
      <c r="E2168" s="2" t="s">
        <v>3239</v>
      </c>
      <c r="F2168" s="2" t="n">
        <v>1.5</v>
      </c>
      <c r="G2168" s="2" t="n">
        <v>4.5</v>
      </c>
      <c r="H2168" s="2" t="s">
        <v>1689</v>
      </c>
      <c r="I2168" s="2" t="n">
        <v>3</v>
      </c>
    </row>
    <row r="2169" customFormat="false" ht="15" hidden="false" customHeight="false" outlineLevel="0" collapsed="false">
      <c r="A2169" s="2" t="s">
        <v>1418</v>
      </c>
      <c r="B2169" s="2" t="s">
        <v>251</v>
      </c>
      <c r="C2169" s="2" t="n">
        <v>100</v>
      </c>
      <c r="D2169" s="2" t="s">
        <v>54</v>
      </c>
      <c r="E2169" s="2" t="s">
        <v>3240</v>
      </c>
      <c r="F2169" s="2" t="n">
        <v>50</v>
      </c>
      <c r="G2169" s="2" t="n">
        <v>150</v>
      </c>
      <c r="H2169" s="2" t="s">
        <v>1689</v>
      </c>
      <c r="I2169" s="2" t="n">
        <v>4</v>
      </c>
    </row>
    <row r="2170" customFormat="false" ht="15" hidden="false" customHeight="false" outlineLevel="0" collapsed="false">
      <c r="A2170" s="2" t="s">
        <v>1421</v>
      </c>
      <c r="B2170" s="2" t="s">
        <v>361</v>
      </c>
      <c r="C2170" s="2" t="n">
        <v>500</v>
      </c>
      <c r="D2170" s="2" t="s">
        <v>54</v>
      </c>
      <c r="E2170" s="2" t="s">
        <v>3241</v>
      </c>
      <c r="F2170" s="2" t="n">
        <v>250</v>
      </c>
      <c r="G2170" s="2" t="n">
        <v>750</v>
      </c>
      <c r="H2170" s="2" t="s">
        <v>1693</v>
      </c>
      <c r="I2170" s="2" t="n">
        <v>1</v>
      </c>
    </row>
    <row r="2171" customFormat="false" ht="15" hidden="false" customHeight="false" outlineLevel="0" collapsed="false">
      <c r="A2171" s="2" t="s">
        <v>1421</v>
      </c>
      <c r="B2171" s="2" t="s">
        <v>422</v>
      </c>
      <c r="C2171" s="2" t="n">
        <v>400</v>
      </c>
      <c r="D2171" s="2" t="s">
        <v>54</v>
      </c>
      <c r="E2171" s="2" t="s">
        <v>3242</v>
      </c>
      <c r="F2171" s="2" t="n">
        <v>200</v>
      </c>
      <c r="G2171" s="2" t="n">
        <v>600</v>
      </c>
      <c r="H2171" s="2" t="s">
        <v>1689</v>
      </c>
      <c r="I2171" s="2" t="n">
        <v>2</v>
      </c>
    </row>
    <row r="2172" customFormat="false" ht="15" hidden="false" customHeight="false" outlineLevel="0" collapsed="false">
      <c r="A2172" s="2" t="s">
        <v>1421</v>
      </c>
      <c r="B2172" s="2" t="s">
        <v>458</v>
      </c>
      <c r="C2172" s="2" t="n">
        <v>100</v>
      </c>
      <c r="D2172" s="2" t="s">
        <v>54</v>
      </c>
      <c r="E2172" s="2" t="s">
        <v>1978</v>
      </c>
      <c r="F2172" s="2" t="n">
        <v>50</v>
      </c>
      <c r="G2172" s="2" t="n">
        <v>150</v>
      </c>
      <c r="H2172" s="2" t="s">
        <v>1689</v>
      </c>
      <c r="I2172" s="2" t="n">
        <v>3</v>
      </c>
    </row>
    <row r="2173" customFormat="false" ht="15" hidden="false" customHeight="false" outlineLevel="0" collapsed="false">
      <c r="A2173" s="2" t="s">
        <v>1421</v>
      </c>
      <c r="B2173" s="2" t="s">
        <v>301</v>
      </c>
      <c r="C2173" s="2" t="n">
        <v>15</v>
      </c>
      <c r="D2173" s="2" t="s">
        <v>54</v>
      </c>
      <c r="E2173" s="2" t="s">
        <v>3243</v>
      </c>
      <c r="F2173" s="2" t="n">
        <v>7.5</v>
      </c>
      <c r="G2173" s="2" t="n">
        <v>22.5</v>
      </c>
      <c r="H2173" s="2" t="s">
        <v>1689</v>
      </c>
      <c r="I2173" s="2" t="n">
        <v>4</v>
      </c>
    </row>
    <row r="2174" customFormat="false" ht="15" hidden="false" customHeight="false" outlineLevel="0" collapsed="false">
      <c r="A2174" s="2" t="s">
        <v>1421</v>
      </c>
      <c r="B2174" s="2" t="s">
        <v>367</v>
      </c>
      <c r="C2174" s="2" t="n">
        <v>2</v>
      </c>
      <c r="D2174" s="2" t="s">
        <v>76</v>
      </c>
      <c r="E2174" s="2" t="s">
        <v>3244</v>
      </c>
      <c r="F2174" s="2" t="n">
        <v>1</v>
      </c>
      <c r="G2174" s="2" t="n">
        <v>3</v>
      </c>
      <c r="H2174" s="2" t="s">
        <v>1689</v>
      </c>
      <c r="I2174" s="2" t="n">
        <v>5</v>
      </c>
    </row>
    <row r="2175" customFormat="false" ht="15" hidden="false" customHeight="false" outlineLevel="0" collapsed="false">
      <c r="A2175" s="2" t="s">
        <v>1421</v>
      </c>
      <c r="B2175" s="2" t="s">
        <v>301</v>
      </c>
      <c r="C2175" s="2" t="n">
        <v>15</v>
      </c>
      <c r="D2175" s="2" t="s">
        <v>54</v>
      </c>
      <c r="E2175" s="2" t="s">
        <v>3245</v>
      </c>
      <c r="F2175" s="2" t="n">
        <v>7.5</v>
      </c>
      <c r="G2175" s="2" t="n">
        <v>22.5</v>
      </c>
      <c r="H2175" s="2" t="s">
        <v>1689</v>
      </c>
      <c r="I2175" s="2" t="n">
        <v>6</v>
      </c>
    </row>
    <row r="2176" customFormat="false" ht="15" hidden="false" customHeight="false" outlineLevel="0" collapsed="false">
      <c r="A2176" s="2" t="s">
        <v>1421</v>
      </c>
      <c r="B2176" s="2" t="s">
        <v>312</v>
      </c>
      <c r="C2176" s="2" t="n">
        <v>2</v>
      </c>
      <c r="D2176" s="2" t="s">
        <v>1687</v>
      </c>
      <c r="E2176" s="2" t="s">
        <v>1982</v>
      </c>
      <c r="F2176" s="2" t="n">
        <v>1</v>
      </c>
      <c r="G2176" s="2" t="n">
        <v>3</v>
      </c>
      <c r="H2176" s="2" t="s">
        <v>1689</v>
      </c>
      <c r="I2176" s="2" t="n">
        <v>7</v>
      </c>
    </row>
    <row r="2177" customFormat="false" ht="15" hidden="false" customHeight="false" outlineLevel="0" collapsed="false">
      <c r="A2177" s="2" t="s">
        <v>1421</v>
      </c>
      <c r="B2177" s="2" t="s">
        <v>271</v>
      </c>
      <c r="C2177" s="2" t="n">
        <v>7</v>
      </c>
      <c r="D2177" s="2" t="s">
        <v>54</v>
      </c>
      <c r="E2177" s="2" t="s">
        <v>3246</v>
      </c>
      <c r="F2177" s="2" t="n">
        <v>3.5</v>
      </c>
      <c r="G2177" s="2" t="n">
        <v>10.5</v>
      </c>
      <c r="H2177" s="2" t="s">
        <v>1689</v>
      </c>
      <c r="I2177" s="2" t="n">
        <v>8</v>
      </c>
    </row>
    <row r="2178" customFormat="false" ht="15" hidden="false" customHeight="false" outlineLevel="0" collapsed="false">
      <c r="A2178" s="2" t="s">
        <v>1421</v>
      </c>
      <c r="B2178" s="2" t="s">
        <v>271</v>
      </c>
      <c r="C2178" s="2" t="n">
        <v>7</v>
      </c>
      <c r="D2178" s="2" t="s">
        <v>54</v>
      </c>
      <c r="E2178" s="2" t="s">
        <v>3247</v>
      </c>
      <c r="F2178" s="2" t="n">
        <v>3.5</v>
      </c>
      <c r="G2178" s="2" t="n">
        <v>10.5</v>
      </c>
      <c r="H2178" s="2" t="s">
        <v>1689</v>
      </c>
      <c r="I2178" s="2" t="n">
        <v>9</v>
      </c>
    </row>
    <row r="2179" customFormat="false" ht="15" hidden="false" customHeight="false" outlineLevel="0" collapsed="false">
      <c r="A2179" s="2" t="s">
        <v>1421</v>
      </c>
      <c r="B2179" s="2" t="s">
        <v>129</v>
      </c>
      <c r="C2179" s="2" t="n">
        <v>5</v>
      </c>
      <c r="D2179" s="2" t="s">
        <v>54</v>
      </c>
      <c r="E2179" s="2" t="s">
        <v>2929</v>
      </c>
      <c r="F2179" s="2" t="n">
        <v>2.5</v>
      </c>
      <c r="G2179" s="2" t="n">
        <v>7.5</v>
      </c>
      <c r="H2179" s="2" t="s">
        <v>1700</v>
      </c>
      <c r="I2179" s="2" t="n">
        <v>10</v>
      </c>
    </row>
    <row r="2180" customFormat="false" ht="15" hidden="false" customHeight="false" outlineLevel="0" collapsed="false">
      <c r="A2180" s="2" t="s">
        <v>1421</v>
      </c>
      <c r="B2180" s="2" t="s">
        <v>271</v>
      </c>
      <c r="C2180" s="2" t="n">
        <v>4</v>
      </c>
      <c r="D2180" s="2" t="s">
        <v>54</v>
      </c>
      <c r="E2180" s="2" t="s">
        <v>3248</v>
      </c>
      <c r="F2180" s="2" t="n">
        <v>2</v>
      </c>
      <c r="G2180" s="2" t="n">
        <v>6</v>
      </c>
      <c r="H2180" s="2" t="s">
        <v>1689</v>
      </c>
      <c r="I2180" s="2" t="n">
        <v>11</v>
      </c>
    </row>
    <row r="2181" customFormat="false" ht="15" hidden="false" customHeight="false" outlineLevel="0" collapsed="false">
      <c r="A2181" s="2" t="s">
        <v>1421</v>
      </c>
      <c r="B2181" s="2" t="s">
        <v>456</v>
      </c>
      <c r="C2181" s="2" t="n">
        <v>1</v>
      </c>
      <c r="D2181" s="2" t="s">
        <v>1687</v>
      </c>
      <c r="E2181" s="2" t="s">
        <v>1987</v>
      </c>
      <c r="F2181" s="2"/>
      <c r="G2181" s="2" t="n">
        <v>2</v>
      </c>
      <c r="H2181" s="2" t="s">
        <v>1689</v>
      </c>
      <c r="I2181" s="2" t="n">
        <v>12</v>
      </c>
    </row>
    <row r="2182" customFormat="false" ht="15" hidden="false" customHeight="false" outlineLevel="0" collapsed="false">
      <c r="A2182" s="2" t="s">
        <v>1421</v>
      </c>
      <c r="B2182" s="2" t="s">
        <v>177</v>
      </c>
      <c r="C2182" s="2" t="n">
        <v>240</v>
      </c>
      <c r="D2182" s="2" t="s">
        <v>54</v>
      </c>
      <c r="E2182" s="2" t="s">
        <v>3249</v>
      </c>
      <c r="F2182" s="2" t="n">
        <v>120</v>
      </c>
      <c r="G2182" s="2" t="n">
        <v>360</v>
      </c>
      <c r="H2182" s="2" t="s">
        <v>1689</v>
      </c>
      <c r="I2182" s="2" t="n">
        <v>13</v>
      </c>
    </row>
    <row r="2183" customFormat="false" ht="15" hidden="false" customHeight="false" outlineLevel="0" collapsed="false">
      <c r="A2183" s="2" t="s">
        <v>1424</v>
      </c>
      <c r="B2183" s="2" t="s">
        <v>71</v>
      </c>
      <c r="C2183" s="2" t="n">
        <v>30</v>
      </c>
      <c r="D2183" s="2" t="s">
        <v>54</v>
      </c>
      <c r="E2183" s="2" t="s">
        <v>3250</v>
      </c>
      <c r="F2183" s="2" t="n">
        <v>15</v>
      </c>
      <c r="G2183" s="2" t="n">
        <v>45</v>
      </c>
      <c r="H2183" s="2" t="s">
        <v>1693</v>
      </c>
      <c r="I2183" s="2" t="n">
        <v>1</v>
      </c>
    </row>
    <row r="2184" customFormat="false" ht="15" hidden="false" customHeight="false" outlineLevel="0" collapsed="false">
      <c r="A2184" s="2" t="s">
        <v>1424</v>
      </c>
      <c r="B2184" s="2" t="s">
        <v>67</v>
      </c>
      <c r="C2184" s="2" t="n">
        <v>100</v>
      </c>
      <c r="D2184" s="2" t="s">
        <v>54</v>
      </c>
      <c r="E2184" s="2" t="s">
        <v>3251</v>
      </c>
      <c r="F2184" s="2" t="n">
        <v>50</v>
      </c>
      <c r="G2184" s="2" t="n">
        <v>150</v>
      </c>
      <c r="H2184" s="2" t="s">
        <v>1693</v>
      </c>
      <c r="I2184" s="2" t="n">
        <v>2</v>
      </c>
    </row>
    <row r="2185" customFormat="false" ht="15" hidden="false" customHeight="false" outlineLevel="0" collapsed="false">
      <c r="A2185" s="2" t="s">
        <v>1424</v>
      </c>
      <c r="B2185" s="2" t="s">
        <v>117</v>
      </c>
      <c r="C2185" s="2" t="n">
        <v>0.33</v>
      </c>
      <c r="D2185" s="2" t="s">
        <v>1687</v>
      </c>
      <c r="E2185" s="2" t="s">
        <v>3252</v>
      </c>
      <c r="F2185" s="2"/>
      <c r="G2185" s="2" t="n">
        <v>1.33</v>
      </c>
      <c r="H2185" s="2" t="s">
        <v>1700</v>
      </c>
      <c r="I2185" s="2" t="n">
        <v>3</v>
      </c>
    </row>
    <row r="2186" customFormat="false" ht="15" hidden="false" customHeight="false" outlineLevel="0" collapsed="false">
      <c r="A2186" s="2" t="s">
        <v>1424</v>
      </c>
      <c r="B2186" s="2" t="s">
        <v>498</v>
      </c>
      <c r="C2186" s="2" t="n">
        <v>20</v>
      </c>
      <c r="D2186" s="2" t="s">
        <v>54</v>
      </c>
      <c r="E2186" s="2" t="s">
        <v>3253</v>
      </c>
      <c r="F2186" s="2" t="n">
        <v>10</v>
      </c>
      <c r="G2186" s="2" t="n">
        <v>30</v>
      </c>
      <c r="H2186" s="2" t="s">
        <v>1693</v>
      </c>
      <c r="I2186" s="2" t="n">
        <v>4</v>
      </c>
    </row>
    <row r="2187" customFormat="false" ht="15" hidden="false" customHeight="false" outlineLevel="0" collapsed="false">
      <c r="A2187" s="2" t="s">
        <v>1424</v>
      </c>
      <c r="B2187" s="2" t="s">
        <v>536</v>
      </c>
      <c r="C2187" s="2" t="n">
        <v>100</v>
      </c>
      <c r="D2187" s="2" t="s">
        <v>76</v>
      </c>
      <c r="E2187" s="2" t="s">
        <v>3254</v>
      </c>
      <c r="F2187" s="2" t="n">
        <v>50</v>
      </c>
      <c r="G2187" s="2" t="n">
        <v>150</v>
      </c>
      <c r="H2187" s="2" t="s">
        <v>1700</v>
      </c>
      <c r="I2187" s="2" t="n">
        <v>5</v>
      </c>
    </row>
    <row r="2188" customFormat="false" ht="15" hidden="false" customHeight="false" outlineLevel="0" collapsed="false">
      <c r="A2188" s="2" t="s">
        <v>1424</v>
      </c>
      <c r="B2188" s="2" t="s">
        <v>271</v>
      </c>
      <c r="C2188" s="2" t="n">
        <v>1</v>
      </c>
      <c r="D2188" s="2" t="s">
        <v>54</v>
      </c>
      <c r="E2188" s="2" t="s">
        <v>2724</v>
      </c>
      <c r="F2188" s="2" t="n">
        <v>0.5</v>
      </c>
      <c r="G2188" s="2" t="n">
        <v>1.5</v>
      </c>
      <c r="H2188" s="2" t="s">
        <v>1689</v>
      </c>
      <c r="I2188" s="2" t="n">
        <v>6</v>
      </c>
    </row>
    <row r="2189" customFormat="false" ht="15" hidden="false" customHeight="false" outlineLevel="0" collapsed="false">
      <c r="A2189" s="2" t="s">
        <v>1424</v>
      </c>
      <c r="B2189" s="2" t="s">
        <v>146</v>
      </c>
      <c r="C2189" s="2" t="n">
        <v>1</v>
      </c>
      <c r="D2189" s="2" t="s">
        <v>54</v>
      </c>
      <c r="E2189" s="2" t="s">
        <v>3255</v>
      </c>
      <c r="F2189" s="2"/>
      <c r="G2189" s="2" t="n">
        <v>2</v>
      </c>
      <c r="H2189" s="2" t="s">
        <v>1689</v>
      </c>
      <c r="I2189" s="2" t="n">
        <v>7</v>
      </c>
    </row>
    <row r="2190" customFormat="false" ht="15" hidden="false" customHeight="false" outlineLevel="0" collapsed="false">
      <c r="A2190" s="2" t="s">
        <v>1427</v>
      </c>
      <c r="B2190" s="2" t="s">
        <v>71</v>
      </c>
      <c r="C2190" s="2" t="n">
        <v>30</v>
      </c>
      <c r="D2190" s="2" t="s">
        <v>54</v>
      </c>
      <c r="E2190" s="2" t="s">
        <v>3256</v>
      </c>
      <c r="F2190" s="2" t="n">
        <v>15</v>
      </c>
      <c r="G2190" s="2" t="n">
        <v>45</v>
      </c>
      <c r="H2190" s="2" t="s">
        <v>1693</v>
      </c>
      <c r="I2190" s="2" t="n">
        <v>1</v>
      </c>
    </row>
    <row r="2191" customFormat="false" ht="15" hidden="false" customHeight="false" outlineLevel="0" collapsed="false">
      <c r="A2191" s="2" t="s">
        <v>1427</v>
      </c>
      <c r="B2191" s="2" t="s">
        <v>67</v>
      </c>
      <c r="C2191" s="2" t="n">
        <v>100</v>
      </c>
      <c r="D2191" s="2" t="s">
        <v>54</v>
      </c>
      <c r="E2191" s="2" t="s">
        <v>3251</v>
      </c>
      <c r="F2191" s="2" t="n">
        <v>50</v>
      </c>
      <c r="G2191" s="2" t="n">
        <v>150</v>
      </c>
      <c r="H2191" s="2" t="s">
        <v>1693</v>
      </c>
      <c r="I2191" s="2" t="n">
        <v>2</v>
      </c>
    </row>
    <row r="2192" customFormat="false" ht="15" hidden="false" customHeight="false" outlineLevel="0" collapsed="false">
      <c r="A2192" s="2" t="s">
        <v>1427</v>
      </c>
      <c r="B2192" s="2" t="s">
        <v>85</v>
      </c>
      <c r="C2192" s="2" t="n">
        <v>15</v>
      </c>
      <c r="D2192" s="2" t="s">
        <v>54</v>
      </c>
      <c r="E2192" s="2" t="s">
        <v>3257</v>
      </c>
      <c r="F2192" s="2" t="n">
        <v>7.5</v>
      </c>
      <c r="G2192" s="2" t="n">
        <v>22.5</v>
      </c>
      <c r="H2192" s="2" t="s">
        <v>1700</v>
      </c>
      <c r="I2192" s="2" t="n">
        <v>3</v>
      </c>
    </row>
    <row r="2193" customFormat="false" ht="15" hidden="false" customHeight="false" outlineLevel="0" collapsed="false">
      <c r="A2193" s="2" t="s">
        <v>1427</v>
      </c>
      <c r="B2193" s="2" t="s">
        <v>97</v>
      </c>
      <c r="C2193" s="2" t="n">
        <v>3</v>
      </c>
      <c r="D2193" s="2" t="s">
        <v>54</v>
      </c>
      <c r="E2193" s="2" t="s">
        <v>3258</v>
      </c>
      <c r="F2193" s="2" t="n">
        <v>1.5</v>
      </c>
      <c r="G2193" s="2" t="n">
        <v>4.5</v>
      </c>
      <c r="H2193" s="2" t="s">
        <v>1689</v>
      </c>
      <c r="I2193" s="2" t="n">
        <v>4</v>
      </c>
    </row>
    <row r="2194" customFormat="false" ht="15" hidden="false" customHeight="false" outlineLevel="0" collapsed="false">
      <c r="A2194" s="2" t="s">
        <v>1427</v>
      </c>
      <c r="B2194" s="2" t="s">
        <v>536</v>
      </c>
      <c r="C2194" s="2" t="n">
        <v>100</v>
      </c>
      <c r="D2194" s="2" t="s">
        <v>76</v>
      </c>
      <c r="E2194" s="2" t="s">
        <v>3254</v>
      </c>
      <c r="F2194" s="2" t="n">
        <v>50</v>
      </c>
      <c r="G2194" s="2" t="n">
        <v>150</v>
      </c>
      <c r="H2194" s="2" t="s">
        <v>1700</v>
      </c>
      <c r="I2194" s="2" t="n">
        <v>5</v>
      </c>
    </row>
    <row r="2195" customFormat="false" ht="15" hidden="false" customHeight="false" outlineLevel="0" collapsed="false">
      <c r="A2195" s="2" t="s">
        <v>1427</v>
      </c>
      <c r="B2195" s="2" t="s">
        <v>146</v>
      </c>
      <c r="C2195" s="2" t="n">
        <v>1</v>
      </c>
      <c r="D2195" s="2" t="s">
        <v>54</v>
      </c>
      <c r="E2195" s="2" t="s">
        <v>3255</v>
      </c>
      <c r="F2195" s="2"/>
      <c r="G2195" s="2" t="n">
        <v>2</v>
      </c>
      <c r="H2195" s="2" t="s">
        <v>1689</v>
      </c>
      <c r="I2195" s="2" t="n">
        <v>6</v>
      </c>
    </row>
    <row r="2196" customFormat="false" ht="15" hidden="false" customHeight="false" outlineLevel="0" collapsed="false">
      <c r="A2196" s="2" t="s">
        <v>1429</v>
      </c>
      <c r="B2196" s="2" t="s">
        <v>71</v>
      </c>
      <c r="C2196" s="2" t="n">
        <v>30</v>
      </c>
      <c r="D2196" s="2" t="s">
        <v>54</v>
      </c>
      <c r="E2196" s="2" t="s">
        <v>3250</v>
      </c>
      <c r="F2196" s="2" t="n">
        <v>15</v>
      </c>
      <c r="G2196" s="2" t="n">
        <v>45</v>
      </c>
      <c r="H2196" s="2" t="s">
        <v>1693</v>
      </c>
      <c r="I2196" s="2" t="n">
        <v>1</v>
      </c>
    </row>
    <row r="2197" customFormat="false" ht="15" hidden="false" customHeight="false" outlineLevel="0" collapsed="false">
      <c r="A2197" s="2" t="s">
        <v>1429</v>
      </c>
      <c r="B2197" s="2" t="s">
        <v>67</v>
      </c>
      <c r="C2197" s="2" t="n">
        <v>100</v>
      </c>
      <c r="D2197" s="2" t="s">
        <v>54</v>
      </c>
      <c r="E2197" s="2" t="s">
        <v>3251</v>
      </c>
      <c r="F2197" s="2" t="n">
        <v>50</v>
      </c>
      <c r="G2197" s="2" t="n">
        <v>150</v>
      </c>
      <c r="H2197" s="2" t="s">
        <v>1693</v>
      </c>
      <c r="I2197" s="2" t="n">
        <v>2</v>
      </c>
    </row>
    <row r="2198" customFormat="false" ht="15" hidden="false" customHeight="false" outlineLevel="0" collapsed="false">
      <c r="A2198" s="2" t="s">
        <v>1429</v>
      </c>
      <c r="B2198" s="2" t="s">
        <v>64</v>
      </c>
      <c r="C2198" s="2" t="n">
        <v>50</v>
      </c>
      <c r="D2198" s="2" t="s">
        <v>54</v>
      </c>
      <c r="E2198" s="2" t="s">
        <v>3259</v>
      </c>
      <c r="F2198" s="2" t="n">
        <v>25</v>
      </c>
      <c r="G2198" s="2" t="n">
        <v>75</v>
      </c>
      <c r="H2198" s="2" t="s">
        <v>1689</v>
      </c>
      <c r="I2198" s="2" t="n">
        <v>3</v>
      </c>
    </row>
    <row r="2199" customFormat="false" ht="15" hidden="false" customHeight="false" outlineLevel="0" collapsed="false">
      <c r="A2199" s="2" t="s">
        <v>1429</v>
      </c>
      <c r="B2199" s="2" t="s">
        <v>536</v>
      </c>
      <c r="C2199" s="2" t="n">
        <v>100</v>
      </c>
      <c r="D2199" s="2" t="s">
        <v>76</v>
      </c>
      <c r="E2199" s="2" t="s">
        <v>3254</v>
      </c>
      <c r="F2199" s="2" t="n">
        <v>50</v>
      </c>
      <c r="G2199" s="2" t="n">
        <v>150</v>
      </c>
      <c r="H2199" s="2" t="s">
        <v>1700</v>
      </c>
      <c r="I2199" s="2" t="n">
        <v>4</v>
      </c>
    </row>
    <row r="2200" customFormat="false" ht="15" hidden="false" customHeight="false" outlineLevel="0" collapsed="false">
      <c r="A2200" s="2" t="s">
        <v>1429</v>
      </c>
      <c r="B2200" s="2" t="s">
        <v>89</v>
      </c>
      <c r="C2200" s="2" t="n">
        <v>15</v>
      </c>
      <c r="D2200" s="2" t="s">
        <v>54</v>
      </c>
      <c r="E2200" s="2" t="s">
        <v>3260</v>
      </c>
      <c r="F2200" s="2" t="n">
        <v>7.5</v>
      </c>
      <c r="G2200" s="2" t="n">
        <v>22.5</v>
      </c>
      <c r="H2200" s="2" t="s">
        <v>1689</v>
      </c>
      <c r="I2200" s="2" t="n">
        <v>5</v>
      </c>
    </row>
    <row r="2201" customFormat="false" ht="15" hidden="false" customHeight="false" outlineLevel="0" collapsed="false">
      <c r="A2201" s="2" t="s">
        <v>1429</v>
      </c>
      <c r="B2201" s="2" t="s">
        <v>146</v>
      </c>
      <c r="C2201" s="2" t="n">
        <v>1</v>
      </c>
      <c r="D2201" s="2" t="s">
        <v>54</v>
      </c>
      <c r="E2201" s="2" t="s">
        <v>3255</v>
      </c>
      <c r="F2201" s="2"/>
      <c r="G2201" s="2" t="n">
        <v>2</v>
      </c>
      <c r="H2201" s="2" t="s">
        <v>1689</v>
      </c>
      <c r="I2201" s="2" t="n">
        <v>6</v>
      </c>
    </row>
    <row r="2202" customFormat="false" ht="15" hidden="false" customHeight="false" outlineLevel="0" collapsed="false">
      <c r="A2202" s="2" t="s">
        <v>1431</v>
      </c>
      <c r="B2202" s="2" t="s">
        <v>476</v>
      </c>
      <c r="C2202" s="2" t="n">
        <v>150</v>
      </c>
      <c r="D2202" s="2" t="s">
        <v>54</v>
      </c>
      <c r="E2202" s="2" t="s">
        <v>3261</v>
      </c>
      <c r="F2202" s="2" t="n">
        <v>75</v>
      </c>
      <c r="G2202" s="2" t="n">
        <v>225</v>
      </c>
      <c r="H2202" s="2" t="s">
        <v>1693</v>
      </c>
      <c r="I2202" s="2" t="n">
        <v>1</v>
      </c>
    </row>
    <row r="2203" customFormat="false" ht="15" hidden="false" customHeight="false" outlineLevel="0" collapsed="false">
      <c r="A2203" s="2" t="s">
        <v>1431</v>
      </c>
      <c r="B2203" s="2" t="s">
        <v>253</v>
      </c>
      <c r="C2203" s="2" t="n">
        <v>50</v>
      </c>
      <c r="D2203" s="2" t="s">
        <v>54</v>
      </c>
      <c r="E2203" s="2" t="s">
        <v>2015</v>
      </c>
      <c r="F2203" s="2" t="n">
        <v>25</v>
      </c>
      <c r="G2203" s="2" t="n">
        <v>75</v>
      </c>
      <c r="H2203" s="2" t="s">
        <v>1689</v>
      </c>
      <c r="I2203" s="2" t="n">
        <v>2</v>
      </c>
    </row>
    <row r="2204" customFormat="false" ht="15" hidden="false" customHeight="false" outlineLevel="0" collapsed="false">
      <c r="A2204" s="2" t="s">
        <v>1431</v>
      </c>
      <c r="B2204" s="2" t="s">
        <v>470</v>
      </c>
      <c r="C2204" s="2" t="n">
        <v>15</v>
      </c>
      <c r="D2204" s="2" t="s">
        <v>54</v>
      </c>
      <c r="E2204" s="2" t="s">
        <v>3262</v>
      </c>
      <c r="F2204" s="2" t="n">
        <v>7.5</v>
      </c>
      <c r="G2204" s="2" t="n">
        <v>22.5</v>
      </c>
      <c r="H2204" s="2" t="s">
        <v>1693</v>
      </c>
      <c r="I2204" s="2" t="n">
        <v>3</v>
      </c>
    </row>
    <row r="2205" customFormat="false" ht="15" hidden="false" customHeight="false" outlineLevel="0" collapsed="false">
      <c r="A2205" s="2" t="s">
        <v>1431</v>
      </c>
      <c r="B2205" s="2" t="s">
        <v>59</v>
      </c>
      <c r="C2205" s="2" t="n">
        <v>40</v>
      </c>
      <c r="D2205" s="2" t="s">
        <v>54</v>
      </c>
      <c r="E2205" s="2" t="s">
        <v>3175</v>
      </c>
      <c r="F2205" s="2" t="n">
        <v>20</v>
      </c>
      <c r="G2205" s="2" t="n">
        <v>60</v>
      </c>
      <c r="H2205" s="2" t="s">
        <v>1689</v>
      </c>
      <c r="I2205" s="2" t="n">
        <v>4</v>
      </c>
    </row>
    <row r="2206" customFormat="false" ht="15" hidden="false" customHeight="false" outlineLevel="0" collapsed="false">
      <c r="A2206" s="2" t="s">
        <v>1431</v>
      </c>
      <c r="B2206" s="2" t="s">
        <v>301</v>
      </c>
      <c r="C2206" s="2" t="n">
        <v>15</v>
      </c>
      <c r="D2206" s="2" t="s">
        <v>54</v>
      </c>
      <c r="E2206" s="2" t="s">
        <v>3263</v>
      </c>
      <c r="F2206" s="2" t="n">
        <v>7.5</v>
      </c>
      <c r="G2206" s="2" t="n">
        <v>22.5</v>
      </c>
      <c r="H2206" s="2" t="s">
        <v>1689</v>
      </c>
      <c r="I2206" s="2" t="n">
        <v>5</v>
      </c>
    </row>
    <row r="2207" customFormat="false" ht="15" hidden="false" customHeight="false" outlineLevel="0" collapsed="false">
      <c r="A2207" s="2" t="s">
        <v>1431</v>
      </c>
      <c r="B2207" s="2" t="s">
        <v>456</v>
      </c>
      <c r="C2207" s="2" t="n">
        <v>0.5</v>
      </c>
      <c r="D2207" s="2" t="s">
        <v>1687</v>
      </c>
      <c r="E2207" s="2" t="s">
        <v>3264</v>
      </c>
      <c r="F2207" s="2"/>
      <c r="G2207" s="2" t="n">
        <v>1.5</v>
      </c>
      <c r="H2207" s="2" t="s">
        <v>1689</v>
      </c>
      <c r="I2207" s="2" t="n">
        <v>6</v>
      </c>
    </row>
    <row r="2208" customFormat="false" ht="15" hidden="false" customHeight="false" outlineLevel="0" collapsed="false">
      <c r="A2208" s="2" t="s">
        <v>1431</v>
      </c>
      <c r="B2208" s="2" t="s">
        <v>367</v>
      </c>
      <c r="C2208" s="2" t="n">
        <v>2</v>
      </c>
      <c r="D2208" s="2" t="s">
        <v>76</v>
      </c>
      <c r="E2208" s="2" t="s">
        <v>3265</v>
      </c>
      <c r="F2208" s="2" t="n">
        <v>1</v>
      </c>
      <c r="G2208" s="2" t="n">
        <v>3</v>
      </c>
      <c r="H2208" s="2" t="s">
        <v>1689</v>
      </c>
      <c r="I2208" s="2" t="n">
        <v>7</v>
      </c>
    </row>
    <row r="2209" customFormat="false" ht="15" hidden="false" customHeight="false" outlineLevel="0" collapsed="false">
      <c r="A2209" s="2" t="s">
        <v>1431</v>
      </c>
      <c r="B2209" s="2" t="s">
        <v>129</v>
      </c>
      <c r="C2209" s="2" t="n">
        <v>5</v>
      </c>
      <c r="D2209" s="2" t="s">
        <v>54</v>
      </c>
      <c r="E2209" s="2" t="s">
        <v>3134</v>
      </c>
      <c r="F2209" s="2" t="n">
        <v>2.5</v>
      </c>
      <c r="G2209" s="2" t="n">
        <v>7.5</v>
      </c>
      <c r="H2209" s="2" t="s">
        <v>1700</v>
      </c>
      <c r="I2209" s="2" t="n">
        <v>8</v>
      </c>
    </row>
    <row r="2210" customFormat="false" ht="15" hidden="false" customHeight="false" outlineLevel="0" collapsed="false">
      <c r="A2210" s="2" t="s">
        <v>1431</v>
      </c>
      <c r="B2210" s="2" t="s">
        <v>170</v>
      </c>
      <c r="C2210" s="2" t="n">
        <v>7.5</v>
      </c>
      <c r="D2210" s="2" t="s">
        <v>76</v>
      </c>
      <c r="E2210" s="2" t="s">
        <v>3266</v>
      </c>
      <c r="F2210" s="2" t="n">
        <v>3.75</v>
      </c>
      <c r="G2210" s="2" t="n">
        <v>11.25</v>
      </c>
      <c r="H2210" s="2" t="s">
        <v>1689</v>
      </c>
      <c r="I2210" s="2" t="n">
        <v>9</v>
      </c>
    </row>
    <row r="2211" customFormat="false" ht="15" hidden="false" customHeight="false" outlineLevel="0" collapsed="false">
      <c r="A2211" s="2" t="s">
        <v>1434</v>
      </c>
      <c r="B2211" s="2" t="s">
        <v>409</v>
      </c>
      <c r="C2211" s="2" t="n">
        <v>100</v>
      </c>
      <c r="D2211" s="2" t="s">
        <v>54</v>
      </c>
      <c r="E2211" s="2" t="s">
        <v>3162</v>
      </c>
      <c r="F2211" s="2" t="n">
        <v>50</v>
      </c>
      <c r="G2211" s="2" t="n">
        <v>150</v>
      </c>
      <c r="H2211" s="2" t="s">
        <v>1689</v>
      </c>
      <c r="I2211" s="2" t="n">
        <v>1</v>
      </c>
    </row>
    <row r="2212" customFormat="false" ht="15" hidden="false" customHeight="false" outlineLevel="0" collapsed="false">
      <c r="A2212" s="2" t="s">
        <v>1434</v>
      </c>
      <c r="B2212" s="2" t="s">
        <v>312</v>
      </c>
      <c r="C2212" s="2" t="n">
        <v>1</v>
      </c>
      <c r="D2212" s="2" t="s">
        <v>1687</v>
      </c>
      <c r="E2212" s="2" t="s">
        <v>2607</v>
      </c>
      <c r="F2212" s="2"/>
      <c r="G2212" s="2" t="n">
        <v>2</v>
      </c>
      <c r="H2212" s="2" t="s">
        <v>1689</v>
      </c>
      <c r="I2212" s="2" t="n">
        <v>2</v>
      </c>
    </row>
    <row r="2213" customFormat="false" ht="15" hidden="false" customHeight="false" outlineLevel="0" collapsed="false">
      <c r="A2213" s="2" t="s">
        <v>1434</v>
      </c>
      <c r="B2213" s="2" t="s">
        <v>569</v>
      </c>
      <c r="C2213" s="2" t="n">
        <v>250</v>
      </c>
      <c r="D2213" s="2" t="s">
        <v>54</v>
      </c>
      <c r="E2213" s="2" t="s">
        <v>3267</v>
      </c>
      <c r="F2213" s="2" t="n">
        <v>125</v>
      </c>
      <c r="G2213" s="2" t="n">
        <v>375</v>
      </c>
      <c r="H2213" s="2" t="s">
        <v>1689</v>
      </c>
      <c r="I2213" s="2" t="n">
        <v>3</v>
      </c>
    </row>
    <row r="2214" customFormat="false" ht="15" hidden="false" customHeight="false" outlineLevel="0" collapsed="false">
      <c r="A2214" s="2" t="s">
        <v>1434</v>
      </c>
      <c r="B2214" s="2" t="s">
        <v>454</v>
      </c>
      <c r="C2214" s="2" t="n">
        <v>120</v>
      </c>
      <c r="D2214" s="2" t="s">
        <v>54</v>
      </c>
      <c r="E2214" s="2" t="s">
        <v>3268</v>
      </c>
      <c r="F2214" s="2" t="n">
        <v>60</v>
      </c>
      <c r="G2214" s="2" t="n">
        <v>180</v>
      </c>
      <c r="H2214" s="2" t="s">
        <v>1689</v>
      </c>
      <c r="I2214" s="2" t="n">
        <v>4</v>
      </c>
    </row>
    <row r="2215" customFormat="false" ht="15" hidden="false" customHeight="false" outlineLevel="0" collapsed="false">
      <c r="A2215" s="2" t="s">
        <v>1434</v>
      </c>
      <c r="B2215" s="2" t="s">
        <v>102</v>
      </c>
      <c r="C2215" s="2" t="n">
        <v>400</v>
      </c>
      <c r="D2215" s="2" t="s">
        <v>54</v>
      </c>
      <c r="E2215" s="2" t="s">
        <v>3269</v>
      </c>
      <c r="F2215" s="2" t="n">
        <v>200</v>
      </c>
      <c r="G2215" s="2" t="n">
        <v>600</v>
      </c>
      <c r="H2215" s="2" t="s">
        <v>1689</v>
      </c>
      <c r="I2215" s="2" t="n">
        <v>5</v>
      </c>
    </row>
    <row r="2216" customFormat="false" ht="15" hidden="false" customHeight="false" outlineLevel="0" collapsed="false">
      <c r="A2216" s="2" t="s">
        <v>1434</v>
      </c>
      <c r="B2216" s="2" t="s">
        <v>422</v>
      </c>
      <c r="C2216" s="2" t="n">
        <v>200</v>
      </c>
      <c r="D2216" s="2" t="s">
        <v>54</v>
      </c>
      <c r="E2216" s="2" t="s">
        <v>3270</v>
      </c>
      <c r="F2216" s="2" t="n">
        <v>100</v>
      </c>
      <c r="G2216" s="2" t="n">
        <v>300</v>
      </c>
      <c r="H2216" s="2" t="s">
        <v>1689</v>
      </c>
      <c r="I2216" s="2" t="n">
        <v>6</v>
      </c>
    </row>
    <row r="2217" customFormat="false" ht="15" hidden="false" customHeight="false" outlineLevel="0" collapsed="false">
      <c r="A2217" s="2" t="s">
        <v>1434</v>
      </c>
      <c r="B2217" s="2" t="s">
        <v>566</v>
      </c>
      <c r="C2217" s="2" t="n">
        <v>180</v>
      </c>
      <c r="D2217" s="2" t="s">
        <v>54</v>
      </c>
      <c r="E2217" s="2" t="s">
        <v>3271</v>
      </c>
      <c r="F2217" s="2" t="n">
        <v>90</v>
      </c>
      <c r="G2217" s="2" t="n">
        <v>270</v>
      </c>
      <c r="H2217" s="2" t="s">
        <v>1689</v>
      </c>
      <c r="I2217" s="2" t="n">
        <v>7</v>
      </c>
    </row>
    <row r="2218" customFormat="false" ht="15" hidden="false" customHeight="false" outlineLevel="0" collapsed="false">
      <c r="A2218" s="2" t="s">
        <v>1434</v>
      </c>
      <c r="B2218" s="2" t="s">
        <v>506</v>
      </c>
      <c r="C2218" s="2" t="n">
        <v>360</v>
      </c>
      <c r="D2218" s="2" t="s">
        <v>76</v>
      </c>
      <c r="E2218" s="2" t="s">
        <v>3272</v>
      </c>
      <c r="F2218" s="2" t="n">
        <v>180</v>
      </c>
      <c r="G2218" s="2" t="n">
        <v>540</v>
      </c>
      <c r="H2218" s="2" t="s">
        <v>1693</v>
      </c>
      <c r="I2218" s="2" t="n">
        <v>8</v>
      </c>
    </row>
    <row r="2219" customFormat="false" ht="15" hidden="false" customHeight="false" outlineLevel="0" collapsed="false">
      <c r="A2219" s="2" t="s">
        <v>1434</v>
      </c>
      <c r="B2219" s="2" t="s">
        <v>271</v>
      </c>
      <c r="C2219" s="2" t="n">
        <v>7</v>
      </c>
      <c r="D2219" s="2" t="s">
        <v>54</v>
      </c>
      <c r="E2219" s="2" t="s">
        <v>3273</v>
      </c>
      <c r="F2219" s="2" t="n">
        <v>3.5</v>
      </c>
      <c r="G2219" s="2" t="n">
        <v>10.5</v>
      </c>
      <c r="H2219" s="2" t="s">
        <v>1689</v>
      </c>
      <c r="I2219" s="2" t="n">
        <v>9</v>
      </c>
    </row>
    <row r="2220" customFormat="false" ht="15" hidden="false" customHeight="false" outlineLevel="0" collapsed="false">
      <c r="A2220" s="2" t="s">
        <v>1434</v>
      </c>
      <c r="B2220" s="2" t="s">
        <v>571</v>
      </c>
      <c r="C2220" s="2" t="n">
        <v>40</v>
      </c>
      <c r="D2220" s="2" t="s">
        <v>54</v>
      </c>
      <c r="E2220" s="2" t="s">
        <v>3274</v>
      </c>
      <c r="F2220" s="2" t="n">
        <v>20</v>
      </c>
      <c r="G2220" s="2" t="n">
        <v>60</v>
      </c>
      <c r="H2220" s="2" t="s">
        <v>1689</v>
      </c>
      <c r="I2220" s="2" t="n">
        <v>10</v>
      </c>
    </row>
    <row r="2221" customFormat="false" ht="15" hidden="false" customHeight="false" outlineLevel="0" collapsed="false">
      <c r="A2221" s="2" t="s">
        <v>1434</v>
      </c>
      <c r="B2221" s="2" t="s">
        <v>518</v>
      </c>
      <c r="C2221" s="2" t="n">
        <v>30</v>
      </c>
      <c r="D2221" s="2" t="s">
        <v>54</v>
      </c>
      <c r="E2221" s="2" t="s">
        <v>3275</v>
      </c>
      <c r="F2221" s="2" t="n">
        <v>15</v>
      </c>
      <c r="G2221" s="2" t="n">
        <v>45</v>
      </c>
      <c r="H2221" s="2" t="s">
        <v>1700</v>
      </c>
      <c r="I2221" s="2" t="n">
        <v>11</v>
      </c>
    </row>
    <row r="2222" customFormat="false" ht="15" hidden="false" customHeight="false" outlineLevel="0" collapsed="false">
      <c r="A2222" s="2" t="s">
        <v>1434</v>
      </c>
      <c r="B2222" s="2" t="s">
        <v>367</v>
      </c>
      <c r="C2222" s="2" t="n">
        <v>3</v>
      </c>
      <c r="D2222" s="2" t="s">
        <v>76</v>
      </c>
      <c r="E2222" s="2" t="s">
        <v>3276</v>
      </c>
      <c r="F2222" s="2" t="n">
        <v>2</v>
      </c>
      <c r="G2222" s="2" t="n">
        <v>4</v>
      </c>
      <c r="H2222" s="2" t="s">
        <v>1689</v>
      </c>
      <c r="I2222" s="2" t="n">
        <v>12</v>
      </c>
    </row>
    <row r="2223" customFormat="false" ht="15" hidden="false" customHeight="false" outlineLevel="0" collapsed="false">
      <c r="A2223" s="2" t="s">
        <v>1434</v>
      </c>
      <c r="B2223" s="2" t="s">
        <v>129</v>
      </c>
      <c r="C2223" s="2" t="n">
        <v>15</v>
      </c>
      <c r="D2223" s="2" t="s">
        <v>54</v>
      </c>
      <c r="E2223" s="2" t="s">
        <v>3161</v>
      </c>
      <c r="F2223" s="2" t="n">
        <v>7.5</v>
      </c>
      <c r="G2223" s="2" t="n">
        <v>22.5</v>
      </c>
      <c r="H2223" s="2" t="s">
        <v>1700</v>
      </c>
      <c r="I2223" s="2" t="n">
        <v>13</v>
      </c>
    </row>
    <row r="2224" customFormat="false" ht="15" hidden="false" customHeight="false" outlineLevel="0" collapsed="false">
      <c r="A2224" s="2" t="s">
        <v>1434</v>
      </c>
      <c r="B2224" s="2" t="s">
        <v>131</v>
      </c>
      <c r="C2224" s="2" t="n">
        <v>1</v>
      </c>
      <c r="D2224" s="2" t="s">
        <v>54</v>
      </c>
      <c r="E2224" s="2" t="s">
        <v>1880</v>
      </c>
      <c r="F2224" s="2" t="n">
        <v>0.5</v>
      </c>
      <c r="G2224" s="2" t="n">
        <v>1.5</v>
      </c>
      <c r="H2224" s="2" t="s">
        <v>1689</v>
      </c>
      <c r="I2224" s="2" t="n">
        <v>14</v>
      </c>
    </row>
    <row r="2225" customFormat="false" ht="15" hidden="false" customHeight="false" outlineLevel="0" collapsed="false">
      <c r="A2225" s="2" t="s">
        <v>1434</v>
      </c>
      <c r="B2225" s="2" t="s">
        <v>154</v>
      </c>
      <c r="C2225" s="2" t="n">
        <v>15</v>
      </c>
      <c r="D2225" s="2" t="s">
        <v>54</v>
      </c>
      <c r="E2225" s="2" t="s">
        <v>3277</v>
      </c>
      <c r="F2225" s="2" t="n">
        <v>7.5</v>
      </c>
      <c r="G2225" s="2" t="n">
        <v>22.5</v>
      </c>
      <c r="H2225" s="2" t="s">
        <v>1700</v>
      </c>
      <c r="I2225" s="2" t="n">
        <v>15</v>
      </c>
    </row>
    <row r="2226" customFormat="false" ht="15" hidden="false" customHeight="false" outlineLevel="0" collapsed="false">
      <c r="A2226" s="2" t="s">
        <v>1439</v>
      </c>
      <c r="B2226" s="2" t="s">
        <v>81</v>
      </c>
      <c r="C2226" s="2" t="n">
        <v>30</v>
      </c>
      <c r="D2226" s="2" t="s">
        <v>54</v>
      </c>
      <c r="E2226" s="2" t="s">
        <v>3278</v>
      </c>
      <c r="F2226" s="2" t="n">
        <v>15</v>
      </c>
      <c r="G2226" s="2" t="n">
        <v>45</v>
      </c>
      <c r="H2226" s="2" t="s">
        <v>1689</v>
      </c>
      <c r="I2226" s="2" t="n">
        <v>1</v>
      </c>
    </row>
    <row r="2227" customFormat="false" ht="15" hidden="false" customHeight="false" outlineLevel="0" collapsed="false">
      <c r="A2227" s="2" t="s">
        <v>1439</v>
      </c>
      <c r="B2227" s="2" t="s">
        <v>74</v>
      </c>
      <c r="C2227" s="2" t="n">
        <v>100</v>
      </c>
      <c r="D2227" s="2" t="s">
        <v>76</v>
      </c>
      <c r="E2227" s="2" t="s">
        <v>1702</v>
      </c>
      <c r="F2227" s="2" t="n">
        <v>50</v>
      </c>
      <c r="G2227" s="2" t="n">
        <v>150</v>
      </c>
      <c r="H2227" s="2" t="s">
        <v>1689</v>
      </c>
      <c r="I2227" s="2" t="n">
        <v>2</v>
      </c>
    </row>
    <row r="2228" customFormat="false" ht="15" hidden="false" customHeight="false" outlineLevel="0" collapsed="false">
      <c r="A2228" s="2" t="s">
        <v>1439</v>
      </c>
      <c r="B2228" s="2" t="s">
        <v>67</v>
      </c>
      <c r="C2228" s="2" t="n">
        <v>100</v>
      </c>
      <c r="D2228" s="2" t="s">
        <v>54</v>
      </c>
      <c r="E2228" s="2" t="s">
        <v>3279</v>
      </c>
      <c r="F2228" s="2" t="n">
        <v>50</v>
      </c>
      <c r="G2228" s="2" t="n">
        <v>150</v>
      </c>
      <c r="H2228" s="2" t="s">
        <v>1693</v>
      </c>
      <c r="I2228" s="2" t="n">
        <v>3</v>
      </c>
    </row>
    <row r="2229" customFormat="false" ht="15" hidden="false" customHeight="false" outlineLevel="0" collapsed="false">
      <c r="A2229" s="2" t="s">
        <v>1439</v>
      </c>
      <c r="B2229" s="2" t="s">
        <v>89</v>
      </c>
      <c r="C2229" s="2" t="n">
        <v>10</v>
      </c>
      <c r="D2229" s="2" t="s">
        <v>54</v>
      </c>
      <c r="E2229" s="2" t="s">
        <v>1823</v>
      </c>
      <c r="F2229" s="2" t="n">
        <v>5</v>
      </c>
      <c r="G2229" s="2" t="n">
        <v>15</v>
      </c>
      <c r="H2229" s="2" t="s">
        <v>1689</v>
      </c>
      <c r="I2229" s="2" t="n">
        <v>4</v>
      </c>
    </row>
    <row r="2230" customFormat="false" ht="15" hidden="false" customHeight="false" outlineLevel="0" collapsed="false">
      <c r="A2230" s="2" t="s">
        <v>1439</v>
      </c>
      <c r="B2230" s="2" t="s">
        <v>85</v>
      </c>
      <c r="C2230" s="2" t="n">
        <v>10</v>
      </c>
      <c r="D2230" s="2" t="s">
        <v>54</v>
      </c>
      <c r="E2230" s="2" t="s">
        <v>3280</v>
      </c>
      <c r="F2230" s="2" t="n">
        <v>5</v>
      </c>
      <c r="G2230" s="2" t="n">
        <v>15</v>
      </c>
      <c r="H2230" s="2" t="s">
        <v>1700</v>
      </c>
      <c r="I2230" s="2" t="n">
        <v>5</v>
      </c>
    </row>
    <row r="2231" customFormat="false" ht="15" hidden="false" customHeight="false" outlineLevel="0" collapsed="false">
      <c r="A2231" s="2" t="s">
        <v>1439</v>
      </c>
      <c r="B2231" s="2" t="s">
        <v>392</v>
      </c>
      <c r="C2231" s="2" t="n">
        <v>40</v>
      </c>
      <c r="D2231" s="2" t="s">
        <v>54</v>
      </c>
      <c r="E2231" s="2" t="s">
        <v>3281</v>
      </c>
      <c r="F2231" s="2" t="n">
        <v>20</v>
      </c>
      <c r="G2231" s="2" t="n">
        <v>60</v>
      </c>
      <c r="H2231" s="2" t="s">
        <v>1689</v>
      </c>
      <c r="I2231" s="2" t="n">
        <v>6</v>
      </c>
    </row>
    <row r="2232" customFormat="false" ht="15" hidden="false" customHeight="false" outlineLevel="0" collapsed="false">
      <c r="A2232" s="2" t="s">
        <v>1439</v>
      </c>
      <c r="B2232" s="2" t="s">
        <v>99</v>
      </c>
      <c r="C2232" s="2" t="n">
        <v>1</v>
      </c>
      <c r="D2232" s="2" t="s">
        <v>54</v>
      </c>
      <c r="E2232" s="2" t="s">
        <v>3282</v>
      </c>
      <c r="F2232" s="2" t="n">
        <v>0.5</v>
      </c>
      <c r="G2232" s="2" t="n">
        <v>1.5</v>
      </c>
      <c r="H2232" s="2" t="s">
        <v>1689</v>
      </c>
      <c r="I2232" s="2" t="n">
        <v>7</v>
      </c>
    </row>
    <row r="2233" customFormat="false" ht="15" hidden="false" customHeight="false" outlineLevel="0" collapsed="false">
      <c r="A2233" s="2" t="s">
        <v>1439</v>
      </c>
      <c r="B2233" s="2" t="s">
        <v>271</v>
      </c>
      <c r="C2233" s="2" t="n">
        <v>1</v>
      </c>
      <c r="D2233" s="2" t="s">
        <v>54</v>
      </c>
      <c r="E2233" s="2" t="s">
        <v>3283</v>
      </c>
      <c r="F2233" s="2" t="n">
        <v>0.5</v>
      </c>
      <c r="G2233" s="2" t="n">
        <v>1.5</v>
      </c>
      <c r="H2233" s="2" t="s">
        <v>1689</v>
      </c>
      <c r="I2233" s="2" t="n">
        <v>8</v>
      </c>
    </row>
    <row r="2234" customFormat="false" ht="15" hidden="false" customHeight="false" outlineLevel="0" collapsed="false">
      <c r="A2234" s="2" t="s">
        <v>1443</v>
      </c>
      <c r="B2234" s="2" t="s">
        <v>154</v>
      </c>
      <c r="C2234" s="2" t="n">
        <v>15</v>
      </c>
      <c r="D2234" s="2" t="s">
        <v>54</v>
      </c>
      <c r="E2234" s="2" t="s">
        <v>3284</v>
      </c>
      <c r="F2234" s="2" t="n">
        <v>7.5</v>
      </c>
      <c r="G2234" s="2" t="n">
        <v>22.5</v>
      </c>
      <c r="H2234" s="2" t="s">
        <v>1700</v>
      </c>
      <c r="I2234" s="2" t="n">
        <v>1</v>
      </c>
    </row>
    <row r="2235" customFormat="false" ht="15" hidden="false" customHeight="false" outlineLevel="0" collapsed="false">
      <c r="A2235" s="2" t="s">
        <v>1443</v>
      </c>
      <c r="B2235" s="2" t="s">
        <v>392</v>
      </c>
      <c r="C2235" s="2" t="n">
        <v>60</v>
      </c>
      <c r="D2235" s="2" t="s">
        <v>54</v>
      </c>
      <c r="E2235" s="2" t="s">
        <v>3285</v>
      </c>
      <c r="F2235" s="2" t="n">
        <v>30</v>
      </c>
      <c r="G2235" s="2" t="n">
        <v>90</v>
      </c>
      <c r="H2235" s="2" t="s">
        <v>1689</v>
      </c>
      <c r="I2235" s="2" t="n">
        <v>2</v>
      </c>
    </row>
    <row r="2236" customFormat="false" ht="15" hidden="false" customHeight="false" outlineLevel="0" collapsed="false">
      <c r="A2236" s="2" t="s">
        <v>1443</v>
      </c>
      <c r="B2236" s="2" t="s">
        <v>81</v>
      </c>
      <c r="C2236" s="2" t="n">
        <v>20</v>
      </c>
      <c r="D2236" s="2" t="s">
        <v>54</v>
      </c>
      <c r="E2236" s="2" t="s">
        <v>3286</v>
      </c>
      <c r="F2236" s="2" t="n">
        <v>10</v>
      </c>
      <c r="G2236" s="2" t="n">
        <v>30</v>
      </c>
      <c r="H2236" s="2" t="s">
        <v>1689</v>
      </c>
      <c r="I2236" s="2" t="n">
        <v>3</v>
      </c>
    </row>
    <row r="2237" customFormat="false" ht="15" hidden="false" customHeight="false" outlineLevel="0" collapsed="false">
      <c r="A2237" s="2" t="s">
        <v>1443</v>
      </c>
      <c r="B2237" s="2" t="s">
        <v>74</v>
      </c>
      <c r="C2237" s="2" t="n">
        <v>100</v>
      </c>
      <c r="D2237" s="2" t="s">
        <v>76</v>
      </c>
      <c r="E2237" s="2" t="s">
        <v>1702</v>
      </c>
      <c r="F2237" s="2" t="n">
        <v>50</v>
      </c>
      <c r="G2237" s="2" t="n">
        <v>150</v>
      </c>
      <c r="H2237" s="2" t="s">
        <v>1689</v>
      </c>
      <c r="I2237" s="2" t="n">
        <v>4</v>
      </c>
    </row>
    <row r="2238" customFormat="false" ht="15" hidden="false" customHeight="false" outlineLevel="0" collapsed="false">
      <c r="A2238" s="2" t="s">
        <v>1443</v>
      </c>
      <c r="B2238" s="2" t="s">
        <v>67</v>
      </c>
      <c r="C2238" s="2" t="n">
        <v>60</v>
      </c>
      <c r="D2238" s="2" t="s">
        <v>54</v>
      </c>
      <c r="E2238" s="2" t="s">
        <v>3287</v>
      </c>
      <c r="F2238" s="2" t="n">
        <v>30</v>
      </c>
      <c r="G2238" s="2" t="n">
        <v>90</v>
      </c>
      <c r="H2238" s="2" t="s">
        <v>1693</v>
      </c>
      <c r="I2238" s="2" t="n">
        <v>5</v>
      </c>
    </row>
    <row r="2239" customFormat="false" ht="15" hidden="false" customHeight="false" outlineLevel="0" collapsed="false">
      <c r="A2239" s="2" t="s">
        <v>1445</v>
      </c>
      <c r="B2239" s="2" t="s">
        <v>610</v>
      </c>
      <c r="C2239" s="2" t="n">
        <v>150</v>
      </c>
      <c r="D2239" s="2" t="s">
        <v>76</v>
      </c>
      <c r="E2239" s="2" t="s">
        <v>3288</v>
      </c>
      <c r="F2239" s="2" t="n">
        <v>75</v>
      </c>
      <c r="G2239" s="2" t="n">
        <v>225</v>
      </c>
      <c r="H2239" s="2" t="s">
        <v>1689</v>
      </c>
      <c r="I2239" s="2" t="n">
        <v>1</v>
      </c>
    </row>
    <row r="2240" customFormat="false" ht="15" hidden="false" customHeight="false" outlineLevel="0" collapsed="false">
      <c r="A2240" s="2" t="s">
        <v>1445</v>
      </c>
      <c r="B2240" s="2" t="s">
        <v>59</v>
      </c>
      <c r="C2240" s="2" t="n">
        <v>45</v>
      </c>
      <c r="D2240" s="2" t="s">
        <v>54</v>
      </c>
      <c r="E2240" s="2" t="s">
        <v>3289</v>
      </c>
      <c r="F2240" s="2" t="n">
        <v>22.5</v>
      </c>
      <c r="G2240" s="2" t="n">
        <v>67.5</v>
      </c>
      <c r="H2240" s="2" t="s">
        <v>1689</v>
      </c>
      <c r="I2240" s="2" t="n">
        <v>2</v>
      </c>
    </row>
    <row r="2241" customFormat="false" ht="15" hidden="false" customHeight="false" outlineLevel="0" collapsed="false">
      <c r="A2241" s="2" t="s">
        <v>1445</v>
      </c>
      <c r="B2241" s="2" t="s">
        <v>498</v>
      </c>
      <c r="C2241" s="2" t="n">
        <v>20</v>
      </c>
      <c r="D2241" s="2" t="s">
        <v>54</v>
      </c>
      <c r="E2241" s="2" t="s">
        <v>3290</v>
      </c>
      <c r="F2241" s="2" t="n">
        <v>10</v>
      </c>
      <c r="G2241" s="2" t="n">
        <v>30</v>
      </c>
      <c r="H2241" s="2" t="s">
        <v>1693</v>
      </c>
      <c r="I2241" s="2" t="n">
        <v>3</v>
      </c>
    </row>
    <row r="2242" customFormat="false" ht="15" hidden="false" customHeight="false" outlineLevel="0" collapsed="false">
      <c r="A2242" s="2" t="s">
        <v>1445</v>
      </c>
      <c r="B2242" s="2" t="s">
        <v>64</v>
      </c>
      <c r="C2242" s="2" t="n">
        <v>30</v>
      </c>
      <c r="D2242" s="2" t="s">
        <v>54</v>
      </c>
      <c r="E2242" s="2" t="s">
        <v>3291</v>
      </c>
      <c r="F2242" s="2" t="n">
        <v>15</v>
      </c>
      <c r="G2242" s="2" t="n">
        <v>45</v>
      </c>
      <c r="H2242" s="2" t="s">
        <v>1689</v>
      </c>
      <c r="I2242" s="2" t="n">
        <v>4</v>
      </c>
    </row>
    <row r="2243" customFormat="false" ht="15" hidden="false" customHeight="false" outlineLevel="0" collapsed="false">
      <c r="A2243" s="2" t="s">
        <v>1445</v>
      </c>
      <c r="B2243" s="2" t="s">
        <v>81</v>
      </c>
      <c r="C2243" s="2" t="n">
        <v>20</v>
      </c>
      <c r="D2243" s="2" t="s">
        <v>54</v>
      </c>
      <c r="E2243" s="2" t="s">
        <v>3286</v>
      </c>
      <c r="F2243" s="2" t="n">
        <v>10</v>
      </c>
      <c r="G2243" s="2" t="n">
        <v>30</v>
      </c>
      <c r="H2243" s="2" t="s">
        <v>1689</v>
      </c>
      <c r="I2243" s="2" t="n">
        <v>5</v>
      </c>
    </row>
    <row r="2244" customFormat="false" ht="15" hidden="false" customHeight="false" outlineLevel="0" collapsed="false">
      <c r="A2244" s="2" t="s">
        <v>1445</v>
      </c>
      <c r="B2244" s="2" t="s">
        <v>74</v>
      </c>
      <c r="C2244" s="2" t="n">
        <v>100</v>
      </c>
      <c r="D2244" s="2" t="s">
        <v>76</v>
      </c>
      <c r="E2244" s="2" t="s">
        <v>1702</v>
      </c>
      <c r="F2244" s="2" t="n">
        <v>50</v>
      </c>
      <c r="G2244" s="2" t="n">
        <v>150</v>
      </c>
      <c r="H2244" s="2" t="s">
        <v>1689</v>
      </c>
      <c r="I2244" s="2" t="n">
        <v>6</v>
      </c>
    </row>
    <row r="2245" customFormat="false" ht="15" hidden="false" customHeight="false" outlineLevel="0" collapsed="false">
      <c r="A2245" s="2" t="s">
        <v>1445</v>
      </c>
      <c r="B2245" s="2" t="s">
        <v>67</v>
      </c>
      <c r="C2245" s="2" t="n">
        <v>60</v>
      </c>
      <c r="D2245" s="2" t="s">
        <v>54</v>
      </c>
      <c r="E2245" s="2" t="s">
        <v>3287</v>
      </c>
      <c r="F2245" s="2" t="n">
        <v>30</v>
      </c>
      <c r="G2245" s="2" t="n">
        <v>90</v>
      </c>
      <c r="H2245" s="2" t="s">
        <v>1693</v>
      </c>
      <c r="I2245" s="2" t="n">
        <v>7</v>
      </c>
    </row>
    <row r="2246" customFormat="false" ht="15" hidden="false" customHeight="false" outlineLevel="0" collapsed="false">
      <c r="A2246" s="2" t="s">
        <v>1448</v>
      </c>
      <c r="B2246" s="2" t="s">
        <v>52</v>
      </c>
      <c r="C2246" s="2" t="n">
        <v>1</v>
      </c>
      <c r="D2246" s="2" t="s">
        <v>1687</v>
      </c>
      <c r="E2246" s="2" t="s">
        <v>3292</v>
      </c>
      <c r="F2246" s="2"/>
      <c r="G2246" s="2" t="n">
        <v>2</v>
      </c>
      <c r="H2246" s="2" t="s">
        <v>1689</v>
      </c>
      <c r="I2246" s="2" t="n">
        <v>1</v>
      </c>
    </row>
    <row r="2247" customFormat="false" ht="15" hidden="false" customHeight="false" outlineLevel="0" collapsed="false">
      <c r="A2247" s="2" t="s">
        <v>1448</v>
      </c>
      <c r="B2247" s="2" t="s">
        <v>81</v>
      </c>
      <c r="C2247" s="2" t="n">
        <v>40</v>
      </c>
      <c r="D2247" s="2" t="s">
        <v>54</v>
      </c>
      <c r="E2247" s="2" t="s">
        <v>2005</v>
      </c>
      <c r="F2247" s="2" t="n">
        <v>20</v>
      </c>
      <c r="G2247" s="2" t="n">
        <v>60</v>
      </c>
      <c r="H2247" s="2" t="s">
        <v>1689</v>
      </c>
      <c r="I2247" s="2" t="n">
        <v>2</v>
      </c>
    </row>
    <row r="2248" customFormat="false" ht="15" hidden="false" customHeight="false" outlineLevel="0" collapsed="false">
      <c r="A2248" s="2" t="s">
        <v>1448</v>
      </c>
      <c r="B2248" s="2" t="s">
        <v>85</v>
      </c>
      <c r="C2248" s="2" t="n">
        <v>10</v>
      </c>
      <c r="D2248" s="2" t="s">
        <v>54</v>
      </c>
      <c r="E2248" s="2" t="s">
        <v>3293</v>
      </c>
      <c r="F2248" s="2" t="n">
        <v>5</v>
      </c>
      <c r="G2248" s="2" t="n">
        <v>15</v>
      </c>
      <c r="H2248" s="2" t="s">
        <v>1700</v>
      </c>
      <c r="I2248" s="2" t="n">
        <v>3</v>
      </c>
    </row>
    <row r="2249" customFormat="false" ht="15" hidden="false" customHeight="false" outlineLevel="0" collapsed="false">
      <c r="A2249" s="2" t="s">
        <v>1448</v>
      </c>
      <c r="B2249" s="2" t="s">
        <v>74</v>
      </c>
      <c r="C2249" s="2" t="n">
        <v>100</v>
      </c>
      <c r="D2249" s="2" t="s">
        <v>76</v>
      </c>
      <c r="E2249" s="2" t="s">
        <v>1702</v>
      </c>
      <c r="F2249" s="2" t="n">
        <v>50</v>
      </c>
      <c r="G2249" s="2" t="n">
        <v>150</v>
      </c>
      <c r="H2249" s="2" t="s">
        <v>1689</v>
      </c>
      <c r="I2249" s="2" t="n">
        <v>4</v>
      </c>
    </row>
    <row r="2250" customFormat="false" ht="15" hidden="false" customHeight="false" outlineLevel="0" collapsed="false">
      <c r="A2250" s="2" t="s">
        <v>1448</v>
      </c>
      <c r="B2250" s="2" t="s">
        <v>67</v>
      </c>
      <c r="C2250" s="2" t="n">
        <v>60</v>
      </c>
      <c r="D2250" s="2" t="s">
        <v>54</v>
      </c>
      <c r="E2250" s="2" t="s">
        <v>3287</v>
      </c>
      <c r="F2250" s="2" t="n">
        <v>30</v>
      </c>
      <c r="G2250" s="2" t="n">
        <v>90</v>
      </c>
      <c r="H2250" s="2" t="s">
        <v>1693</v>
      </c>
      <c r="I2250" s="2" t="n">
        <v>5</v>
      </c>
    </row>
    <row r="2251" customFormat="false" ht="15" hidden="false" customHeight="false" outlineLevel="0" collapsed="false">
      <c r="A2251" s="2" t="s">
        <v>1450</v>
      </c>
      <c r="B2251" s="2" t="s">
        <v>582</v>
      </c>
      <c r="C2251" s="2" t="n">
        <v>3</v>
      </c>
      <c r="D2251" s="2" t="s">
        <v>1687</v>
      </c>
      <c r="E2251" s="2" t="s">
        <v>3294</v>
      </c>
      <c r="F2251" s="2" t="n">
        <v>2</v>
      </c>
      <c r="G2251" s="2" t="n">
        <v>4</v>
      </c>
      <c r="H2251" s="2" t="s">
        <v>1689</v>
      </c>
      <c r="I2251" s="2" t="n">
        <v>1</v>
      </c>
    </row>
    <row r="2252" customFormat="false" ht="15" hidden="false" customHeight="false" outlineLevel="0" collapsed="false">
      <c r="A2252" s="2" t="s">
        <v>1450</v>
      </c>
      <c r="B2252" s="2" t="s">
        <v>74</v>
      </c>
      <c r="C2252" s="2" t="n">
        <v>250</v>
      </c>
      <c r="D2252" s="2" t="s">
        <v>76</v>
      </c>
      <c r="E2252" s="2" t="s">
        <v>3295</v>
      </c>
      <c r="F2252" s="2" t="n">
        <v>125</v>
      </c>
      <c r="G2252" s="2" t="n">
        <v>375</v>
      </c>
      <c r="H2252" s="2" t="s">
        <v>1689</v>
      </c>
      <c r="I2252" s="2" t="n">
        <v>2</v>
      </c>
    </row>
    <row r="2253" customFormat="false" ht="15" hidden="false" customHeight="false" outlineLevel="0" collapsed="false">
      <c r="A2253" s="2" t="s">
        <v>1450</v>
      </c>
      <c r="B2253" s="2" t="s">
        <v>52</v>
      </c>
      <c r="C2253" s="2" t="n">
        <v>1</v>
      </c>
      <c r="D2253" s="2" t="s">
        <v>1687</v>
      </c>
      <c r="E2253" s="2" t="s">
        <v>1809</v>
      </c>
      <c r="F2253" s="2"/>
      <c r="G2253" s="2" t="n">
        <v>2</v>
      </c>
      <c r="H2253" s="2" t="s">
        <v>1689</v>
      </c>
      <c r="I2253" s="2" t="n">
        <v>3</v>
      </c>
    </row>
    <row r="2254" customFormat="false" ht="15" hidden="false" customHeight="false" outlineLevel="0" collapsed="false">
      <c r="A2254" s="2" t="s">
        <v>1450</v>
      </c>
      <c r="B2254" s="2" t="s">
        <v>89</v>
      </c>
      <c r="C2254" s="2" t="n">
        <v>5</v>
      </c>
      <c r="D2254" s="2" t="s">
        <v>54</v>
      </c>
      <c r="E2254" s="2" t="s">
        <v>3296</v>
      </c>
      <c r="F2254" s="2" t="n">
        <v>2.5</v>
      </c>
      <c r="G2254" s="2" t="n">
        <v>7.5</v>
      </c>
      <c r="H2254" s="2" t="s">
        <v>1689</v>
      </c>
      <c r="I2254" s="2" t="n">
        <v>4</v>
      </c>
    </row>
    <row r="2255" customFormat="false" ht="15" hidden="false" customHeight="false" outlineLevel="0" collapsed="false">
      <c r="A2255" s="2" t="s">
        <v>1454</v>
      </c>
      <c r="B2255" s="2" t="s">
        <v>585</v>
      </c>
      <c r="C2255" s="2" t="n">
        <v>2</v>
      </c>
      <c r="D2255" s="2" t="s">
        <v>1687</v>
      </c>
      <c r="E2255" s="2" t="s">
        <v>3297</v>
      </c>
      <c r="F2255" s="2" t="n">
        <v>1</v>
      </c>
      <c r="G2255" s="2" t="n">
        <v>3</v>
      </c>
      <c r="H2255" s="2" t="s">
        <v>1689</v>
      </c>
      <c r="I2255" s="2" t="n">
        <v>1</v>
      </c>
    </row>
    <row r="2256" customFormat="false" ht="15" hidden="false" customHeight="false" outlineLevel="0" collapsed="false">
      <c r="A2256" s="2" t="s">
        <v>1454</v>
      </c>
      <c r="B2256" s="2" t="s">
        <v>67</v>
      </c>
      <c r="C2256" s="2" t="n">
        <v>100</v>
      </c>
      <c r="D2256" s="2" t="s">
        <v>54</v>
      </c>
      <c r="E2256" s="2" t="s">
        <v>3251</v>
      </c>
      <c r="F2256" s="2" t="n">
        <v>50</v>
      </c>
      <c r="G2256" s="2" t="n">
        <v>150</v>
      </c>
      <c r="H2256" s="2" t="s">
        <v>1693</v>
      </c>
      <c r="I2256" s="2" t="n">
        <v>2</v>
      </c>
    </row>
    <row r="2257" customFormat="false" ht="15" hidden="false" customHeight="false" outlineLevel="0" collapsed="false">
      <c r="A2257" s="2" t="s">
        <v>1454</v>
      </c>
      <c r="B2257" s="2" t="s">
        <v>52</v>
      </c>
      <c r="C2257" s="2" t="n">
        <v>1</v>
      </c>
      <c r="D2257" s="2" t="s">
        <v>1687</v>
      </c>
      <c r="E2257" s="2" t="s">
        <v>1809</v>
      </c>
      <c r="F2257" s="2"/>
      <c r="G2257" s="2" t="n">
        <v>2</v>
      </c>
      <c r="H2257" s="2" t="s">
        <v>1689</v>
      </c>
      <c r="I2257" s="2" t="n">
        <v>3</v>
      </c>
    </row>
    <row r="2258" customFormat="false" ht="15" hidden="false" customHeight="false" outlineLevel="0" collapsed="false">
      <c r="A2258" s="2" t="s">
        <v>1457</v>
      </c>
      <c r="B2258" s="2" t="s">
        <v>575</v>
      </c>
      <c r="C2258" s="2" t="n">
        <v>150</v>
      </c>
      <c r="D2258" s="2" t="s">
        <v>54</v>
      </c>
      <c r="E2258" s="2" t="s">
        <v>3298</v>
      </c>
      <c r="F2258" s="2" t="n">
        <v>75</v>
      </c>
      <c r="G2258" s="2" t="n">
        <v>225</v>
      </c>
      <c r="H2258" s="2" t="s">
        <v>1693</v>
      </c>
      <c r="I2258" s="2" t="n">
        <v>1</v>
      </c>
    </row>
    <row r="2259" customFormat="false" ht="15" hidden="false" customHeight="false" outlineLevel="0" collapsed="false">
      <c r="A2259" s="2" t="s">
        <v>1457</v>
      </c>
      <c r="B2259" s="2" t="s">
        <v>177</v>
      </c>
      <c r="C2259" s="2" t="n">
        <v>110</v>
      </c>
      <c r="D2259" s="2" t="s">
        <v>54</v>
      </c>
      <c r="E2259" s="2" t="s">
        <v>3299</v>
      </c>
      <c r="F2259" s="2" t="n">
        <v>55</v>
      </c>
      <c r="G2259" s="2" t="n">
        <v>165</v>
      </c>
      <c r="H2259" s="2" t="s">
        <v>1689</v>
      </c>
      <c r="I2259" s="2" t="n">
        <v>2</v>
      </c>
    </row>
    <row r="2260" customFormat="false" ht="15" hidden="false" customHeight="false" outlineLevel="0" collapsed="false">
      <c r="A2260" s="2" t="s">
        <v>1457</v>
      </c>
      <c r="B2260" s="2" t="s">
        <v>280</v>
      </c>
      <c r="C2260" s="2" t="n">
        <v>75</v>
      </c>
      <c r="D2260" s="2" t="s">
        <v>54</v>
      </c>
      <c r="E2260" s="2" t="s">
        <v>3300</v>
      </c>
      <c r="F2260" s="2" t="n">
        <v>37.5</v>
      </c>
      <c r="G2260" s="2" t="n">
        <v>112.5</v>
      </c>
      <c r="H2260" s="2" t="s">
        <v>1693</v>
      </c>
      <c r="I2260" s="2" t="n">
        <v>3</v>
      </c>
    </row>
    <row r="2261" customFormat="false" ht="15" hidden="false" customHeight="false" outlineLevel="0" collapsed="false">
      <c r="A2261" s="2" t="s">
        <v>1457</v>
      </c>
      <c r="B2261" s="2" t="s">
        <v>498</v>
      </c>
      <c r="C2261" s="2" t="n">
        <v>50</v>
      </c>
      <c r="D2261" s="2" t="s">
        <v>54</v>
      </c>
      <c r="E2261" s="2" t="s">
        <v>3301</v>
      </c>
      <c r="F2261" s="2" t="n">
        <v>25</v>
      </c>
      <c r="G2261" s="2" t="n">
        <v>75</v>
      </c>
      <c r="H2261" s="2" t="s">
        <v>1693</v>
      </c>
      <c r="I2261" s="2" t="n">
        <v>4</v>
      </c>
    </row>
    <row r="2262" customFormat="false" ht="15" hidden="false" customHeight="false" outlineLevel="0" collapsed="false">
      <c r="A2262" s="2" t="s">
        <v>1457</v>
      </c>
      <c r="B2262" s="2" t="s">
        <v>67</v>
      </c>
      <c r="C2262" s="2" t="n">
        <v>60</v>
      </c>
      <c r="D2262" s="2" t="s">
        <v>54</v>
      </c>
      <c r="E2262" s="2" t="s">
        <v>3302</v>
      </c>
      <c r="F2262" s="2" t="n">
        <v>30</v>
      </c>
      <c r="G2262" s="2" t="n">
        <v>90</v>
      </c>
      <c r="H2262" s="2" t="s">
        <v>1693</v>
      </c>
      <c r="I2262" s="2" t="n">
        <v>5</v>
      </c>
    </row>
    <row r="2263" customFormat="false" ht="15" hidden="false" customHeight="false" outlineLevel="0" collapsed="false">
      <c r="A2263" s="2" t="s">
        <v>1457</v>
      </c>
      <c r="B2263" s="2" t="s">
        <v>271</v>
      </c>
      <c r="C2263" s="2" t="n">
        <v>2</v>
      </c>
      <c r="D2263" s="2" t="s">
        <v>54</v>
      </c>
      <c r="E2263" s="2" t="s">
        <v>3303</v>
      </c>
      <c r="F2263" s="2" t="n">
        <v>1</v>
      </c>
      <c r="G2263" s="2" t="n">
        <v>3</v>
      </c>
      <c r="H2263" s="2" t="s">
        <v>1689</v>
      </c>
      <c r="I2263" s="2" t="n">
        <v>6</v>
      </c>
    </row>
    <row r="2264" customFormat="false" ht="15" hidden="false" customHeight="false" outlineLevel="0" collapsed="false">
      <c r="A2264" s="2" t="s">
        <v>1461</v>
      </c>
      <c r="B2264" s="2" t="s">
        <v>355</v>
      </c>
      <c r="C2264" s="2" t="n">
        <v>150</v>
      </c>
      <c r="D2264" s="2" t="s">
        <v>54</v>
      </c>
      <c r="E2264" s="2" t="s">
        <v>3304</v>
      </c>
      <c r="F2264" s="2" t="n">
        <v>75</v>
      </c>
      <c r="G2264" s="2" t="n">
        <v>225</v>
      </c>
      <c r="H2264" s="2" t="s">
        <v>1693</v>
      </c>
      <c r="I2264" s="2" t="n">
        <v>1</v>
      </c>
    </row>
    <row r="2265" customFormat="false" ht="15" hidden="false" customHeight="false" outlineLevel="0" collapsed="false">
      <c r="A2265" s="2" t="s">
        <v>1461</v>
      </c>
      <c r="B2265" s="2" t="s">
        <v>566</v>
      </c>
      <c r="C2265" s="2" t="n">
        <v>75</v>
      </c>
      <c r="D2265" s="2" t="s">
        <v>54</v>
      </c>
      <c r="E2265" s="2" t="s">
        <v>3305</v>
      </c>
      <c r="F2265" s="2" t="n">
        <v>37.5</v>
      </c>
      <c r="G2265" s="2" t="n">
        <v>112.5</v>
      </c>
      <c r="H2265" s="2" t="s">
        <v>1689</v>
      </c>
      <c r="I2265" s="2" t="n">
        <v>2</v>
      </c>
    </row>
    <row r="2266" customFormat="false" ht="15" hidden="false" customHeight="false" outlineLevel="0" collapsed="false">
      <c r="A2266" s="2" t="s">
        <v>1461</v>
      </c>
      <c r="B2266" s="2" t="s">
        <v>514</v>
      </c>
      <c r="C2266" s="2" t="n">
        <v>150</v>
      </c>
      <c r="D2266" s="2" t="s">
        <v>54</v>
      </c>
      <c r="E2266" s="2" t="s">
        <v>3306</v>
      </c>
      <c r="F2266" s="2" t="n">
        <v>75</v>
      </c>
      <c r="G2266" s="2" t="n">
        <v>225</v>
      </c>
      <c r="H2266" s="2" t="s">
        <v>1689</v>
      </c>
      <c r="I2266" s="2" t="n">
        <v>3</v>
      </c>
    </row>
    <row r="2267" customFormat="false" ht="15" hidden="false" customHeight="false" outlineLevel="0" collapsed="false">
      <c r="A2267" s="2" t="s">
        <v>1461</v>
      </c>
      <c r="B2267" s="2" t="s">
        <v>195</v>
      </c>
      <c r="C2267" s="2" t="n">
        <v>100</v>
      </c>
      <c r="D2267" s="2" t="s">
        <v>54</v>
      </c>
      <c r="E2267" s="2" t="s">
        <v>3307</v>
      </c>
      <c r="F2267" s="2" t="n">
        <v>50</v>
      </c>
      <c r="G2267" s="2" t="n">
        <v>150</v>
      </c>
      <c r="H2267" s="2" t="s">
        <v>1693</v>
      </c>
      <c r="I2267" s="2" t="n">
        <v>4</v>
      </c>
    </row>
    <row r="2268" customFormat="false" ht="15" hidden="false" customHeight="false" outlineLevel="0" collapsed="false">
      <c r="A2268" s="2" t="s">
        <v>1464</v>
      </c>
      <c r="B2268" s="2" t="s">
        <v>221</v>
      </c>
      <c r="C2268" s="2" t="n">
        <v>150</v>
      </c>
      <c r="D2268" s="2" t="s">
        <v>54</v>
      </c>
      <c r="E2268" s="2" t="s">
        <v>3308</v>
      </c>
      <c r="F2268" s="2" t="n">
        <v>75</v>
      </c>
      <c r="G2268" s="2" t="n">
        <v>225</v>
      </c>
      <c r="H2268" s="2" t="s">
        <v>1693</v>
      </c>
      <c r="I2268" s="2" t="n">
        <v>1</v>
      </c>
    </row>
    <row r="2269" customFormat="false" ht="15" hidden="false" customHeight="false" outlineLevel="0" collapsed="false">
      <c r="A2269" s="2" t="s">
        <v>1464</v>
      </c>
      <c r="B2269" s="2" t="s">
        <v>177</v>
      </c>
      <c r="C2269" s="2" t="n">
        <v>75</v>
      </c>
      <c r="D2269" s="2" t="s">
        <v>54</v>
      </c>
      <c r="E2269" s="2" t="s">
        <v>3309</v>
      </c>
      <c r="F2269" s="2" t="n">
        <v>37.5</v>
      </c>
      <c r="G2269" s="2" t="n">
        <v>112.5</v>
      </c>
      <c r="H2269" s="2" t="s">
        <v>1689</v>
      </c>
      <c r="I2269" s="2" t="n">
        <v>2</v>
      </c>
    </row>
    <row r="2270" customFormat="false" ht="15" hidden="false" customHeight="false" outlineLevel="0" collapsed="false">
      <c r="A2270" s="2" t="s">
        <v>1464</v>
      </c>
      <c r="B2270" s="2" t="s">
        <v>588</v>
      </c>
      <c r="C2270" s="2" t="n">
        <v>50</v>
      </c>
      <c r="D2270" s="2" t="s">
        <v>54</v>
      </c>
      <c r="E2270" s="2" t="s">
        <v>3310</v>
      </c>
      <c r="F2270" s="2" t="n">
        <v>25</v>
      </c>
      <c r="G2270" s="2" t="n">
        <v>75</v>
      </c>
      <c r="H2270" s="2" t="s">
        <v>1689</v>
      </c>
      <c r="I2270" s="2" t="n">
        <v>3</v>
      </c>
    </row>
    <row r="2271" customFormat="false" ht="15" hidden="false" customHeight="false" outlineLevel="0" collapsed="false">
      <c r="A2271" s="2" t="s">
        <v>1464</v>
      </c>
      <c r="B2271" s="2" t="s">
        <v>498</v>
      </c>
      <c r="C2271" s="2" t="n">
        <v>50</v>
      </c>
      <c r="D2271" s="2" t="s">
        <v>54</v>
      </c>
      <c r="E2271" s="2" t="s">
        <v>3311</v>
      </c>
      <c r="F2271" s="2" t="n">
        <v>25</v>
      </c>
      <c r="G2271" s="2" t="n">
        <v>75</v>
      </c>
      <c r="H2271" s="2" t="s">
        <v>1693</v>
      </c>
      <c r="I2271" s="2" t="n">
        <v>4</v>
      </c>
    </row>
    <row r="2272" customFormat="false" ht="15" hidden="false" customHeight="false" outlineLevel="0" collapsed="false">
      <c r="A2272" s="2" t="s">
        <v>1464</v>
      </c>
      <c r="B2272" s="2" t="s">
        <v>329</v>
      </c>
      <c r="C2272" s="2" t="n">
        <v>15</v>
      </c>
      <c r="D2272" s="2" t="s">
        <v>54</v>
      </c>
      <c r="E2272" s="2" t="s">
        <v>3312</v>
      </c>
      <c r="F2272" s="2" t="n">
        <v>7.5</v>
      </c>
      <c r="G2272" s="2" t="n">
        <v>22.5</v>
      </c>
      <c r="H2272" s="2" t="s">
        <v>1689</v>
      </c>
      <c r="I2272" s="2" t="n">
        <v>5</v>
      </c>
    </row>
    <row r="2273" customFormat="false" ht="15" hidden="false" customHeight="false" outlineLevel="0" collapsed="false">
      <c r="A2273" s="2" t="s">
        <v>1464</v>
      </c>
      <c r="B2273" s="2" t="s">
        <v>486</v>
      </c>
      <c r="C2273" s="2" t="n">
        <v>5</v>
      </c>
      <c r="D2273" s="2" t="s">
        <v>54</v>
      </c>
      <c r="E2273" s="2" t="s">
        <v>2828</v>
      </c>
      <c r="F2273" s="2" t="n">
        <v>2.5</v>
      </c>
      <c r="G2273" s="2" t="n">
        <v>7.5</v>
      </c>
      <c r="H2273" s="2" t="s">
        <v>1700</v>
      </c>
      <c r="I2273" s="2" t="n">
        <v>6</v>
      </c>
    </row>
    <row r="2274" customFormat="false" ht="15" hidden="false" customHeight="false" outlineLevel="0" collapsed="false">
      <c r="A2274" s="2" t="s">
        <v>1464</v>
      </c>
      <c r="B2274" s="2" t="s">
        <v>488</v>
      </c>
      <c r="C2274" s="2" t="n">
        <v>2</v>
      </c>
      <c r="D2274" s="2" t="s">
        <v>54</v>
      </c>
      <c r="E2274" s="2" t="s">
        <v>3313</v>
      </c>
      <c r="F2274" s="2" t="n">
        <v>1</v>
      </c>
      <c r="G2274" s="2" t="n">
        <v>3</v>
      </c>
      <c r="H2274" s="2" t="s">
        <v>1700</v>
      </c>
      <c r="I2274" s="2" t="n">
        <v>7</v>
      </c>
    </row>
    <row r="2275" customFormat="false" ht="15" hidden="false" customHeight="false" outlineLevel="0" collapsed="false">
      <c r="A2275" s="2" t="s">
        <v>1467</v>
      </c>
      <c r="B2275" s="2" t="s">
        <v>476</v>
      </c>
      <c r="C2275" s="2" t="n">
        <v>150</v>
      </c>
      <c r="D2275" s="2" t="s">
        <v>54</v>
      </c>
      <c r="E2275" s="2" t="s">
        <v>3314</v>
      </c>
      <c r="F2275" s="2" t="n">
        <v>75</v>
      </c>
      <c r="G2275" s="2" t="n">
        <v>225</v>
      </c>
      <c r="H2275" s="2" t="s">
        <v>1693</v>
      </c>
      <c r="I2275" s="2" t="n">
        <v>1</v>
      </c>
    </row>
    <row r="2276" customFormat="false" ht="15" hidden="false" customHeight="false" outlineLevel="0" collapsed="false">
      <c r="A2276" s="2" t="s">
        <v>1467</v>
      </c>
      <c r="B2276" s="2" t="s">
        <v>514</v>
      </c>
      <c r="C2276" s="2" t="n">
        <v>200</v>
      </c>
      <c r="D2276" s="2" t="s">
        <v>54</v>
      </c>
      <c r="E2276" s="2" t="s">
        <v>3315</v>
      </c>
      <c r="F2276" s="2" t="n">
        <v>100</v>
      </c>
      <c r="G2276" s="2" t="n">
        <v>300</v>
      </c>
      <c r="H2276" s="2" t="s">
        <v>1689</v>
      </c>
      <c r="I2276" s="2" t="n">
        <v>2</v>
      </c>
    </row>
    <row r="2277" customFormat="false" ht="15" hidden="false" customHeight="false" outlineLevel="0" collapsed="false">
      <c r="A2277" s="2" t="s">
        <v>1467</v>
      </c>
      <c r="B2277" s="2" t="s">
        <v>608</v>
      </c>
      <c r="C2277" s="2" t="n">
        <v>100</v>
      </c>
      <c r="D2277" s="2" t="s">
        <v>54</v>
      </c>
      <c r="E2277" s="2" t="s">
        <v>3316</v>
      </c>
      <c r="F2277" s="2" t="n">
        <v>50</v>
      </c>
      <c r="G2277" s="2" t="n">
        <v>150</v>
      </c>
      <c r="H2277" s="2" t="s">
        <v>1689</v>
      </c>
      <c r="I2277" s="2" t="n">
        <v>3</v>
      </c>
    </row>
    <row r="2278" customFormat="false" ht="15" hidden="false" customHeight="false" outlineLevel="0" collapsed="false">
      <c r="A2278" s="2" t="s">
        <v>1467</v>
      </c>
      <c r="B2278" s="2" t="s">
        <v>470</v>
      </c>
      <c r="C2278" s="2" t="n">
        <v>50</v>
      </c>
      <c r="D2278" s="2" t="s">
        <v>54</v>
      </c>
      <c r="E2278" s="2" t="s">
        <v>3317</v>
      </c>
      <c r="F2278" s="2" t="n">
        <v>25</v>
      </c>
      <c r="G2278" s="2" t="n">
        <v>75</v>
      </c>
      <c r="H2278" s="2" t="s">
        <v>1693</v>
      </c>
      <c r="I2278" s="2" t="n">
        <v>4</v>
      </c>
    </row>
    <row r="2279" customFormat="false" ht="15" hidden="false" customHeight="false" outlineLevel="0" collapsed="false">
      <c r="A2279" s="2" t="s">
        <v>1467</v>
      </c>
      <c r="B2279" s="2" t="s">
        <v>498</v>
      </c>
      <c r="C2279" s="2" t="n">
        <v>100</v>
      </c>
      <c r="D2279" s="2" t="s">
        <v>54</v>
      </c>
      <c r="E2279" s="2" t="s">
        <v>3318</v>
      </c>
      <c r="F2279" s="2" t="n">
        <v>50</v>
      </c>
      <c r="G2279" s="2" t="n">
        <v>150</v>
      </c>
      <c r="H2279" s="2" t="s">
        <v>1693</v>
      </c>
      <c r="I2279" s="2" t="n">
        <v>5</v>
      </c>
    </row>
    <row r="2280" customFormat="false" ht="15" hidden="false" customHeight="false" outlineLevel="0" collapsed="false">
      <c r="A2280" s="2" t="s">
        <v>1467</v>
      </c>
      <c r="B2280" s="2" t="s">
        <v>312</v>
      </c>
      <c r="C2280" s="2" t="n">
        <v>1</v>
      </c>
      <c r="D2280" s="2" t="s">
        <v>1687</v>
      </c>
      <c r="E2280" s="2" t="s">
        <v>2402</v>
      </c>
      <c r="F2280" s="2"/>
      <c r="G2280" s="2" t="n">
        <v>2</v>
      </c>
      <c r="H2280" s="2" t="s">
        <v>1689</v>
      </c>
      <c r="I2280" s="2" t="n">
        <v>6</v>
      </c>
    </row>
    <row r="2281" customFormat="false" ht="15" hidden="false" customHeight="false" outlineLevel="0" collapsed="false">
      <c r="A2281" s="2" t="s">
        <v>1467</v>
      </c>
      <c r="B2281" s="2" t="s">
        <v>129</v>
      </c>
      <c r="C2281" s="2" t="n">
        <v>10</v>
      </c>
      <c r="D2281" s="2" t="s">
        <v>54</v>
      </c>
      <c r="E2281" s="2" t="s">
        <v>3319</v>
      </c>
      <c r="F2281" s="2" t="n">
        <v>5</v>
      </c>
      <c r="G2281" s="2" t="n">
        <v>15</v>
      </c>
      <c r="H2281" s="2" t="s">
        <v>1700</v>
      </c>
      <c r="I2281" s="2" t="n">
        <v>7</v>
      </c>
    </row>
    <row r="2282" customFormat="false" ht="15" hidden="false" customHeight="false" outlineLevel="0" collapsed="false">
      <c r="A2282" s="2" t="s">
        <v>1467</v>
      </c>
      <c r="B2282" s="2" t="s">
        <v>191</v>
      </c>
      <c r="C2282" s="2" t="n">
        <v>1</v>
      </c>
      <c r="D2282" s="2" t="s">
        <v>1687</v>
      </c>
      <c r="E2282" s="2" t="s">
        <v>3320</v>
      </c>
      <c r="F2282" s="2"/>
      <c r="G2282" s="2" t="n">
        <v>2</v>
      </c>
      <c r="H2282" s="2" t="s">
        <v>1689</v>
      </c>
      <c r="I2282" s="2" t="n">
        <v>8</v>
      </c>
    </row>
    <row r="2283" customFormat="false" ht="15" hidden="false" customHeight="false" outlineLevel="0" collapsed="false">
      <c r="A2283" s="2" t="s">
        <v>1470</v>
      </c>
      <c r="B2283" s="2" t="s">
        <v>594</v>
      </c>
      <c r="C2283" s="2" t="n">
        <v>250</v>
      </c>
      <c r="D2283" s="2" t="s">
        <v>54</v>
      </c>
      <c r="E2283" s="2" t="s">
        <v>3321</v>
      </c>
      <c r="F2283" s="2" t="n">
        <v>125</v>
      </c>
      <c r="G2283" s="2" t="n">
        <v>375</v>
      </c>
      <c r="H2283" s="2" t="s">
        <v>1689</v>
      </c>
      <c r="I2283" s="2" t="n">
        <v>1</v>
      </c>
    </row>
    <row r="2284" customFormat="false" ht="15" hidden="false" customHeight="false" outlineLevel="0" collapsed="false">
      <c r="A2284" s="2" t="s">
        <v>1470</v>
      </c>
      <c r="B2284" s="2" t="s">
        <v>596</v>
      </c>
      <c r="C2284" s="2" t="n">
        <v>200</v>
      </c>
      <c r="D2284" s="2" t="s">
        <v>54</v>
      </c>
      <c r="E2284" s="2" t="s">
        <v>3322</v>
      </c>
      <c r="F2284" s="2" t="n">
        <v>100</v>
      </c>
      <c r="G2284" s="2" t="n">
        <v>300</v>
      </c>
      <c r="H2284" s="2" t="s">
        <v>1689</v>
      </c>
      <c r="I2284" s="2" t="n">
        <v>2</v>
      </c>
    </row>
    <row r="2285" customFormat="false" ht="15" hidden="false" customHeight="false" outlineLevel="0" collapsed="false">
      <c r="A2285" s="2" t="s">
        <v>1470</v>
      </c>
      <c r="B2285" s="2" t="s">
        <v>510</v>
      </c>
      <c r="C2285" s="2" t="n">
        <v>100</v>
      </c>
      <c r="D2285" s="2" t="s">
        <v>54</v>
      </c>
      <c r="E2285" s="2" t="s">
        <v>3323</v>
      </c>
      <c r="F2285" s="2" t="n">
        <v>50</v>
      </c>
      <c r="G2285" s="2" t="n">
        <v>150</v>
      </c>
      <c r="H2285" s="2" t="s">
        <v>1689</v>
      </c>
      <c r="I2285" s="2" t="n">
        <v>3</v>
      </c>
    </row>
    <row r="2286" customFormat="false" ht="15" hidden="false" customHeight="false" outlineLevel="0" collapsed="false">
      <c r="A2286" s="2" t="s">
        <v>1470</v>
      </c>
      <c r="B2286" s="2" t="s">
        <v>91</v>
      </c>
      <c r="C2286" s="2" t="n">
        <v>15</v>
      </c>
      <c r="D2286" s="2" t="s">
        <v>54</v>
      </c>
      <c r="E2286" s="2" t="s">
        <v>3324</v>
      </c>
      <c r="F2286" s="2" t="n">
        <v>7.5</v>
      </c>
      <c r="G2286" s="2" t="n">
        <v>22.5</v>
      </c>
      <c r="H2286" s="2" t="s">
        <v>1689</v>
      </c>
      <c r="I2286" s="2" t="n">
        <v>4</v>
      </c>
    </row>
    <row r="2287" customFormat="false" ht="15" hidden="false" customHeight="false" outlineLevel="0" collapsed="false">
      <c r="A2287" s="2" t="s">
        <v>1470</v>
      </c>
      <c r="B2287" s="2" t="s">
        <v>99</v>
      </c>
      <c r="C2287" s="2" t="n">
        <v>2</v>
      </c>
      <c r="D2287" s="2" t="s">
        <v>54</v>
      </c>
      <c r="E2287" s="2" t="s">
        <v>3325</v>
      </c>
      <c r="F2287" s="2" t="n">
        <v>1</v>
      </c>
      <c r="G2287" s="2" t="n">
        <v>3</v>
      </c>
      <c r="H2287" s="2" t="s">
        <v>1689</v>
      </c>
      <c r="I2287" s="2" t="n">
        <v>5</v>
      </c>
    </row>
    <row r="2288" customFormat="false" ht="15" hidden="false" customHeight="false" outlineLevel="0" collapsed="false">
      <c r="A2288" s="2" t="s">
        <v>1470</v>
      </c>
      <c r="B2288" s="2" t="s">
        <v>249</v>
      </c>
      <c r="C2288" s="2" t="n">
        <v>8</v>
      </c>
      <c r="D2288" s="2" t="s">
        <v>54</v>
      </c>
      <c r="E2288" s="2" t="s">
        <v>3326</v>
      </c>
      <c r="F2288" s="2" t="n">
        <v>4</v>
      </c>
      <c r="G2288" s="2" t="n">
        <v>12</v>
      </c>
      <c r="H2288" s="2" t="s">
        <v>1689</v>
      </c>
      <c r="I2288" s="2" t="n">
        <v>6</v>
      </c>
    </row>
    <row r="2289" customFormat="false" ht="15" hidden="false" customHeight="false" outlineLevel="0" collapsed="false">
      <c r="A2289" s="2" t="s">
        <v>1470</v>
      </c>
      <c r="B2289" s="2" t="s">
        <v>81</v>
      </c>
      <c r="C2289" s="2" t="n">
        <v>50</v>
      </c>
      <c r="D2289" s="2" t="s">
        <v>54</v>
      </c>
      <c r="E2289" s="2" t="s">
        <v>3187</v>
      </c>
      <c r="F2289" s="2" t="n">
        <v>25</v>
      </c>
      <c r="G2289" s="2" t="n">
        <v>75</v>
      </c>
      <c r="H2289" s="2" t="s">
        <v>1689</v>
      </c>
      <c r="I2289" s="2" t="n">
        <v>7</v>
      </c>
    </row>
    <row r="2290" customFormat="false" ht="15" hidden="false" customHeight="false" outlineLevel="0" collapsed="false">
      <c r="A2290" s="2" t="s">
        <v>1470</v>
      </c>
      <c r="B2290" s="2" t="s">
        <v>325</v>
      </c>
      <c r="C2290" s="2" t="n">
        <v>30</v>
      </c>
      <c r="D2290" s="2" t="s">
        <v>54</v>
      </c>
      <c r="E2290" s="2" t="s">
        <v>3327</v>
      </c>
      <c r="F2290" s="2" t="n">
        <v>15</v>
      </c>
      <c r="G2290" s="2" t="n">
        <v>45</v>
      </c>
      <c r="H2290" s="2" t="s">
        <v>1700</v>
      </c>
      <c r="I2290" s="2" t="n">
        <v>8</v>
      </c>
    </row>
    <row r="2291" customFormat="false" ht="15" hidden="false" customHeight="false" outlineLevel="0" collapsed="false">
      <c r="A2291" s="2" t="s">
        <v>1470</v>
      </c>
      <c r="B2291" s="2" t="s">
        <v>295</v>
      </c>
      <c r="C2291" s="2" t="n">
        <v>10</v>
      </c>
      <c r="D2291" s="2" t="s">
        <v>54</v>
      </c>
      <c r="E2291" s="2" t="s">
        <v>3328</v>
      </c>
      <c r="F2291" s="2" t="n">
        <v>5</v>
      </c>
      <c r="G2291" s="2" t="n">
        <v>15</v>
      </c>
      <c r="H2291" s="2" t="s">
        <v>1700</v>
      </c>
      <c r="I2291" s="2" t="n">
        <v>9</v>
      </c>
    </row>
    <row r="2292" customFormat="false" ht="15" hidden="false" customHeight="false" outlineLevel="0" collapsed="false">
      <c r="A2292" s="2" t="s">
        <v>1470</v>
      </c>
      <c r="B2292" s="2" t="s">
        <v>197</v>
      </c>
      <c r="C2292" s="2" t="n">
        <v>15</v>
      </c>
      <c r="D2292" s="2" t="s">
        <v>54</v>
      </c>
      <c r="E2292" s="2" t="s">
        <v>3329</v>
      </c>
      <c r="F2292" s="2" t="n">
        <v>7.5</v>
      </c>
      <c r="G2292" s="2" t="n">
        <v>22.5</v>
      </c>
      <c r="H2292" s="2" t="s">
        <v>1689</v>
      </c>
      <c r="I2292" s="2" t="n">
        <v>10</v>
      </c>
    </row>
    <row r="2293" customFormat="false" ht="15" hidden="false" customHeight="false" outlineLevel="0" collapsed="false">
      <c r="A2293" s="2" t="s">
        <v>1470</v>
      </c>
      <c r="B2293" s="2" t="s">
        <v>271</v>
      </c>
      <c r="C2293" s="2" t="n">
        <v>2</v>
      </c>
      <c r="D2293" s="2" t="s">
        <v>54</v>
      </c>
      <c r="E2293" s="2" t="s">
        <v>3330</v>
      </c>
      <c r="F2293" s="2" t="n">
        <v>1</v>
      </c>
      <c r="G2293" s="2" t="n">
        <v>3</v>
      </c>
      <c r="H2293" s="2" t="s">
        <v>1689</v>
      </c>
      <c r="I2293" s="2" t="n">
        <v>11</v>
      </c>
    </row>
    <row r="2294" customFormat="false" ht="15" hidden="false" customHeight="false" outlineLevel="0" collapsed="false">
      <c r="A2294" s="2" t="s">
        <v>1470</v>
      </c>
      <c r="B2294" s="2" t="s">
        <v>148</v>
      </c>
      <c r="C2294" s="2" t="n">
        <v>30</v>
      </c>
      <c r="D2294" s="2" t="s">
        <v>54</v>
      </c>
      <c r="E2294" s="2" t="s">
        <v>3331</v>
      </c>
      <c r="F2294" s="2" t="n">
        <v>15</v>
      </c>
      <c r="G2294" s="2" t="n">
        <v>45</v>
      </c>
      <c r="H2294" s="2" t="s">
        <v>1693</v>
      </c>
      <c r="I2294" s="2" t="n">
        <v>12</v>
      </c>
    </row>
    <row r="2295" customFormat="false" ht="15" hidden="false" customHeight="false" outlineLevel="0" collapsed="false">
      <c r="A2295" s="2" t="s">
        <v>1470</v>
      </c>
      <c r="B2295" s="2" t="s">
        <v>494</v>
      </c>
      <c r="C2295" s="2" t="n">
        <v>200</v>
      </c>
      <c r="D2295" s="2" t="s">
        <v>76</v>
      </c>
      <c r="E2295" s="2" t="s">
        <v>2651</v>
      </c>
      <c r="F2295" s="2" t="n">
        <v>100</v>
      </c>
      <c r="G2295" s="2" t="n">
        <v>300</v>
      </c>
      <c r="H2295" s="2" t="s">
        <v>1689</v>
      </c>
      <c r="I2295" s="2" t="n">
        <v>13</v>
      </c>
    </row>
    <row r="2296" customFormat="false" ht="15" hidden="false" customHeight="false" outlineLevel="0" collapsed="false">
      <c r="A2296" s="2" t="s">
        <v>1470</v>
      </c>
      <c r="B2296" s="2" t="s">
        <v>99</v>
      </c>
      <c r="C2296" s="2" t="n">
        <v>2</v>
      </c>
      <c r="D2296" s="2" t="s">
        <v>54</v>
      </c>
      <c r="E2296" s="2" t="s">
        <v>3332</v>
      </c>
      <c r="F2296" s="2" t="n">
        <v>1</v>
      </c>
      <c r="G2296" s="2" t="n">
        <v>3</v>
      </c>
      <c r="H2296" s="2" t="s">
        <v>1689</v>
      </c>
      <c r="I2296" s="2" t="n">
        <v>14</v>
      </c>
    </row>
    <row r="2297" customFormat="false" ht="15" hidden="false" customHeight="false" outlineLevel="0" collapsed="false">
      <c r="A2297" s="2" t="s">
        <v>1470</v>
      </c>
      <c r="B2297" s="2" t="s">
        <v>249</v>
      </c>
      <c r="C2297" s="2" t="n">
        <v>8</v>
      </c>
      <c r="D2297" s="2" t="s">
        <v>54</v>
      </c>
      <c r="E2297" s="2" t="s">
        <v>3333</v>
      </c>
      <c r="F2297" s="2" t="n">
        <v>4</v>
      </c>
      <c r="G2297" s="2" t="n">
        <v>12</v>
      </c>
      <c r="H2297" s="2" t="s">
        <v>1689</v>
      </c>
      <c r="I2297" s="2" t="n">
        <v>15</v>
      </c>
    </row>
    <row r="2298" customFormat="false" ht="15" hidden="false" customHeight="false" outlineLevel="0" collapsed="false">
      <c r="A2298" s="2" t="s">
        <v>1470</v>
      </c>
      <c r="B2298" s="2" t="s">
        <v>283</v>
      </c>
      <c r="C2298" s="2" t="n">
        <v>2</v>
      </c>
      <c r="D2298" s="2" t="s">
        <v>1687</v>
      </c>
      <c r="E2298" s="2" t="s">
        <v>3334</v>
      </c>
      <c r="F2298" s="2" t="n">
        <v>1</v>
      </c>
      <c r="G2298" s="2" t="n">
        <v>3</v>
      </c>
      <c r="H2298" s="2" t="s">
        <v>1700</v>
      </c>
      <c r="I2298" s="2" t="n">
        <v>16</v>
      </c>
    </row>
    <row r="2299" customFormat="false" ht="15" hidden="false" customHeight="false" outlineLevel="0" collapsed="false">
      <c r="A2299" s="2" t="s">
        <v>1470</v>
      </c>
      <c r="B2299" s="2" t="s">
        <v>197</v>
      </c>
      <c r="C2299" s="2" t="n">
        <v>15</v>
      </c>
      <c r="D2299" s="2" t="s">
        <v>54</v>
      </c>
      <c r="E2299" s="2" t="s">
        <v>3335</v>
      </c>
      <c r="F2299" s="2" t="n">
        <v>7.5</v>
      </c>
      <c r="G2299" s="2" t="n">
        <v>22.5</v>
      </c>
      <c r="H2299" s="2" t="s">
        <v>1689</v>
      </c>
      <c r="I2299" s="2" t="n">
        <v>17</v>
      </c>
    </row>
    <row r="2300" customFormat="false" ht="15" hidden="false" customHeight="false" outlineLevel="0" collapsed="false">
      <c r="A2300" s="2" t="s">
        <v>1473</v>
      </c>
      <c r="B2300" s="2" t="s">
        <v>355</v>
      </c>
      <c r="C2300" s="2" t="n">
        <v>140</v>
      </c>
      <c r="D2300" s="2" t="s">
        <v>54</v>
      </c>
      <c r="E2300" s="2" t="s">
        <v>3336</v>
      </c>
      <c r="F2300" s="2" t="n">
        <v>70</v>
      </c>
      <c r="G2300" s="2" t="n">
        <v>210</v>
      </c>
      <c r="H2300" s="2" t="s">
        <v>1693</v>
      </c>
      <c r="I2300" s="2" t="n">
        <v>1</v>
      </c>
    </row>
    <row r="2301" customFormat="false" ht="15" hidden="false" customHeight="false" outlineLevel="0" collapsed="false">
      <c r="A2301" s="2" t="s">
        <v>1473</v>
      </c>
      <c r="B2301" s="2" t="s">
        <v>534</v>
      </c>
      <c r="C2301" s="2" t="n">
        <v>50</v>
      </c>
      <c r="D2301" s="2" t="s">
        <v>54</v>
      </c>
      <c r="E2301" s="2" t="s">
        <v>3337</v>
      </c>
      <c r="F2301" s="2" t="n">
        <v>25</v>
      </c>
      <c r="G2301" s="2" t="n">
        <v>75</v>
      </c>
      <c r="H2301" s="2" t="s">
        <v>1689</v>
      </c>
      <c r="I2301" s="2" t="n">
        <v>2</v>
      </c>
    </row>
    <row r="2302" customFormat="false" ht="15" hidden="false" customHeight="false" outlineLevel="0" collapsed="false">
      <c r="A2302" s="2" t="s">
        <v>1473</v>
      </c>
      <c r="B2302" s="2" t="s">
        <v>177</v>
      </c>
      <c r="C2302" s="2" t="n">
        <v>35</v>
      </c>
      <c r="D2302" s="2" t="s">
        <v>54</v>
      </c>
      <c r="E2302" s="2" t="s">
        <v>3338</v>
      </c>
      <c r="F2302" s="2" t="n">
        <v>17.5</v>
      </c>
      <c r="G2302" s="2" t="n">
        <v>52.5</v>
      </c>
      <c r="H2302" s="2" t="s">
        <v>1689</v>
      </c>
      <c r="I2302" s="2" t="n">
        <v>3</v>
      </c>
    </row>
    <row r="2303" customFormat="false" ht="15" hidden="false" customHeight="false" outlineLevel="0" collapsed="false">
      <c r="A2303" s="2" t="s">
        <v>1473</v>
      </c>
      <c r="B2303" s="2" t="s">
        <v>514</v>
      </c>
      <c r="C2303" s="2" t="n">
        <v>75</v>
      </c>
      <c r="D2303" s="2" t="s">
        <v>54</v>
      </c>
      <c r="E2303" s="2" t="s">
        <v>3339</v>
      </c>
      <c r="F2303" s="2" t="n">
        <v>37.5</v>
      </c>
      <c r="G2303" s="2" t="n">
        <v>112.5</v>
      </c>
      <c r="H2303" s="2" t="s">
        <v>1689</v>
      </c>
      <c r="I2303" s="2" t="n">
        <v>4</v>
      </c>
    </row>
    <row r="2304" customFormat="false" ht="15" hidden="false" customHeight="false" outlineLevel="0" collapsed="false">
      <c r="A2304" s="2" t="s">
        <v>1473</v>
      </c>
      <c r="B2304" s="2" t="s">
        <v>454</v>
      </c>
      <c r="C2304" s="2" t="n">
        <v>25</v>
      </c>
      <c r="D2304" s="2" t="s">
        <v>54</v>
      </c>
      <c r="E2304" s="2" t="s">
        <v>3340</v>
      </c>
      <c r="F2304" s="2" t="n">
        <v>12.5</v>
      </c>
      <c r="G2304" s="2" t="n">
        <v>37.5</v>
      </c>
      <c r="H2304" s="2" t="s">
        <v>1689</v>
      </c>
      <c r="I2304" s="2" t="n">
        <v>5</v>
      </c>
    </row>
    <row r="2305" customFormat="false" ht="15" hidden="false" customHeight="false" outlineLevel="0" collapsed="false">
      <c r="A2305" s="2" t="s">
        <v>1473</v>
      </c>
      <c r="B2305" s="2" t="s">
        <v>210</v>
      </c>
      <c r="C2305" s="2" t="n">
        <v>25</v>
      </c>
      <c r="D2305" s="2" t="s">
        <v>54</v>
      </c>
      <c r="E2305" s="2" t="s">
        <v>3341</v>
      </c>
      <c r="F2305" s="2" t="n">
        <v>12.5</v>
      </c>
      <c r="G2305" s="2" t="n">
        <v>37.5</v>
      </c>
      <c r="H2305" s="2" t="s">
        <v>1689</v>
      </c>
      <c r="I2305" s="2" t="n">
        <v>6</v>
      </c>
    </row>
    <row r="2306" customFormat="false" ht="15" hidden="false" customHeight="false" outlineLevel="0" collapsed="false">
      <c r="A2306" s="2" t="s">
        <v>1473</v>
      </c>
      <c r="B2306" s="2" t="s">
        <v>280</v>
      </c>
      <c r="C2306" s="2" t="n">
        <v>25</v>
      </c>
      <c r="D2306" s="2" t="s">
        <v>54</v>
      </c>
      <c r="E2306" s="2" t="s">
        <v>3342</v>
      </c>
      <c r="F2306" s="2" t="n">
        <v>12.5</v>
      </c>
      <c r="G2306" s="2" t="n">
        <v>37.5</v>
      </c>
      <c r="H2306" s="2" t="s">
        <v>1693</v>
      </c>
      <c r="I2306" s="2" t="n">
        <v>7</v>
      </c>
    </row>
    <row r="2307" customFormat="false" ht="15" hidden="false" customHeight="false" outlineLevel="0" collapsed="false">
      <c r="A2307" s="2" t="s">
        <v>1473</v>
      </c>
      <c r="B2307" s="2" t="s">
        <v>606</v>
      </c>
      <c r="C2307" s="2" t="n">
        <v>30</v>
      </c>
      <c r="D2307" s="2" t="s">
        <v>76</v>
      </c>
      <c r="E2307" s="2" t="s">
        <v>3343</v>
      </c>
      <c r="F2307" s="2" t="n">
        <v>15</v>
      </c>
      <c r="G2307" s="2" t="n">
        <v>45</v>
      </c>
      <c r="H2307" s="2" t="s">
        <v>1689</v>
      </c>
      <c r="I2307" s="2" t="n">
        <v>8</v>
      </c>
    </row>
    <row r="2308" customFormat="false" ht="15" hidden="false" customHeight="false" outlineLevel="0" collapsed="false">
      <c r="A2308" s="2" t="s">
        <v>1473</v>
      </c>
      <c r="B2308" s="2" t="s">
        <v>496</v>
      </c>
      <c r="C2308" s="2" t="n">
        <v>15</v>
      </c>
      <c r="D2308" s="2" t="s">
        <v>76</v>
      </c>
      <c r="E2308" s="2" t="s">
        <v>3344</v>
      </c>
      <c r="F2308" s="2" t="n">
        <v>7.5</v>
      </c>
      <c r="G2308" s="2" t="n">
        <v>22.5</v>
      </c>
      <c r="H2308" s="2" t="s">
        <v>1693</v>
      </c>
      <c r="I2308" s="2" t="n">
        <v>9</v>
      </c>
    </row>
    <row r="2309" customFormat="false" ht="15" hidden="false" customHeight="false" outlineLevel="0" collapsed="false">
      <c r="A2309" s="2" t="s">
        <v>1473</v>
      </c>
      <c r="B2309" s="2" t="s">
        <v>486</v>
      </c>
      <c r="C2309" s="2" t="n">
        <v>5</v>
      </c>
      <c r="D2309" s="2" t="s">
        <v>54</v>
      </c>
      <c r="E2309" s="2" t="s">
        <v>2828</v>
      </c>
      <c r="F2309" s="2" t="n">
        <v>2.5</v>
      </c>
      <c r="G2309" s="2" t="n">
        <v>7.5</v>
      </c>
      <c r="H2309" s="2" t="s">
        <v>1700</v>
      </c>
      <c r="I2309" s="2" t="n">
        <v>10</v>
      </c>
    </row>
    <row r="2310" customFormat="false" ht="15" hidden="false" customHeight="false" outlineLevel="0" collapsed="false">
      <c r="A2310" s="2" t="s">
        <v>1473</v>
      </c>
      <c r="B2310" s="2" t="s">
        <v>117</v>
      </c>
      <c r="C2310" s="2" t="n">
        <v>0.5</v>
      </c>
      <c r="D2310" s="2" t="s">
        <v>1687</v>
      </c>
      <c r="E2310" s="2" t="s">
        <v>1722</v>
      </c>
      <c r="F2310" s="2"/>
      <c r="G2310" s="2" t="n">
        <v>1.5</v>
      </c>
      <c r="H2310" s="2" t="s">
        <v>1700</v>
      </c>
      <c r="I2310" s="2" t="n">
        <v>11</v>
      </c>
    </row>
    <row r="2311" customFormat="false" ht="15" hidden="false" customHeight="false" outlineLevel="0" collapsed="false">
      <c r="A2311" s="2" t="s">
        <v>1473</v>
      </c>
      <c r="B2311" s="2" t="s">
        <v>89</v>
      </c>
      <c r="C2311" s="2" t="n">
        <v>15</v>
      </c>
      <c r="D2311" s="2" t="s">
        <v>54</v>
      </c>
      <c r="E2311" s="2" t="s">
        <v>3260</v>
      </c>
      <c r="F2311" s="2" t="n">
        <v>7.5</v>
      </c>
      <c r="G2311" s="2" t="n">
        <v>22.5</v>
      </c>
      <c r="H2311" s="2" t="s">
        <v>1689</v>
      </c>
      <c r="I2311" s="2" t="n">
        <v>12</v>
      </c>
    </row>
    <row r="2312" customFormat="false" ht="15" hidden="false" customHeight="false" outlineLevel="0" collapsed="false">
      <c r="A2312" s="2" t="s">
        <v>1473</v>
      </c>
      <c r="B2312" s="2" t="s">
        <v>498</v>
      </c>
      <c r="C2312" s="2" t="n">
        <v>20</v>
      </c>
      <c r="D2312" s="2" t="s">
        <v>54</v>
      </c>
      <c r="E2312" s="2" t="s">
        <v>3345</v>
      </c>
      <c r="F2312" s="2" t="n">
        <v>10</v>
      </c>
      <c r="G2312" s="2" t="n">
        <v>30</v>
      </c>
      <c r="H2312" s="2" t="s">
        <v>1693</v>
      </c>
      <c r="I2312" s="2" t="n">
        <v>13</v>
      </c>
    </row>
    <row r="2313" customFormat="false" ht="15" hidden="false" customHeight="false" outlineLevel="0" collapsed="false">
      <c r="A2313" s="2" t="s">
        <v>1477</v>
      </c>
      <c r="B2313" s="2" t="s">
        <v>221</v>
      </c>
      <c r="C2313" s="2" t="n">
        <v>150</v>
      </c>
      <c r="D2313" s="2" t="s">
        <v>54</v>
      </c>
      <c r="E2313" s="2" t="s">
        <v>3346</v>
      </c>
      <c r="F2313" s="2" t="n">
        <v>75</v>
      </c>
      <c r="G2313" s="2" t="n">
        <v>225</v>
      </c>
      <c r="H2313" s="2" t="s">
        <v>1693</v>
      </c>
      <c r="I2313" s="2" t="n">
        <v>1</v>
      </c>
    </row>
    <row r="2314" customFormat="false" ht="15" hidden="false" customHeight="false" outlineLevel="0" collapsed="false">
      <c r="A2314" s="2" t="s">
        <v>1477</v>
      </c>
      <c r="B2314" s="2" t="s">
        <v>590</v>
      </c>
      <c r="C2314" s="2" t="n">
        <v>45</v>
      </c>
      <c r="D2314" s="2" t="s">
        <v>54</v>
      </c>
      <c r="E2314" s="2" t="s">
        <v>3347</v>
      </c>
      <c r="F2314" s="2" t="n">
        <v>22.5</v>
      </c>
      <c r="G2314" s="2" t="n">
        <v>67.5</v>
      </c>
      <c r="H2314" s="2" t="s">
        <v>1689</v>
      </c>
      <c r="I2314" s="2" t="n">
        <v>2</v>
      </c>
    </row>
    <row r="2315" customFormat="false" ht="15" hidden="false" customHeight="false" outlineLevel="0" collapsed="false">
      <c r="A2315" s="2" t="s">
        <v>1477</v>
      </c>
      <c r="B2315" s="2" t="s">
        <v>454</v>
      </c>
      <c r="C2315" s="2" t="n">
        <v>150</v>
      </c>
      <c r="D2315" s="2" t="s">
        <v>54</v>
      </c>
      <c r="E2315" s="2" t="s">
        <v>3348</v>
      </c>
      <c r="F2315" s="2" t="n">
        <v>75</v>
      </c>
      <c r="G2315" s="2" t="n">
        <v>225</v>
      </c>
      <c r="H2315" s="2" t="s">
        <v>1689</v>
      </c>
      <c r="I2315" s="2" t="n">
        <v>3</v>
      </c>
    </row>
    <row r="2316" customFormat="false" ht="15" hidden="false" customHeight="false" outlineLevel="0" collapsed="false">
      <c r="A2316" s="2" t="s">
        <v>1477</v>
      </c>
      <c r="B2316" s="2" t="s">
        <v>312</v>
      </c>
      <c r="C2316" s="2" t="n">
        <v>1</v>
      </c>
      <c r="D2316" s="2" t="s">
        <v>1687</v>
      </c>
      <c r="E2316" s="2" t="s">
        <v>2875</v>
      </c>
      <c r="F2316" s="2"/>
      <c r="G2316" s="2" t="n">
        <v>2</v>
      </c>
      <c r="H2316" s="2" t="s">
        <v>1689</v>
      </c>
      <c r="I2316" s="2" t="n">
        <v>4</v>
      </c>
    </row>
    <row r="2317" customFormat="false" ht="15" hidden="false" customHeight="false" outlineLevel="0" collapsed="false">
      <c r="A2317" s="2" t="s">
        <v>1477</v>
      </c>
      <c r="B2317" s="2" t="s">
        <v>496</v>
      </c>
      <c r="C2317" s="2" t="n">
        <v>15</v>
      </c>
      <c r="D2317" s="2" t="s">
        <v>76</v>
      </c>
      <c r="E2317" s="2" t="s">
        <v>3344</v>
      </c>
      <c r="F2317" s="2" t="n">
        <v>7.5</v>
      </c>
      <c r="G2317" s="2" t="n">
        <v>22.5</v>
      </c>
      <c r="H2317" s="2" t="s">
        <v>1693</v>
      </c>
      <c r="I2317" s="2" t="n">
        <v>5</v>
      </c>
    </row>
    <row r="2318" customFormat="false" ht="15" hidden="false" customHeight="false" outlineLevel="0" collapsed="false">
      <c r="A2318" s="2" t="s">
        <v>1477</v>
      </c>
      <c r="B2318" s="2" t="s">
        <v>486</v>
      </c>
      <c r="C2318" s="2" t="n">
        <v>5</v>
      </c>
      <c r="D2318" s="2" t="s">
        <v>54</v>
      </c>
      <c r="E2318" s="2" t="s">
        <v>2828</v>
      </c>
      <c r="F2318" s="2" t="n">
        <v>2.5</v>
      </c>
      <c r="G2318" s="2" t="n">
        <v>7.5</v>
      </c>
      <c r="H2318" s="2" t="s">
        <v>1700</v>
      </c>
      <c r="I2318" s="2" t="n">
        <v>6</v>
      </c>
    </row>
    <row r="2319" customFormat="false" ht="15" hidden="false" customHeight="false" outlineLevel="0" collapsed="false">
      <c r="A2319" s="2" t="s">
        <v>1477</v>
      </c>
      <c r="B2319" s="2" t="s">
        <v>129</v>
      </c>
      <c r="C2319" s="2" t="n">
        <v>5</v>
      </c>
      <c r="D2319" s="2" t="s">
        <v>54</v>
      </c>
      <c r="E2319" s="2" t="s">
        <v>2929</v>
      </c>
      <c r="F2319" s="2" t="n">
        <v>2.5</v>
      </c>
      <c r="G2319" s="2" t="n">
        <v>7.5</v>
      </c>
      <c r="H2319" s="2" t="s">
        <v>1700</v>
      </c>
      <c r="I2319" s="2" t="n">
        <v>7</v>
      </c>
    </row>
    <row r="2320" customFormat="false" ht="15" hidden="false" customHeight="false" outlineLevel="0" collapsed="false">
      <c r="A2320" s="2" t="s">
        <v>1477</v>
      </c>
      <c r="B2320" s="2" t="s">
        <v>299</v>
      </c>
      <c r="C2320" s="2" t="n">
        <v>1</v>
      </c>
      <c r="D2320" s="2" t="s">
        <v>54</v>
      </c>
      <c r="E2320" s="2" t="s">
        <v>3349</v>
      </c>
      <c r="F2320" s="2"/>
      <c r="G2320" s="2" t="n">
        <v>2</v>
      </c>
      <c r="H2320" s="2" t="s">
        <v>1689</v>
      </c>
      <c r="I2320" s="2" t="n">
        <v>8</v>
      </c>
    </row>
    <row r="2321" customFormat="false" ht="15" hidden="false" customHeight="false" outlineLevel="0" collapsed="false">
      <c r="A2321" s="2" t="s">
        <v>1477</v>
      </c>
      <c r="B2321" s="2" t="s">
        <v>131</v>
      </c>
      <c r="C2321" s="2" t="n">
        <v>1</v>
      </c>
      <c r="D2321" s="2" t="s">
        <v>54</v>
      </c>
      <c r="E2321" s="2" t="s">
        <v>1880</v>
      </c>
      <c r="F2321" s="2" t="n">
        <v>0.5</v>
      </c>
      <c r="G2321" s="2" t="n">
        <v>1.5</v>
      </c>
      <c r="H2321" s="2" t="s">
        <v>1689</v>
      </c>
      <c r="I2321" s="2" t="n">
        <v>9</v>
      </c>
    </row>
    <row r="2322" customFormat="false" ht="15" hidden="false" customHeight="false" outlineLevel="0" collapsed="false">
      <c r="A2322" s="2" t="s">
        <v>1480</v>
      </c>
      <c r="B2322" s="2" t="s">
        <v>363</v>
      </c>
      <c r="C2322" s="2" t="n">
        <v>100</v>
      </c>
      <c r="D2322" s="2" t="s">
        <v>54</v>
      </c>
      <c r="E2322" s="2" t="s">
        <v>3350</v>
      </c>
      <c r="F2322" s="2" t="n">
        <v>50</v>
      </c>
      <c r="G2322" s="2" t="n">
        <v>150</v>
      </c>
      <c r="H2322" s="2" t="s">
        <v>1693</v>
      </c>
      <c r="I2322" s="2" t="n">
        <v>1</v>
      </c>
    </row>
    <row r="2323" customFormat="false" ht="15" hidden="false" customHeight="false" outlineLevel="0" collapsed="false">
      <c r="A2323" s="2" t="s">
        <v>1480</v>
      </c>
      <c r="B2323" s="2" t="s">
        <v>110</v>
      </c>
      <c r="C2323" s="2" t="n">
        <v>2</v>
      </c>
      <c r="D2323" s="2" t="s">
        <v>1687</v>
      </c>
      <c r="E2323" s="2" t="s">
        <v>1720</v>
      </c>
      <c r="F2323" s="2" t="n">
        <v>1</v>
      </c>
      <c r="G2323" s="2" t="n">
        <v>3</v>
      </c>
      <c r="H2323" s="2" t="s">
        <v>1693</v>
      </c>
      <c r="I2323" s="2" t="n">
        <v>2</v>
      </c>
    </row>
    <row r="2324" customFormat="false" ht="15" hidden="false" customHeight="false" outlineLevel="0" collapsed="false">
      <c r="A2324" s="2" t="s">
        <v>1480</v>
      </c>
      <c r="B2324" s="2" t="s">
        <v>600</v>
      </c>
      <c r="C2324" s="2" t="n">
        <v>60</v>
      </c>
      <c r="D2324" s="2" t="s">
        <v>54</v>
      </c>
      <c r="E2324" s="2" t="s">
        <v>3351</v>
      </c>
      <c r="F2324" s="2" t="n">
        <v>40</v>
      </c>
      <c r="G2324" s="2" t="n">
        <v>120</v>
      </c>
      <c r="H2324" s="2" t="s">
        <v>1689</v>
      </c>
      <c r="I2324" s="2" t="n">
        <v>3</v>
      </c>
    </row>
    <row r="2325" customFormat="false" ht="15" hidden="false" customHeight="false" outlineLevel="0" collapsed="false">
      <c r="A2325" s="2" t="s">
        <v>1480</v>
      </c>
      <c r="B2325" s="2" t="s">
        <v>454</v>
      </c>
      <c r="C2325" s="2" t="n">
        <v>150</v>
      </c>
      <c r="D2325" s="2" t="s">
        <v>54</v>
      </c>
      <c r="E2325" s="2" t="s">
        <v>3352</v>
      </c>
      <c r="F2325" s="2" t="n">
        <v>75</v>
      </c>
      <c r="G2325" s="2" t="n">
        <v>225</v>
      </c>
      <c r="H2325" s="2" t="s">
        <v>1689</v>
      </c>
      <c r="I2325" s="2" t="n">
        <v>4</v>
      </c>
    </row>
    <row r="2326" customFormat="false" ht="15" hidden="false" customHeight="false" outlineLevel="0" collapsed="false">
      <c r="A2326" s="2" t="s">
        <v>1480</v>
      </c>
      <c r="B2326" s="2" t="s">
        <v>312</v>
      </c>
      <c r="C2326" s="2" t="n">
        <v>2</v>
      </c>
      <c r="D2326" s="2" t="s">
        <v>1687</v>
      </c>
      <c r="E2326" s="2" t="s">
        <v>3353</v>
      </c>
      <c r="F2326" s="2" t="n">
        <v>1</v>
      </c>
      <c r="G2326" s="2" t="n">
        <v>3</v>
      </c>
      <c r="H2326" s="2" t="s">
        <v>1689</v>
      </c>
      <c r="I2326" s="2" t="n">
        <v>5</v>
      </c>
    </row>
    <row r="2327" customFormat="false" ht="15" hidden="false" customHeight="false" outlineLevel="0" collapsed="false">
      <c r="A2327" s="2" t="s">
        <v>1480</v>
      </c>
      <c r="B2327" s="2" t="s">
        <v>496</v>
      </c>
      <c r="C2327" s="2" t="n">
        <v>30</v>
      </c>
      <c r="D2327" s="2" t="s">
        <v>76</v>
      </c>
      <c r="E2327" s="2" t="s">
        <v>3145</v>
      </c>
      <c r="F2327" s="2" t="n">
        <v>15</v>
      </c>
      <c r="G2327" s="2" t="n">
        <v>45</v>
      </c>
      <c r="H2327" s="2" t="s">
        <v>1693</v>
      </c>
      <c r="I2327" s="2" t="n">
        <v>6</v>
      </c>
    </row>
    <row r="2328" customFormat="false" ht="15" hidden="false" customHeight="false" outlineLevel="0" collapsed="false">
      <c r="A2328" s="2" t="s">
        <v>1480</v>
      </c>
      <c r="B2328" s="2" t="s">
        <v>415</v>
      </c>
      <c r="C2328" s="2" t="n">
        <v>15</v>
      </c>
      <c r="D2328" s="2" t="s">
        <v>54</v>
      </c>
      <c r="E2328" s="2" t="s">
        <v>3354</v>
      </c>
      <c r="F2328" s="2" t="n">
        <v>7.5</v>
      </c>
      <c r="G2328" s="2" t="n">
        <v>22.5</v>
      </c>
      <c r="H2328" s="2" t="s">
        <v>1689</v>
      </c>
      <c r="I2328" s="2" t="n">
        <v>7</v>
      </c>
    </row>
    <row r="2329" customFormat="false" ht="15" hidden="false" customHeight="false" outlineLevel="0" collapsed="false">
      <c r="A2329" s="2" t="s">
        <v>1480</v>
      </c>
      <c r="B2329" s="2" t="s">
        <v>486</v>
      </c>
      <c r="C2329" s="2" t="n">
        <v>5</v>
      </c>
      <c r="D2329" s="2" t="s">
        <v>54</v>
      </c>
      <c r="E2329" s="2" t="s">
        <v>2828</v>
      </c>
      <c r="F2329" s="2" t="n">
        <v>7.5</v>
      </c>
      <c r="G2329" s="2" t="n">
        <v>22.5</v>
      </c>
      <c r="H2329" s="2" t="s">
        <v>1700</v>
      </c>
      <c r="I2329" s="2" t="n">
        <v>8</v>
      </c>
    </row>
    <row r="2330" customFormat="false" ht="15" hidden="false" customHeight="false" outlineLevel="0" collapsed="false">
      <c r="A2330" s="2" t="s">
        <v>1480</v>
      </c>
      <c r="B2330" s="2" t="s">
        <v>129</v>
      </c>
      <c r="C2330" s="2" t="n">
        <v>5</v>
      </c>
      <c r="D2330" s="2" t="s">
        <v>54</v>
      </c>
      <c r="E2330" s="2" t="s">
        <v>2929</v>
      </c>
      <c r="F2330" s="2" t="n">
        <v>7.5</v>
      </c>
      <c r="G2330" s="2" t="n">
        <v>22.5</v>
      </c>
      <c r="H2330" s="2" t="s">
        <v>1700</v>
      </c>
      <c r="I2330" s="2" t="n">
        <v>9</v>
      </c>
    </row>
    <row r="2331" customFormat="false" ht="15" hidden="false" customHeight="false" outlineLevel="0" collapsed="false">
      <c r="A2331" s="2" t="s">
        <v>1480</v>
      </c>
      <c r="B2331" s="2" t="s">
        <v>271</v>
      </c>
      <c r="C2331" s="2" t="n">
        <v>1</v>
      </c>
      <c r="D2331" s="2" t="s">
        <v>54</v>
      </c>
      <c r="E2331" s="2" t="s">
        <v>2957</v>
      </c>
      <c r="F2331" s="2" t="n">
        <v>0.5</v>
      </c>
      <c r="G2331" s="2" t="n">
        <v>1.5</v>
      </c>
      <c r="H2331" s="2" t="s">
        <v>1689</v>
      </c>
      <c r="I2331" s="2" t="n">
        <v>10</v>
      </c>
    </row>
    <row r="2332" customFormat="false" ht="15" hidden="false" customHeight="false" outlineLevel="0" collapsed="false">
      <c r="A2332" s="2" t="s">
        <v>1480</v>
      </c>
      <c r="B2332" s="2" t="s">
        <v>131</v>
      </c>
      <c r="C2332" s="2" t="n">
        <v>1</v>
      </c>
      <c r="D2332" s="2" t="s">
        <v>54</v>
      </c>
      <c r="E2332" s="2" t="s">
        <v>1880</v>
      </c>
      <c r="F2332" s="2" t="n">
        <v>0.5</v>
      </c>
      <c r="G2332" s="2" t="n">
        <v>1.5</v>
      </c>
      <c r="H2332" s="2" t="s">
        <v>1689</v>
      </c>
      <c r="I2332" s="2" t="n">
        <v>11</v>
      </c>
    </row>
    <row r="2333" customFormat="false" ht="15" hidden="false" customHeight="false" outlineLevel="0" collapsed="false">
      <c r="A2333" s="2" t="s">
        <v>1484</v>
      </c>
      <c r="B2333" s="2" t="s">
        <v>221</v>
      </c>
      <c r="C2333" s="2" t="n">
        <v>150</v>
      </c>
      <c r="D2333" s="2" t="s">
        <v>54</v>
      </c>
      <c r="E2333" s="2" t="s">
        <v>3355</v>
      </c>
      <c r="F2333" s="2" t="n">
        <v>75</v>
      </c>
      <c r="G2333" s="2" t="n">
        <v>225</v>
      </c>
      <c r="H2333" s="2" t="s">
        <v>1693</v>
      </c>
      <c r="I2333" s="2" t="n">
        <v>1</v>
      </c>
    </row>
    <row r="2334" customFormat="false" ht="15" hidden="false" customHeight="false" outlineLevel="0" collapsed="false">
      <c r="A2334" s="2" t="s">
        <v>1484</v>
      </c>
      <c r="B2334" s="2" t="s">
        <v>566</v>
      </c>
      <c r="C2334" s="2" t="n">
        <v>45</v>
      </c>
      <c r="D2334" s="2" t="s">
        <v>54</v>
      </c>
      <c r="E2334" s="2" t="s">
        <v>3356</v>
      </c>
      <c r="F2334" s="2" t="n">
        <v>22.5</v>
      </c>
      <c r="G2334" s="2" t="n">
        <v>67.5</v>
      </c>
      <c r="H2334" s="2" t="s">
        <v>1689</v>
      </c>
      <c r="I2334" s="2" t="n">
        <v>2</v>
      </c>
    </row>
    <row r="2335" customFormat="false" ht="15" hidden="false" customHeight="false" outlineLevel="0" collapsed="false">
      <c r="A2335" s="2" t="s">
        <v>1484</v>
      </c>
      <c r="B2335" s="2" t="s">
        <v>454</v>
      </c>
      <c r="C2335" s="2" t="n">
        <v>150</v>
      </c>
      <c r="D2335" s="2" t="s">
        <v>54</v>
      </c>
      <c r="E2335" s="2" t="s">
        <v>3357</v>
      </c>
      <c r="F2335" s="2" t="n">
        <v>75</v>
      </c>
      <c r="G2335" s="2" t="n">
        <v>225</v>
      </c>
      <c r="H2335" s="2" t="s">
        <v>1689</v>
      </c>
      <c r="I2335" s="2" t="n">
        <v>3</v>
      </c>
    </row>
    <row r="2336" customFormat="false" ht="15" hidden="false" customHeight="false" outlineLevel="0" collapsed="false">
      <c r="A2336" s="2" t="s">
        <v>1484</v>
      </c>
      <c r="B2336" s="2" t="s">
        <v>129</v>
      </c>
      <c r="C2336" s="2" t="n">
        <v>5</v>
      </c>
      <c r="D2336" s="2" t="s">
        <v>54</v>
      </c>
      <c r="E2336" s="2" t="s">
        <v>2929</v>
      </c>
      <c r="F2336" s="2" t="n">
        <v>2.5</v>
      </c>
      <c r="G2336" s="2" t="n">
        <v>7.5</v>
      </c>
      <c r="H2336" s="2" t="s">
        <v>1700</v>
      </c>
      <c r="I2336" s="2" t="n">
        <v>4</v>
      </c>
    </row>
    <row r="2337" customFormat="false" ht="15" hidden="false" customHeight="false" outlineLevel="0" collapsed="false">
      <c r="A2337" s="2" t="s">
        <v>1484</v>
      </c>
      <c r="B2337" s="2" t="s">
        <v>271</v>
      </c>
      <c r="C2337" s="2" t="n">
        <v>1</v>
      </c>
      <c r="D2337" s="2" t="s">
        <v>54</v>
      </c>
      <c r="E2337" s="2" t="s">
        <v>2977</v>
      </c>
      <c r="F2337" s="2" t="n">
        <v>0.5</v>
      </c>
      <c r="G2337" s="2" t="n">
        <v>1.5</v>
      </c>
      <c r="H2337" s="2" t="s">
        <v>1689</v>
      </c>
      <c r="I2337" s="2" t="n">
        <v>5</v>
      </c>
    </row>
    <row r="2338" customFormat="false" ht="15" hidden="false" customHeight="false" outlineLevel="0" collapsed="false">
      <c r="A2338" s="2" t="s">
        <v>1484</v>
      </c>
      <c r="B2338" s="2" t="s">
        <v>271</v>
      </c>
      <c r="C2338" s="2" t="n">
        <v>1</v>
      </c>
      <c r="D2338" s="2" t="s">
        <v>54</v>
      </c>
      <c r="E2338" s="2" t="s">
        <v>2974</v>
      </c>
      <c r="F2338" s="2" t="n">
        <v>0.5</v>
      </c>
      <c r="G2338" s="2" t="n">
        <v>1.5</v>
      </c>
      <c r="H2338" s="2" t="s">
        <v>1689</v>
      </c>
      <c r="I2338" s="2" t="n">
        <v>6</v>
      </c>
    </row>
    <row r="2339" customFormat="false" ht="15" hidden="false" customHeight="false" outlineLevel="0" collapsed="false">
      <c r="A2339" s="2" t="s">
        <v>1484</v>
      </c>
      <c r="B2339" s="2" t="s">
        <v>131</v>
      </c>
      <c r="C2339" s="2" t="n">
        <v>1</v>
      </c>
      <c r="D2339" s="2" t="s">
        <v>54</v>
      </c>
      <c r="E2339" s="2" t="s">
        <v>1880</v>
      </c>
      <c r="F2339" s="2" t="n">
        <v>0.5</v>
      </c>
      <c r="G2339" s="2" t="n">
        <v>1.5</v>
      </c>
      <c r="H2339" s="2" t="s">
        <v>1689</v>
      </c>
      <c r="I2339" s="2" t="n">
        <v>7</v>
      </c>
    </row>
    <row r="2340" customFormat="false" ht="15" hidden="false" customHeight="false" outlineLevel="0" collapsed="false">
      <c r="A2340" s="2" t="s">
        <v>1487</v>
      </c>
      <c r="B2340" s="2" t="s">
        <v>532</v>
      </c>
      <c r="C2340" s="2" t="n">
        <v>145</v>
      </c>
      <c r="D2340" s="2" t="s">
        <v>54</v>
      </c>
      <c r="E2340" s="2" t="s">
        <v>3358</v>
      </c>
      <c r="F2340" s="2" t="n">
        <v>72.5</v>
      </c>
      <c r="G2340" s="2" t="n">
        <v>217.5</v>
      </c>
      <c r="H2340" s="2" t="s">
        <v>1693</v>
      </c>
      <c r="I2340" s="2" t="n">
        <v>1</v>
      </c>
    </row>
    <row r="2341" customFormat="false" ht="15" hidden="false" customHeight="false" outlineLevel="0" collapsed="false">
      <c r="A2341" s="2" t="s">
        <v>1487</v>
      </c>
      <c r="B2341" s="2" t="s">
        <v>394</v>
      </c>
      <c r="C2341" s="2" t="n">
        <v>30</v>
      </c>
      <c r="D2341" s="2" t="s">
        <v>54</v>
      </c>
      <c r="E2341" s="2" t="s">
        <v>3359</v>
      </c>
      <c r="F2341" s="2" t="n">
        <v>15</v>
      </c>
      <c r="G2341" s="2" t="n">
        <v>45</v>
      </c>
      <c r="H2341" s="2" t="s">
        <v>1689</v>
      </c>
      <c r="I2341" s="2" t="n">
        <v>2</v>
      </c>
    </row>
    <row r="2342" customFormat="false" ht="15" hidden="false" customHeight="false" outlineLevel="0" collapsed="false">
      <c r="A2342" s="2" t="s">
        <v>1487</v>
      </c>
      <c r="B2342" s="2" t="s">
        <v>67</v>
      </c>
      <c r="C2342" s="2" t="n">
        <v>15</v>
      </c>
      <c r="D2342" s="2" t="s">
        <v>54</v>
      </c>
      <c r="E2342" s="2" t="s">
        <v>3360</v>
      </c>
      <c r="F2342" s="2" t="n">
        <v>7.5</v>
      </c>
      <c r="G2342" s="2" t="n">
        <v>22.5</v>
      </c>
      <c r="H2342" s="2" t="s">
        <v>1693</v>
      </c>
      <c r="I2342" s="2" t="n">
        <v>3</v>
      </c>
    </row>
    <row r="2343" customFormat="false" ht="15" hidden="false" customHeight="false" outlineLevel="0" collapsed="false">
      <c r="A2343" s="2" t="s">
        <v>1487</v>
      </c>
      <c r="B2343" s="2" t="s">
        <v>458</v>
      </c>
      <c r="C2343" s="2" t="n">
        <v>15</v>
      </c>
      <c r="D2343" s="2" t="s">
        <v>54</v>
      </c>
      <c r="E2343" s="2" t="s">
        <v>3361</v>
      </c>
      <c r="F2343" s="2" t="n">
        <v>7.5</v>
      </c>
      <c r="G2343" s="2" t="n">
        <v>22.5</v>
      </c>
      <c r="H2343" s="2" t="s">
        <v>1689</v>
      </c>
      <c r="I2343" s="2" t="n">
        <v>4</v>
      </c>
    </row>
    <row r="2344" customFormat="false" ht="15" hidden="false" customHeight="false" outlineLevel="0" collapsed="false">
      <c r="A2344" s="2" t="s">
        <v>1487</v>
      </c>
      <c r="B2344" s="2" t="s">
        <v>216</v>
      </c>
      <c r="C2344" s="2" t="n">
        <v>15</v>
      </c>
      <c r="D2344" s="2" t="s">
        <v>54</v>
      </c>
      <c r="E2344" s="2" t="s">
        <v>3362</v>
      </c>
      <c r="F2344" s="2" t="n">
        <v>7.5</v>
      </c>
      <c r="G2344" s="2" t="n">
        <v>22.5</v>
      </c>
      <c r="H2344" s="2" t="s">
        <v>1689</v>
      </c>
      <c r="I2344" s="2" t="n">
        <v>5</v>
      </c>
    </row>
    <row r="2345" customFormat="false" ht="15" hidden="false" customHeight="false" outlineLevel="0" collapsed="false">
      <c r="A2345" s="2" t="s">
        <v>1487</v>
      </c>
      <c r="B2345" s="2" t="s">
        <v>301</v>
      </c>
      <c r="C2345" s="2" t="n">
        <v>15</v>
      </c>
      <c r="D2345" s="2" t="s">
        <v>54</v>
      </c>
      <c r="E2345" s="2" t="s">
        <v>3043</v>
      </c>
      <c r="F2345" s="2" t="n">
        <v>7.5</v>
      </c>
      <c r="G2345" s="2" t="n">
        <v>22.5</v>
      </c>
      <c r="H2345" s="2" t="s">
        <v>1689</v>
      </c>
      <c r="I2345" s="2" t="n">
        <v>6</v>
      </c>
    </row>
    <row r="2346" customFormat="false" ht="15" hidden="false" customHeight="false" outlineLevel="0" collapsed="false">
      <c r="A2346" s="2" t="s">
        <v>1487</v>
      </c>
      <c r="B2346" s="2" t="s">
        <v>268</v>
      </c>
      <c r="C2346" s="2" t="n">
        <v>5</v>
      </c>
      <c r="D2346" s="2" t="s">
        <v>54</v>
      </c>
      <c r="E2346" s="2" t="s">
        <v>3363</v>
      </c>
      <c r="F2346" s="2" t="n">
        <v>2.5</v>
      </c>
      <c r="G2346" s="2" t="n">
        <v>7.5</v>
      </c>
      <c r="H2346" s="2" t="s">
        <v>1693</v>
      </c>
      <c r="I2346" s="2" t="n">
        <v>7</v>
      </c>
    </row>
    <row r="2347" customFormat="false" ht="15" hidden="false" customHeight="false" outlineLevel="0" collapsed="false">
      <c r="A2347" s="2" t="s">
        <v>1487</v>
      </c>
      <c r="B2347" s="2" t="s">
        <v>131</v>
      </c>
      <c r="C2347" s="2" t="n">
        <v>1</v>
      </c>
      <c r="D2347" s="2" t="s">
        <v>54</v>
      </c>
      <c r="E2347" s="2" t="s">
        <v>1880</v>
      </c>
      <c r="F2347" s="2" t="n">
        <v>0.5</v>
      </c>
      <c r="G2347" s="2" t="n">
        <v>1.5</v>
      </c>
      <c r="H2347" s="2" t="s">
        <v>1689</v>
      </c>
      <c r="I2347" s="2" t="n">
        <v>8</v>
      </c>
    </row>
    <row r="2348" customFormat="false" ht="15" hidden="false" customHeight="false" outlineLevel="0" collapsed="false">
      <c r="A2348" s="2" t="s">
        <v>1490</v>
      </c>
      <c r="B2348" s="2" t="s">
        <v>81</v>
      </c>
      <c r="C2348" s="2" t="n">
        <v>160</v>
      </c>
      <c r="D2348" s="2" t="s">
        <v>54</v>
      </c>
      <c r="E2348" s="2" t="s">
        <v>3364</v>
      </c>
      <c r="F2348" s="2" t="n">
        <v>80</v>
      </c>
      <c r="G2348" s="2" t="n">
        <v>240</v>
      </c>
      <c r="H2348" s="2" t="s">
        <v>1689</v>
      </c>
      <c r="I2348" s="2" t="n">
        <v>1</v>
      </c>
    </row>
    <row r="2349" customFormat="false" ht="15" hidden="false" customHeight="false" outlineLevel="0" collapsed="false">
      <c r="A2349" s="2" t="s">
        <v>1490</v>
      </c>
      <c r="B2349" s="2" t="s">
        <v>89</v>
      </c>
      <c r="C2349" s="2" t="n">
        <v>20</v>
      </c>
      <c r="D2349" s="2" t="s">
        <v>54</v>
      </c>
      <c r="E2349" s="2" t="s">
        <v>3365</v>
      </c>
      <c r="F2349" s="2" t="n">
        <v>10</v>
      </c>
      <c r="G2349" s="2" t="n">
        <v>30</v>
      </c>
      <c r="H2349" s="2" t="s">
        <v>1689</v>
      </c>
      <c r="I2349" s="2" t="n">
        <v>2</v>
      </c>
    </row>
    <row r="2350" customFormat="false" ht="15" hidden="false" customHeight="false" outlineLevel="0" collapsed="false">
      <c r="A2350" s="2" t="s">
        <v>1490</v>
      </c>
      <c r="B2350" s="2" t="s">
        <v>74</v>
      </c>
      <c r="C2350" s="2" t="n">
        <v>250</v>
      </c>
      <c r="D2350" s="2" t="s">
        <v>76</v>
      </c>
      <c r="E2350" s="2" t="s">
        <v>1745</v>
      </c>
      <c r="F2350" s="2" t="n">
        <v>125</v>
      </c>
      <c r="G2350" s="2" t="n">
        <v>375</v>
      </c>
      <c r="H2350" s="2" t="s">
        <v>1689</v>
      </c>
      <c r="I2350" s="2" t="n">
        <v>3</v>
      </c>
    </row>
    <row r="2351" customFormat="false" ht="15" hidden="false" customHeight="false" outlineLevel="0" collapsed="false">
      <c r="A2351" s="2" t="s">
        <v>1490</v>
      </c>
      <c r="B2351" s="2" t="s">
        <v>67</v>
      </c>
      <c r="C2351" s="2" t="n">
        <v>200</v>
      </c>
      <c r="D2351" s="2" t="s">
        <v>54</v>
      </c>
      <c r="E2351" s="2" t="s">
        <v>1798</v>
      </c>
      <c r="F2351" s="2" t="n">
        <v>100</v>
      </c>
      <c r="G2351" s="2" t="n">
        <v>300</v>
      </c>
      <c r="H2351" s="2" t="s">
        <v>1693</v>
      </c>
      <c r="I2351" s="2" t="n">
        <v>4</v>
      </c>
    </row>
    <row r="2352" customFormat="false" ht="15" hidden="false" customHeight="false" outlineLevel="0" collapsed="false">
      <c r="A2352" s="2" t="s">
        <v>1490</v>
      </c>
      <c r="B2352" s="2" t="s">
        <v>271</v>
      </c>
      <c r="C2352" s="2" t="n">
        <v>1</v>
      </c>
      <c r="D2352" s="2" t="s">
        <v>54</v>
      </c>
      <c r="E2352" s="2" t="s">
        <v>3211</v>
      </c>
      <c r="F2352" s="2" t="n">
        <v>0.5</v>
      </c>
      <c r="G2352" s="2" t="n">
        <v>1.5</v>
      </c>
      <c r="H2352" s="2" t="s">
        <v>1689</v>
      </c>
      <c r="I2352" s="2" t="n">
        <v>5</v>
      </c>
    </row>
    <row r="2353" customFormat="false" ht="15" hidden="false" customHeight="false" outlineLevel="0" collapsed="false">
      <c r="A2353" s="2" t="s">
        <v>1490</v>
      </c>
      <c r="B2353" s="2" t="s">
        <v>71</v>
      </c>
      <c r="C2353" s="2" t="n">
        <v>60</v>
      </c>
      <c r="D2353" s="2" t="s">
        <v>54</v>
      </c>
      <c r="E2353" s="2" t="s">
        <v>3366</v>
      </c>
      <c r="F2353" s="2" t="n">
        <v>30</v>
      </c>
      <c r="G2353" s="2" t="n">
        <v>90</v>
      </c>
      <c r="H2353" s="2" t="s">
        <v>1693</v>
      </c>
      <c r="I2353" s="2" t="n">
        <v>6</v>
      </c>
    </row>
    <row r="2354" customFormat="false" ht="15" hidden="false" customHeight="false" outlineLevel="0" collapsed="false">
      <c r="A2354" s="2" t="s">
        <v>1490</v>
      </c>
      <c r="B2354" s="2" t="s">
        <v>52</v>
      </c>
      <c r="C2354" s="2" t="n">
        <v>0.85</v>
      </c>
      <c r="D2354" s="2" t="s">
        <v>1687</v>
      </c>
      <c r="E2354" s="2" t="s">
        <v>3367</v>
      </c>
      <c r="F2354" s="2"/>
      <c r="G2354" s="2" t="n">
        <v>1.85</v>
      </c>
      <c r="H2354" s="2" t="s">
        <v>1689</v>
      </c>
      <c r="I2354" s="2" t="n">
        <v>7</v>
      </c>
    </row>
    <row r="2355" customFormat="false" ht="15" hidden="false" customHeight="false" outlineLevel="0" collapsed="false">
      <c r="A2355" s="2" t="s">
        <v>1490</v>
      </c>
      <c r="B2355" s="2" t="s">
        <v>59</v>
      </c>
      <c r="C2355" s="2" t="n">
        <v>80</v>
      </c>
      <c r="D2355" s="2" t="s">
        <v>54</v>
      </c>
      <c r="E2355" s="2" t="s">
        <v>3368</v>
      </c>
      <c r="F2355" s="2" t="n">
        <v>40</v>
      </c>
      <c r="G2355" s="2" t="n">
        <v>120</v>
      </c>
      <c r="H2355" s="2" t="s">
        <v>1689</v>
      </c>
      <c r="I2355" s="2" t="n">
        <v>8</v>
      </c>
    </row>
    <row r="2356" customFormat="false" ht="15" hidden="false" customHeight="false" outlineLevel="0" collapsed="false">
      <c r="A2356" s="2" t="s">
        <v>1490</v>
      </c>
      <c r="B2356" s="2" t="s">
        <v>580</v>
      </c>
      <c r="C2356" s="2" t="n">
        <v>24</v>
      </c>
      <c r="D2356" s="2" t="s">
        <v>54</v>
      </c>
      <c r="E2356" s="2" t="s">
        <v>3369</v>
      </c>
      <c r="F2356" s="2" t="n">
        <v>12</v>
      </c>
      <c r="G2356" s="2" t="n">
        <v>36</v>
      </c>
      <c r="H2356" s="2" t="s">
        <v>1689</v>
      </c>
      <c r="I2356" s="2" t="n">
        <v>9</v>
      </c>
    </row>
    <row r="2357" customFormat="false" ht="15" hidden="false" customHeight="false" outlineLevel="0" collapsed="false">
      <c r="A2357" s="2" t="s">
        <v>1493</v>
      </c>
      <c r="B2357" s="2" t="s">
        <v>264</v>
      </c>
      <c r="C2357" s="2" t="n">
        <v>100</v>
      </c>
      <c r="D2357" s="2" t="s">
        <v>54</v>
      </c>
      <c r="E2357" s="2" t="s">
        <v>3370</v>
      </c>
      <c r="F2357" s="2" t="n">
        <v>50</v>
      </c>
      <c r="G2357" s="2" t="n">
        <v>150</v>
      </c>
      <c r="H2357" s="2" t="s">
        <v>1689</v>
      </c>
      <c r="I2357" s="2" t="n">
        <v>1</v>
      </c>
    </row>
    <row r="2358" customFormat="false" ht="15" hidden="false" customHeight="false" outlineLevel="0" collapsed="false">
      <c r="A2358" s="2" t="s">
        <v>1493</v>
      </c>
      <c r="B2358" s="2" t="s">
        <v>573</v>
      </c>
      <c r="C2358" s="2" t="n">
        <v>100</v>
      </c>
      <c r="D2358" s="2" t="s">
        <v>54</v>
      </c>
      <c r="E2358" s="2" t="s">
        <v>3371</v>
      </c>
      <c r="F2358" s="2" t="n">
        <v>50</v>
      </c>
      <c r="G2358" s="2" t="n">
        <v>150</v>
      </c>
      <c r="H2358" s="2" t="s">
        <v>1700</v>
      </c>
      <c r="I2358" s="2" t="n">
        <v>2</v>
      </c>
    </row>
    <row r="2359" customFormat="false" ht="15" hidden="false" customHeight="false" outlineLevel="0" collapsed="false">
      <c r="A2359" s="2" t="s">
        <v>1493</v>
      </c>
      <c r="B2359" s="2" t="s">
        <v>91</v>
      </c>
      <c r="C2359" s="2" t="n">
        <v>45</v>
      </c>
      <c r="D2359" s="2" t="s">
        <v>54</v>
      </c>
      <c r="E2359" s="2" t="s">
        <v>3372</v>
      </c>
      <c r="F2359" s="2" t="n">
        <v>22.5</v>
      </c>
      <c r="G2359" s="2" t="n">
        <v>67.5</v>
      </c>
      <c r="H2359" s="2" t="s">
        <v>1689</v>
      </c>
      <c r="I2359" s="2" t="n">
        <v>3</v>
      </c>
    </row>
    <row r="2360" customFormat="false" ht="15" hidden="false" customHeight="false" outlineLevel="0" collapsed="false">
      <c r="A2360" s="2" t="s">
        <v>1493</v>
      </c>
      <c r="B2360" s="2" t="s">
        <v>580</v>
      </c>
      <c r="C2360" s="2" t="n">
        <v>9</v>
      </c>
      <c r="D2360" s="2" t="s">
        <v>54</v>
      </c>
      <c r="E2360" s="2" t="s">
        <v>3373</v>
      </c>
      <c r="F2360" s="2" t="n">
        <v>4.5</v>
      </c>
      <c r="G2360" s="2" t="n">
        <v>13.5</v>
      </c>
      <c r="H2360" s="2" t="s">
        <v>1689</v>
      </c>
      <c r="I2360" s="2" t="n">
        <v>4</v>
      </c>
    </row>
    <row r="2361" customFormat="false" ht="15" hidden="false" customHeight="false" outlineLevel="0" collapsed="false">
      <c r="A2361" s="2" t="s">
        <v>1496</v>
      </c>
      <c r="B2361" s="2" t="s">
        <v>221</v>
      </c>
      <c r="C2361" s="2" t="n">
        <v>150</v>
      </c>
      <c r="D2361" s="2" t="s">
        <v>54</v>
      </c>
      <c r="E2361" s="2" t="s">
        <v>2683</v>
      </c>
      <c r="F2361" s="2" t="n">
        <v>75</v>
      </c>
      <c r="G2361" s="2" t="n">
        <v>225</v>
      </c>
      <c r="H2361" s="2" t="s">
        <v>1693</v>
      </c>
      <c r="I2361" s="2" t="n">
        <v>1</v>
      </c>
    </row>
    <row r="2362" customFormat="false" ht="15" hidden="false" customHeight="false" outlineLevel="0" collapsed="false">
      <c r="A2362" s="2" t="s">
        <v>1496</v>
      </c>
      <c r="B2362" s="2" t="s">
        <v>102</v>
      </c>
      <c r="C2362" s="2" t="n">
        <v>80</v>
      </c>
      <c r="D2362" s="2" t="s">
        <v>54</v>
      </c>
      <c r="E2362" s="2" t="s">
        <v>3374</v>
      </c>
      <c r="F2362" s="2" t="n">
        <v>40</v>
      </c>
      <c r="G2362" s="2" t="n">
        <v>120</v>
      </c>
      <c r="H2362" s="2" t="s">
        <v>1689</v>
      </c>
      <c r="I2362" s="2" t="n">
        <v>2</v>
      </c>
    </row>
    <row r="2363" customFormat="false" ht="15" hidden="false" customHeight="false" outlineLevel="0" collapsed="false">
      <c r="A2363" s="2" t="s">
        <v>1496</v>
      </c>
      <c r="B2363" s="2" t="s">
        <v>422</v>
      </c>
      <c r="C2363" s="2" t="n">
        <v>120</v>
      </c>
      <c r="D2363" s="2" t="s">
        <v>54</v>
      </c>
      <c r="E2363" s="2" t="s">
        <v>2518</v>
      </c>
      <c r="F2363" s="2" t="n">
        <v>60</v>
      </c>
      <c r="G2363" s="2" t="n">
        <v>180</v>
      </c>
      <c r="H2363" s="2" t="s">
        <v>1689</v>
      </c>
      <c r="I2363" s="2" t="n">
        <v>3</v>
      </c>
    </row>
    <row r="2364" customFormat="false" ht="15" hidden="false" customHeight="false" outlineLevel="0" collapsed="false">
      <c r="A2364" s="2" t="s">
        <v>1496</v>
      </c>
      <c r="B2364" s="2" t="s">
        <v>371</v>
      </c>
      <c r="C2364" s="2" t="n">
        <v>60</v>
      </c>
      <c r="D2364" s="2" t="s">
        <v>76</v>
      </c>
      <c r="E2364" s="2" t="s">
        <v>3375</v>
      </c>
      <c r="F2364" s="2" t="n">
        <v>30</v>
      </c>
      <c r="G2364" s="2" t="n">
        <v>90</v>
      </c>
      <c r="H2364" s="2" t="s">
        <v>1700</v>
      </c>
      <c r="I2364" s="2" t="n">
        <v>4</v>
      </c>
    </row>
    <row r="2365" customFormat="false" ht="15" hidden="false" customHeight="false" outlineLevel="0" collapsed="false">
      <c r="A2365" s="2" t="s">
        <v>1496</v>
      </c>
      <c r="B2365" s="2" t="s">
        <v>409</v>
      </c>
      <c r="C2365" s="2" t="n">
        <v>50</v>
      </c>
      <c r="D2365" s="2" t="s">
        <v>54</v>
      </c>
      <c r="E2365" s="2" t="s">
        <v>3376</v>
      </c>
      <c r="F2365" s="2" t="n">
        <v>25</v>
      </c>
      <c r="G2365" s="2" t="n">
        <v>75</v>
      </c>
      <c r="H2365" s="2" t="s">
        <v>1689</v>
      </c>
      <c r="I2365" s="2" t="n">
        <v>5</v>
      </c>
    </row>
    <row r="2366" customFormat="false" ht="15" hidden="false" customHeight="false" outlineLevel="0" collapsed="false">
      <c r="A2366" s="2" t="s">
        <v>1496</v>
      </c>
      <c r="B2366" s="2" t="s">
        <v>312</v>
      </c>
      <c r="C2366" s="2" t="n">
        <v>1</v>
      </c>
      <c r="D2366" s="2" t="s">
        <v>1687</v>
      </c>
      <c r="E2366" s="2" t="s">
        <v>2875</v>
      </c>
      <c r="F2366" s="2"/>
      <c r="G2366" s="2" t="n">
        <v>2</v>
      </c>
      <c r="H2366" s="2" t="s">
        <v>1689</v>
      </c>
      <c r="I2366" s="2" t="n">
        <v>6</v>
      </c>
    </row>
    <row r="2367" customFormat="false" ht="15" hidden="false" customHeight="false" outlineLevel="0" collapsed="false">
      <c r="A2367" s="2" t="s">
        <v>1496</v>
      </c>
      <c r="B2367" s="2" t="s">
        <v>299</v>
      </c>
      <c r="C2367" s="2" t="n">
        <v>1</v>
      </c>
      <c r="D2367" s="2" t="s">
        <v>54</v>
      </c>
      <c r="E2367" s="2" t="s">
        <v>3349</v>
      </c>
      <c r="F2367" s="2"/>
      <c r="G2367" s="2" t="n">
        <v>2</v>
      </c>
      <c r="H2367" s="2" t="s">
        <v>1689</v>
      </c>
      <c r="I2367" s="2" t="n">
        <v>7</v>
      </c>
    </row>
    <row r="2368" customFormat="false" ht="15" hidden="false" customHeight="false" outlineLevel="0" collapsed="false">
      <c r="A2368" s="2" t="s">
        <v>1496</v>
      </c>
      <c r="B2368" s="2" t="s">
        <v>262</v>
      </c>
      <c r="C2368" s="2" t="n">
        <v>3</v>
      </c>
      <c r="D2368" s="2" t="s">
        <v>54</v>
      </c>
      <c r="E2368" s="2" t="s">
        <v>2997</v>
      </c>
      <c r="F2368" s="2" t="n">
        <v>1.5</v>
      </c>
      <c r="G2368" s="2" t="n">
        <v>4.5</v>
      </c>
      <c r="H2368" s="2" t="s">
        <v>1689</v>
      </c>
      <c r="I2368" s="2" t="n">
        <v>8</v>
      </c>
    </row>
    <row r="2369" customFormat="false" ht="15" hidden="false" customHeight="false" outlineLevel="0" collapsed="false">
      <c r="A2369" s="2" t="s">
        <v>1496</v>
      </c>
      <c r="B2369" s="2" t="s">
        <v>271</v>
      </c>
      <c r="C2369" s="2" t="n">
        <v>1</v>
      </c>
      <c r="D2369" s="2" t="s">
        <v>54</v>
      </c>
      <c r="E2369" s="2" t="s">
        <v>2723</v>
      </c>
      <c r="F2369" s="2" t="n">
        <v>0.5</v>
      </c>
      <c r="G2369" s="2" t="n">
        <v>1.5</v>
      </c>
      <c r="H2369" s="2" t="s">
        <v>1689</v>
      </c>
      <c r="I2369" s="2" t="n">
        <v>9</v>
      </c>
    </row>
    <row r="2370" customFormat="false" ht="15" hidden="false" customHeight="false" outlineLevel="0" collapsed="false">
      <c r="A2370" s="2" t="s">
        <v>1496</v>
      </c>
      <c r="B2370" s="2" t="s">
        <v>129</v>
      </c>
      <c r="C2370" s="2" t="n">
        <v>15</v>
      </c>
      <c r="D2370" s="2" t="s">
        <v>54</v>
      </c>
      <c r="E2370" s="2" t="s">
        <v>3118</v>
      </c>
      <c r="F2370" s="2" t="n">
        <v>7.5</v>
      </c>
      <c r="G2370" s="2" t="n">
        <v>22.5</v>
      </c>
      <c r="H2370" s="2" t="s">
        <v>1700</v>
      </c>
      <c r="I2370" s="2" t="n">
        <v>10</v>
      </c>
    </row>
    <row r="2371" customFormat="false" ht="15" hidden="false" customHeight="false" outlineLevel="0" collapsed="false">
      <c r="A2371" s="2" t="s">
        <v>1496</v>
      </c>
      <c r="B2371" s="2" t="s">
        <v>131</v>
      </c>
      <c r="C2371" s="2" t="n">
        <v>1</v>
      </c>
      <c r="D2371" s="2" t="s">
        <v>54</v>
      </c>
      <c r="E2371" s="2" t="s">
        <v>1880</v>
      </c>
      <c r="F2371" s="2" t="n">
        <v>0.5</v>
      </c>
      <c r="G2371" s="2" t="n">
        <v>1.5</v>
      </c>
      <c r="H2371" s="2" t="s">
        <v>1689</v>
      </c>
      <c r="I2371" s="2" t="n">
        <v>11</v>
      </c>
    </row>
    <row r="2372" customFormat="false" ht="15" hidden="false" customHeight="false" outlineLevel="0" collapsed="false">
      <c r="A2372" s="2" t="s">
        <v>1496</v>
      </c>
      <c r="B2372" s="2" t="s">
        <v>177</v>
      </c>
      <c r="C2372" s="2" t="n">
        <v>30</v>
      </c>
      <c r="D2372" s="2" t="s">
        <v>54</v>
      </c>
      <c r="E2372" s="2" t="s">
        <v>3377</v>
      </c>
      <c r="F2372" s="2" t="n">
        <v>15</v>
      </c>
      <c r="G2372" s="2" t="n">
        <v>45</v>
      </c>
      <c r="H2372" s="2" t="s">
        <v>1689</v>
      </c>
      <c r="I2372" s="2" t="n">
        <v>12</v>
      </c>
    </row>
    <row r="2373" customFormat="false" ht="15" hidden="false" customHeight="false" outlineLevel="0" collapsed="false">
      <c r="A2373" s="2" t="s">
        <v>1498</v>
      </c>
      <c r="B2373" s="2" t="s">
        <v>424</v>
      </c>
      <c r="C2373" s="2" t="n">
        <v>70</v>
      </c>
      <c r="D2373" s="2" t="s">
        <v>54</v>
      </c>
      <c r="E2373" s="2" t="s">
        <v>3378</v>
      </c>
      <c r="F2373" s="2" t="n">
        <v>35</v>
      </c>
      <c r="G2373" s="2" t="n">
        <v>105</v>
      </c>
      <c r="H2373" s="2" t="s">
        <v>1689</v>
      </c>
      <c r="I2373" s="2" t="n">
        <v>1</v>
      </c>
    </row>
    <row r="2374" customFormat="false" ht="15" hidden="false" customHeight="false" outlineLevel="0" collapsed="false">
      <c r="A2374" s="2" t="s">
        <v>1498</v>
      </c>
      <c r="B2374" s="2" t="s">
        <v>221</v>
      </c>
      <c r="C2374" s="2" t="n">
        <v>100</v>
      </c>
      <c r="D2374" s="2" t="s">
        <v>54</v>
      </c>
      <c r="E2374" s="2" t="s">
        <v>3379</v>
      </c>
      <c r="F2374" s="2" t="n">
        <v>50</v>
      </c>
      <c r="G2374" s="2" t="n">
        <v>150</v>
      </c>
      <c r="H2374" s="2" t="s">
        <v>1693</v>
      </c>
      <c r="I2374" s="2" t="n">
        <v>2</v>
      </c>
    </row>
    <row r="2375" customFormat="false" ht="15" hidden="false" customHeight="false" outlineLevel="0" collapsed="false">
      <c r="A2375" s="2" t="s">
        <v>1498</v>
      </c>
      <c r="B2375" s="2" t="s">
        <v>283</v>
      </c>
      <c r="C2375" s="2" t="n">
        <v>1</v>
      </c>
      <c r="D2375" s="2" t="s">
        <v>1687</v>
      </c>
      <c r="E2375" s="2" t="s">
        <v>3380</v>
      </c>
      <c r="F2375" s="2"/>
      <c r="G2375" s="2" t="n">
        <v>2</v>
      </c>
      <c r="H2375" s="2" t="s">
        <v>1700</v>
      </c>
      <c r="I2375" s="2" t="n">
        <v>3</v>
      </c>
    </row>
    <row r="2376" customFormat="false" ht="15" hidden="false" customHeight="false" outlineLevel="0" collapsed="false">
      <c r="A2376" s="2" t="s">
        <v>1498</v>
      </c>
      <c r="B2376" s="2" t="s">
        <v>420</v>
      </c>
      <c r="C2376" s="2" t="n">
        <v>15</v>
      </c>
      <c r="D2376" s="2" t="s">
        <v>54</v>
      </c>
      <c r="E2376" s="2" t="s">
        <v>3381</v>
      </c>
      <c r="F2376" s="2" t="n">
        <v>7.5</v>
      </c>
      <c r="G2376" s="2" t="n">
        <v>22.5</v>
      </c>
      <c r="H2376" s="2" t="s">
        <v>1693</v>
      </c>
      <c r="I2376" s="2" t="n">
        <v>4</v>
      </c>
    </row>
    <row r="2377" customFormat="false" ht="15" hidden="false" customHeight="false" outlineLevel="0" collapsed="false">
      <c r="A2377" s="2" t="s">
        <v>1498</v>
      </c>
      <c r="B2377" s="2" t="s">
        <v>598</v>
      </c>
      <c r="C2377" s="2" t="n">
        <v>30</v>
      </c>
      <c r="D2377" s="2" t="s">
        <v>76</v>
      </c>
      <c r="E2377" s="2" t="s">
        <v>3382</v>
      </c>
      <c r="F2377" s="2" t="n">
        <v>15</v>
      </c>
      <c r="G2377" s="2" t="n">
        <v>45</v>
      </c>
      <c r="H2377" s="2" t="s">
        <v>1700</v>
      </c>
      <c r="I2377" s="2" t="n">
        <v>5</v>
      </c>
    </row>
    <row r="2378" customFormat="false" ht="15" hidden="false" customHeight="false" outlineLevel="0" collapsed="false">
      <c r="A2378" s="2" t="s">
        <v>1498</v>
      </c>
      <c r="B2378" s="2" t="s">
        <v>129</v>
      </c>
      <c r="C2378" s="2" t="n">
        <v>5</v>
      </c>
      <c r="D2378" s="2" t="s">
        <v>54</v>
      </c>
      <c r="E2378" s="2" t="s">
        <v>3383</v>
      </c>
      <c r="F2378" s="2" t="n">
        <v>2.5</v>
      </c>
      <c r="G2378" s="2" t="n">
        <v>7.5</v>
      </c>
      <c r="H2378" s="2" t="s">
        <v>1700</v>
      </c>
      <c r="I2378" s="2" t="n">
        <v>6</v>
      </c>
    </row>
    <row r="2379" customFormat="false" ht="15" hidden="false" customHeight="false" outlineLevel="0" collapsed="false">
      <c r="A2379" s="2" t="s">
        <v>1498</v>
      </c>
      <c r="B2379" s="2" t="s">
        <v>308</v>
      </c>
      <c r="C2379" s="2" t="n">
        <v>40</v>
      </c>
      <c r="D2379" s="2" t="s">
        <v>54</v>
      </c>
      <c r="E2379" s="2" t="s">
        <v>3384</v>
      </c>
      <c r="F2379" s="2" t="n">
        <v>20</v>
      </c>
      <c r="G2379" s="2" t="n">
        <v>60</v>
      </c>
      <c r="H2379" s="2" t="s">
        <v>1689</v>
      </c>
      <c r="I2379" s="2" t="n">
        <v>7</v>
      </c>
    </row>
    <row r="2380" customFormat="false" ht="15" hidden="false" customHeight="false" outlineLevel="0" collapsed="false">
      <c r="A2380" s="2" t="s">
        <v>1498</v>
      </c>
      <c r="B2380" s="2" t="s">
        <v>131</v>
      </c>
      <c r="C2380" s="2" t="n">
        <v>1</v>
      </c>
      <c r="D2380" s="2" t="s">
        <v>54</v>
      </c>
      <c r="E2380" s="2" t="s">
        <v>1880</v>
      </c>
      <c r="F2380" s="2" t="n">
        <v>0.5</v>
      </c>
      <c r="G2380" s="2" t="n">
        <v>1.5</v>
      </c>
      <c r="H2380" s="2" t="s">
        <v>1689</v>
      </c>
      <c r="I2380" s="2" t="n">
        <v>8</v>
      </c>
    </row>
    <row r="2381" customFormat="false" ht="15" hidden="false" customHeight="false" outlineLevel="0" collapsed="false">
      <c r="A2381" s="2" t="s">
        <v>1501</v>
      </c>
      <c r="B2381" s="2" t="s">
        <v>221</v>
      </c>
      <c r="C2381" s="2" t="n">
        <v>150</v>
      </c>
      <c r="D2381" s="2" t="s">
        <v>54</v>
      </c>
      <c r="E2381" s="2" t="s">
        <v>2683</v>
      </c>
      <c r="F2381" s="2" t="n">
        <v>75</v>
      </c>
      <c r="G2381" s="2" t="n">
        <v>225</v>
      </c>
      <c r="H2381" s="2" t="s">
        <v>1693</v>
      </c>
      <c r="I2381" s="2" t="n">
        <v>1</v>
      </c>
    </row>
    <row r="2382" customFormat="false" ht="15" hidden="false" customHeight="false" outlineLevel="0" collapsed="false">
      <c r="A2382" s="2" t="s">
        <v>1501</v>
      </c>
      <c r="B2382" s="2" t="s">
        <v>129</v>
      </c>
      <c r="C2382" s="2" t="n">
        <v>5</v>
      </c>
      <c r="D2382" s="2" t="s">
        <v>54</v>
      </c>
      <c r="E2382" s="2" t="s">
        <v>2929</v>
      </c>
      <c r="F2382" s="2" t="n">
        <v>2.5</v>
      </c>
      <c r="G2382" s="2" t="n">
        <v>7.5</v>
      </c>
      <c r="H2382" s="2" t="s">
        <v>1700</v>
      </c>
      <c r="I2382" s="2" t="n">
        <v>2</v>
      </c>
    </row>
    <row r="2383" customFormat="false" ht="15" hidden="false" customHeight="false" outlineLevel="0" collapsed="false">
      <c r="A2383" s="2" t="s">
        <v>1501</v>
      </c>
      <c r="B2383" s="2" t="s">
        <v>409</v>
      </c>
      <c r="C2383" s="2" t="n">
        <v>50</v>
      </c>
      <c r="D2383" s="2" t="s">
        <v>54</v>
      </c>
      <c r="E2383" s="2" t="s">
        <v>3385</v>
      </c>
      <c r="F2383" s="2" t="n">
        <v>25</v>
      </c>
      <c r="G2383" s="2" t="n">
        <v>75</v>
      </c>
      <c r="H2383" s="2" t="s">
        <v>1689</v>
      </c>
      <c r="I2383" s="2" t="n">
        <v>3</v>
      </c>
    </row>
    <row r="2384" customFormat="false" ht="15" hidden="false" customHeight="false" outlineLevel="0" collapsed="false">
      <c r="A2384" s="2" t="s">
        <v>1501</v>
      </c>
      <c r="B2384" s="2" t="s">
        <v>312</v>
      </c>
      <c r="C2384" s="2" t="n">
        <v>1</v>
      </c>
      <c r="D2384" s="2" t="s">
        <v>1687</v>
      </c>
      <c r="E2384" s="2" t="s">
        <v>2875</v>
      </c>
      <c r="F2384" s="2"/>
      <c r="G2384" s="2" t="n">
        <v>2</v>
      </c>
      <c r="H2384" s="2" t="s">
        <v>1689</v>
      </c>
      <c r="I2384" s="2" t="n">
        <v>4</v>
      </c>
    </row>
    <row r="2385" customFormat="false" ht="15" hidden="false" customHeight="false" outlineLevel="0" collapsed="false">
      <c r="A2385" s="2" t="s">
        <v>1501</v>
      </c>
      <c r="B2385" s="2" t="s">
        <v>399</v>
      </c>
      <c r="C2385" s="2" t="n">
        <v>100</v>
      </c>
      <c r="D2385" s="2" t="s">
        <v>54</v>
      </c>
      <c r="E2385" s="2" t="s">
        <v>3386</v>
      </c>
      <c r="F2385" s="2" t="n">
        <v>50</v>
      </c>
      <c r="G2385" s="2" t="n">
        <v>150</v>
      </c>
      <c r="H2385" s="2" t="s">
        <v>1693</v>
      </c>
      <c r="I2385" s="2" t="n">
        <v>5</v>
      </c>
    </row>
    <row r="2386" customFormat="false" ht="15" hidden="false" customHeight="false" outlineLevel="0" collapsed="false">
      <c r="A2386" s="2" t="s">
        <v>1501</v>
      </c>
      <c r="B2386" s="2" t="s">
        <v>271</v>
      </c>
      <c r="C2386" s="2" t="n">
        <v>1</v>
      </c>
      <c r="D2386" s="2" t="s">
        <v>54</v>
      </c>
      <c r="E2386" s="2" t="s">
        <v>2692</v>
      </c>
      <c r="F2386" s="2" t="n">
        <v>0.5</v>
      </c>
      <c r="G2386" s="2" t="n">
        <v>1.5</v>
      </c>
      <c r="H2386" s="2" t="s">
        <v>1689</v>
      </c>
      <c r="I2386" s="2" t="n">
        <v>6</v>
      </c>
    </row>
    <row r="2387" customFormat="false" ht="15" hidden="false" customHeight="false" outlineLevel="0" collapsed="false">
      <c r="A2387" s="2" t="s">
        <v>1501</v>
      </c>
      <c r="B2387" s="2" t="s">
        <v>271</v>
      </c>
      <c r="C2387" s="2" t="n">
        <v>1</v>
      </c>
      <c r="D2387" s="2" t="s">
        <v>54</v>
      </c>
      <c r="E2387" s="2" t="s">
        <v>2970</v>
      </c>
      <c r="F2387" s="2" t="n">
        <v>0.5</v>
      </c>
      <c r="G2387" s="2" t="n">
        <v>1.5</v>
      </c>
      <c r="H2387" s="2" t="s">
        <v>1689</v>
      </c>
      <c r="I2387" s="2" t="n">
        <v>7</v>
      </c>
    </row>
    <row r="2388" customFormat="false" ht="15" hidden="false" customHeight="false" outlineLevel="0" collapsed="false">
      <c r="A2388" s="2" t="s">
        <v>1501</v>
      </c>
      <c r="B2388" s="2" t="s">
        <v>268</v>
      </c>
      <c r="C2388" s="2" t="n">
        <v>3</v>
      </c>
      <c r="D2388" s="2" t="s">
        <v>54</v>
      </c>
      <c r="E2388" s="2" t="s">
        <v>3387</v>
      </c>
      <c r="F2388" s="2" t="n">
        <v>1.5</v>
      </c>
      <c r="G2388" s="2" t="n">
        <v>4.5</v>
      </c>
      <c r="H2388" s="2" t="s">
        <v>1693</v>
      </c>
      <c r="I2388" s="2" t="n">
        <v>8</v>
      </c>
    </row>
    <row r="2389" customFormat="false" ht="15" hidden="false" customHeight="false" outlineLevel="0" collapsed="false">
      <c r="A2389" s="2" t="s">
        <v>1501</v>
      </c>
      <c r="B2389" s="2" t="s">
        <v>148</v>
      </c>
      <c r="C2389" s="2" t="n">
        <v>100</v>
      </c>
      <c r="D2389" s="2" t="s">
        <v>54</v>
      </c>
      <c r="E2389" s="2" t="s">
        <v>3388</v>
      </c>
      <c r="F2389" s="2" t="n">
        <v>50</v>
      </c>
      <c r="G2389" s="2" t="n">
        <v>150</v>
      </c>
      <c r="H2389" s="2" t="s">
        <v>1693</v>
      </c>
      <c r="I2389" s="2" t="n">
        <v>9</v>
      </c>
    </row>
    <row r="2390" customFormat="false" ht="15" hidden="false" customHeight="false" outlineLevel="0" collapsed="false">
      <c r="A2390" s="2" t="s">
        <v>1501</v>
      </c>
      <c r="B2390" s="2" t="s">
        <v>506</v>
      </c>
      <c r="C2390" s="2" t="n">
        <v>100</v>
      </c>
      <c r="D2390" s="2" t="s">
        <v>76</v>
      </c>
      <c r="E2390" s="2" t="s">
        <v>2627</v>
      </c>
      <c r="F2390" s="2" t="n">
        <v>50</v>
      </c>
      <c r="G2390" s="2" t="n">
        <v>150</v>
      </c>
      <c r="H2390" s="2" t="s">
        <v>1693</v>
      </c>
      <c r="I2390" s="2" t="n">
        <v>10</v>
      </c>
    </row>
    <row r="2391" customFormat="false" ht="15" hidden="false" customHeight="false" outlineLevel="0" collapsed="false">
      <c r="A2391" s="2" t="s">
        <v>1501</v>
      </c>
      <c r="B2391" s="2" t="s">
        <v>131</v>
      </c>
      <c r="C2391" s="2" t="n">
        <v>1</v>
      </c>
      <c r="D2391" s="2" t="s">
        <v>54</v>
      </c>
      <c r="E2391" s="2" t="s">
        <v>1880</v>
      </c>
      <c r="F2391" s="2" t="n">
        <v>0.5</v>
      </c>
      <c r="G2391" s="2" t="n">
        <v>1.5</v>
      </c>
      <c r="H2391" s="2" t="s">
        <v>1689</v>
      </c>
      <c r="I2391" s="2" t="n">
        <v>11</v>
      </c>
    </row>
    <row r="2392" customFormat="false" ht="15" hidden="false" customHeight="false" outlineLevel="0" collapsed="false">
      <c r="A2392" s="2" t="s">
        <v>1501</v>
      </c>
      <c r="B2392" s="2" t="s">
        <v>177</v>
      </c>
      <c r="C2392" s="2" t="n">
        <v>70</v>
      </c>
      <c r="D2392" s="2" t="s">
        <v>54</v>
      </c>
      <c r="E2392" s="2" t="s">
        <v>3389</v>
      </c>
      <c r="F2392" s="2" t="n">
        <v>35</v>
      </c>
      <c r="G2392" s="2" t="n">
        <v>105</v>
      </c>
      <c r="H2392" s="2" t="s">
        <v>1689</v>
      </c>
      <c r="I2392" s="2" t="n">
        <v>12</v>
      </c>
    </row>
    <row r="2393" customFormat="false" ht="15" hidden="false" customHeight="false" outlineLevel="0" collapsed="false">
      <c r="A2393" s="2" t="s">
        <v>1501</v>
      </c>
      <c r="B2393" s="2" t="s">
        <v>301</v>
      </c>
      <c r="C2393" s="2" t="n">
        <v>15</v>
      </c>
      <c r="D2393" s="2" t="s">
        <v>54</v>
      </c>
      <c r="E2393" s="2" t="s">
        <v>3043</v>
      </c>
      <c r="F2393" s="2" t="n">
        <v>7.5</v>
      </c>
      <c r="G2393" s="2" t="n">
        <v>22.5</v>
      </c>
      <c r="H2393" s="2" t="s">
        <v>1689</v>
      </c>
      <c r="I2393" s="2" t="n">
        <v>13</v>
      </c>
    </row>
    <row r="2394" customFormat="false" ht="15" hidden="false" customHeight="false" outlineLevel="0" collapsed="false">
      <c r="A2394" s="2" t="s">
        <v>1504</v>
      </c>
      <c r="B2394" s="2" t="s">
        <v>424</v>
      </c>
      <c r="C2394" s="2" t="n">
        <v>100</v>
      </c>
      <c r="D2394" s="2" t="s">
        <v>54</v>
      </c>
      <c r="E2394" s="2" t="s">
        <v>3390</v>
      </c>
      <c r="F2394" s="2" t="n">
        <v>50</v>
      </c>
      <c r="G2394" s="2" t="n">
        <v>150</v>
      </c>
      <c r="H2394" s="2" t="s">
        <v>1689</v>
      </c>
      <c r="I2394" s="2" t="n">
        <v>1</v>
      </c>
    </row>
    <row r="2395" customFormat="false" ht="15" hidden="false" customHeight="false" outlineLevel="0" collapsed="false">
      <c r="A2395" s="2" t="s">
        <v>1504</v>
      </c>
      <c r="B2395" s="2" t="s">
        <v>221</v>
      </c>
      <c r="C2395" s="2" t="n">
        <v>100</v>
      </c>
      <c r="D2395" s="2" t="s">
        <v>54</v>
      </c>
      <c r="E2395" s="2" t="s">
        <v>3391</v>
      </c>
      <c r="F2395" s="2" t="n">
        <v>50</v>
      </c>
      <c r="G2395" s="2" t="n">
        <v>150</v>
      </c>
      <c r="H2395" s="2" t="s">
        <v>1693</v>
      </c>
      <c r="I2395" s="2" t="n">
        <v>2</v>
      </c>
    </row>
    <row r="2396" customFormat="false" ht="15" hidden="false" customHeight="false" outlineLevel="0" collapsed="false">
      <c r="A2396" s="2" t="s">
        <v>1504</v>
      </c>
      <c r="B2396" s="2" t="s">
        <v>129</v>
      </c>
      <c r="C2396" s="2" t="n">
        <v>15</v>
      </c>
      <c r="D2396" s="2" t="s">
        <v>54</v>
      </c>
      <c r="E2396" s="2" t="s">
        <v>3118</v>
      </c>
      <c r="F2396" s="2" t="n">
        <v>7.5</v>
      </c>
      <c r="G2396" s="2" t="n">
        <v>22.5</v>
      </c>
      <c r="H2396" s="2" t="s">
        <v>1700</v>
      </c>
      <c r="I2396" s="2" t="n">
        <v>3</v>
      </c>
    </row>
    <row r="2397" customFormat="false" ht="15" hidden="false" customHeight="false" outlineLevel="0" collapsed="false">
      <c r="A2397" s="2" t="s">
        <v>1504</v>
      </c>
      <c r="B2397" s="2" t="s">
        <v>312</v>
      </c>
      <c r="C2397" s="2" t="n">
        <v>1</v>
      </c>
      <c r="D2397" s="2" t="s">
        <v>1687</v>
      </c>
      <c r="E2397" s="2" t="s">
        <v>2875</v>
      </c>
      <c r="F2397" s="2"/>
      <c r="G2397" s="2" t="n">
        <v>2</v>
      </c>
      <c r="H2397" s="2" t="s">
        <v>1689</v>
      </c>
      <c r="I2397" s="2" t="n">
        <v>4</v>
      </c>
    </row>
    <row r="2398" customFormat="false" ht="15" hidden="false" customHeight="false" outlineLevel="0" collapsed="false">
      <c r="A2398" s="2" t="s">
        <v>1504</v>
      </c>
      <c r="B2398" s="2" t="s">
        <v>420</v>
      </c>
      <c r="C2398" s="2" t="n">
        <v>15</v>
      </c>
      <c r="D2398" s="2" t="s">
        <v>54</v>
      </c>
      <c r="E2398" s="2" t="s">
        <v>3381</v>
      </c>
      <c r="F2398" s="2" t="n">
        <v>7.5</v>
      </c>
      <c r="G2398" s="2" t="n">
        <v>22.5</v>
      </c>
      <c r="H2398" s="2" t="s">
        <v>1693</v>
      </c>
      <c r="I2398" s="2" t="n">
        <v>5</v>
      </c>
    </row>
    <row r="2399" customFormat="false" ht="15" hidden="false" customHeight="false" outlineLevel="0" collapsed="false">
      <c r="A2399" s="2" t="s">
        <v>1504</v>
      </c>
      <c r="B2399" s="2" t="s">
        <v>598</v>
      </c>
      <c r="C2399" s="2" t="n">
        <v>30</v>
      </c>
      <c r="D2399" s="2" t="s">
        <v>76</v>
      </c>
      <c r="E2399" s="2" t="s">
        <v>3392</v>
      </c>
      <c r="F2399" s="2" t="n">
        <v>15</v>
      </c>
      <c r="G2399" s="2" t="n">
        <v>45</v>
      </c>
      <c r="H2399" s="2" t="s">
        <v>1700</v>
      </c>
      <c r="I2399" s="2" t="n">
        <v>6</v>
      </c>
    </row>
    <row r="2400" customFormat="false" ht="15" hidden="false" customHeight="false" outlineLevel="0" collapsed="false">
      <c r="A2400" s="2" t="s">
        <v>1504</v>
      </c>
      <c r="B2400" s="2" t="s">
        <v>131</v>
      </c>
      <c r="C2400" s="2" t="n">
        <v>1</v>
      </c>
      <c r="D2400" s="2" t="s">
        <v>54</v>
      </c>
      <c r="E2400" s="2" t="s">
        <v>1880</v>
      </c>
      <c r="F2400" s="2" t="n">
        <v>0.5</v>
      </c>
      <c r="G2400" s="2" t="n">
        <v>1.5</v>
      </c>
      <c r="H2400" s="2" t="s">
        <v>1689</v>
      </c>
      <c r="I2400" s="2" t="n">
        <v>7</v>
      </c>
    </row>
    <row r="2401" customFormat="false" ht="15" hidden="false" customHeight="false" outlineLevel="0" collapsed="false">
      <c r="A2401" s="2" t="s">
        <v>1507</v>
      </c>
      <c r="B2401" s="2" t="s">
        <v>110</v>
      </c>
      <c r="C2401" s="2" t="n">
        <v>4</v>
      </c>
      <c r="D2401" s="2" t="s">
        <v>1687</v>
      </c>
      <c r="E2401" s="2" t="s">
        <v>3393</v>
      </c>
      <c r="F2401" s="2" t="n">
        <v>3</v>
      </c>
      <c r="G2401" s="2" t="n">
        <v>5</v>
      </c>
      <c r="H2401" s="2" t="s">
        <v>1693</v>
      </c>
      <c r="I2401" s="2" t="n">
        <v>1</v>
      </c>
    </row>
    <row r="2402" customFormat="false" ht="15" hidden="false" customHeight="false" outlineLevel="0" collapsed="false">
      <c r="A2402" s="2" t="s">
        <v>1507</v>
      </c>
      <c r="B2402" s="2" t="s">
        <v>536</v>
      </c>
      <c r="C2402" s="2" t="n">
        <v>50</v>
      </c>
      <c r="D2402" s="2" t="s">
        <v>76</v>
      </c>
      <c r="E2402" s="2" t="s">
        <v>3394</v>
      </c>
      <c r="F2402" s="2" t="n">
        <v>25</v>
      </c>
      <c r="G2402" s="2" t="n">
        <v>75</v>
      </c>
      <c r="H2402" s="2" t="s">
        <v>1700</v>
      </c>
      <c r="I2402" s="2" t="n">
        <v>2</v>
      </c>
    </row>
    <row r="2403" customFormat="false" ht="15" hidden="false" customHeight="false" outlineLevel="0" collapsed="false">
      <c r="A2403" s="2" t="s">
        <v>1507</v>
      </c>
      <c r="B2403" s="2" t="s">
        <v>386</v>
      </c>
      <c r="C2403" s="2" t="n">
        <v>30</v>
      </c>
      <c r="D2403" s="2" t="s">
        <v>54</v>
      </c>
      <c r="E2403" s="2" t="s">
        <v>3395</v>
      </c>
      <c r="F2403" s="2" t="n">
        <v>15</v>
      </c>
      <c r="G2403" s="2" t="n">
        <v>45</v>
      </c>
      <c r="H2403" s="2" t="s">
        <v>1700</v>
      </c>
      <c r="I2403" s="2" t="n">
        <v>3</v>
      </c>
    </row>
    <row r="2404" customFormat="false" ht="15" hidden="false" customHeight="false" outlineLevel="0" collapsed="false">
      <c r="A2404" s="2" t="s">
        <v>1507</v>
      </c>
      <c r="B2404" s="2" t="s">
        <v>498</v>
      </c>
      <c r="C2404" s="2" t="n">
        <v>50</v>
      </c>
      <c r="D2404" s="2" t="s">
        <v>54</v>
      </c>
      <c r="E2404" s="2" t="s">
        <v>3396</v>
      </c>
      <c r="F2404" s="2" t="n">
        <v>25</v>
      </c>
      <c r="G2404" s="2" t="n">
        <v>75</v>
      </c>
      <c r="H2404" s="2" t="s">
        <v>1693</v>
      </c>
      <c r="I2404" s="2" t="n">
        <v>4</v>
      </c>
    </row>
    <row r="2405" customFormat="false" ht="15" hidden="false" customHeight="false" outlineLevel="0" collapsed="false">
      <c r="A2405" s="2" t="s">
        <v>1507</v>
      </c>
      <c r="B2405" s="2" t="s">
        <v>480</v>
      </c>
      <c r="C2405" s="2" t="n">
        <v>1</v>
      </c>
      <c r="D2405" s="2" t="s">
        <v>54</v>
      </c>
      <c r="E2405" s="2" t="s">
        <v>3235</v>
      </c>
      <c r="F2405" s="2" t="n">
        <v>0.5</v>
      </c>
      <c r="G2405" s="2" t="n">
        <v>1.5</v>
      </c>
      <c r="H2405" s="2" t="s">
        <v>1689</v>
      </c>
      <c r="I2405" s="2" t="n">
        <v>5</v>
      </c>
    </row>
    <row r="2406" customFormat="false" ht="15" hidden="false" customHeight="false" outlineLevel="0" collapsed="false">
      <c r="A2406" s="2" t="s">
        <v>1507</v>
      </c>
      <c r="B2406" s="2" t="s">
        <v>480</v>
      </c>
      <c r="C2406" s="2" t="n">
        <v>1</v>
      </c>
      <c r="D2406" s="2" t="s">
        <v>54</v>
      </c>
      <c r="E2406" s="2" t="s">
        <v>3397</v>
      </c>
      <c r="F2406" s="2" t="n">
        <v>0.5</v>
      </c>
      <c r="G2406" s="2" t="n">
        <v>1.5</v>
      </c>
      <c r="H2406" s="2" t="s">
        <v>1689</v>
      </c>
      <c r="I2406" s="2" t="n">
        <v>6</v>
      </c>
    </row>
    <row r="2407" customFormat="false" ht="15" hidden="false" customHeight="false" outlineLevel="0" collapsed="false">
      <c r="A2407" s="2" t="s">
        <v>1507</v>
      </c>
      <c r="B2407" s="2" t="s">
        <v>271</v>
      </c>
      <c r="C2407" s="2" t="n">
        <v>1</v>
      </c>
      <c r="D2407" s="2" t="s">
        <v>54</v>
      </c>
      <c r="E2407" s="2" t="s">
        <v>3018</v>
      </c>
      <c r="F2407" s="2" t="n">
        <v>0.5</v>
      </c>
      <c r="G2407" s="2" t="n">
        <v>1.5</v>
      </c>
      <c r="H2407" s="2" t="s">
        <v>1689</v>
      </c>
      <c r="I2407" s="2" t="n">
        <v>7</v>
      </c>
    </row>
    <row r="2408" customFormat="false" ht="15" hidden="false" customHeight="false" outlineLevel="0" collapsed="false">
      <c r="A2408" s="2" t="s">
        <v>1507</v>
      </c>
      <c r="B2408" s="2" t="s">
        <v>129</v>
      </c>
      <c r="C2408" s="2" t="n">
        <v>2</v>
      </c>
      <c r="D2408" s="2" t="s">
        <v>54</v>
      </c>
      <c r="E2408" s="2" t="s">
        <v>3398</v>
      </c>
      <c r="F2408" s="2" t="n">
        <v>1</v>
      </c>
      <c r="G2408" s="2" t="n">
        <v>3</v>
      </c>
      <c r="H2408" s="2" t="s">
        <v>1700</v>
      </c>
      <c r="I2408" s="2" t="n">
        <v>8</v>
      </c>
    </row>
    <row r="2409" customFormat="false" ht="15" hidden="false" customHeight="false" outlineLevel="0" collapsed="false">
      <c r="A2409" s="2" t="s">
        <v>1510</v>
      </c>
      <c r="B2409" s="2" t="s">
        <v>552</v>
      </c>
      <c r="C2409" s="2" t="n">
        <v>150</v>
      </c>
      <c r="D2409" s="2" t="s">
        <v>54</v>
      </c>
      <c r="E2409" s="2" t="s">
        <v>3399</v>
      </c>
      <c r="F2409" s="2" t="n">
        <v>75</v>
      </c>
      <c r="G2409" s="2" t="n">
        <v>225</v>
      </c>
      <c r="H2409" s="2" t="s">
        <v>1693</v>
      </c>
      <c r="I2409" s="2" t="n">
        <v>1</v>
      </c>
    </row>
    <row r="2410" customFormat="false" ht="15" hidden="false" customHeight="false" outlineLevel="0" collapsed="false">
      <c r="A2410" s="2" t="s">
        <v>1510</v>
      </c>
      <c r="B2410" s="2" t="s">
        <v>129</v>
      </c>
      <c r="C2410" s="2" t="n">
        <v>5</v>
      </c>
      <c r="D2410" s="2" t="s">
        <v>54</v>
      </c>
      <c r="E2410" s="2" t="s">
        <v>2929</v>
      </c>
      <c r="F2410" s="2" t="n">
        <v>2.5</v>
      </c>
      <c r="G2410" s="2" t="n">
        <v>7.5</v>
      </c>
      <c r="H2410" s="2" t="s">
        <v>1700</v>
      </c>
      <c r="I2410" s="2" t="n">
        <v>2</v>
      </c>
    </row>
    <row r="2411" customFormat="false" ht="15" hidden="false" customHeight="false" outlineLevel="0" collapsed="false">
      <c r="A2411" s="2" t="s">
        <v>1510</v>
      </c>
      <c r="B2411" s="2" t="s">
        <v>458</v>
      </c>
      <c r="C2411" s="2" t="n">
        <v>40</v>
      </c>
      <c r="D2411" s="2" t="s">
        <v>54</v>
      </c>
      <c r="E2411" s="2" t="s">
        <v>3400</v>
      </c>
      <c r="F2411" s="2" t="n">
        <v>20</v>
      </c>
      <c r="G2411" s="2" t="n">
        <v>60</v>
      </c>
      <c r="H2411" s="2" t="s">
        <v>1689</v>
      </c>
      <c r="I2411" s="2" t="n">
        <v>3</v>
      </c>
    </row>
    <row r="2412" customFormat="false" ht="15" hidden="false" customHeight="false" outlineLevel="0" collapsed="false">
      <c r="A2412" s="2" t="s">
        <v>1510</v>
      </c>
      <c r="B2412" s="2" t="s">
        <v>454</v>
      </c>
      <c r="C2412" s="2" t="n">
        <v>75</v>
      </c>
      <c r="D2412" s="2" t="s">
        <v>54</v>
      </c>
      <c r="E2412" s="2" t="s">
        <v>3401</v>
      </c>
      <c r="F2412" s="2" t="n">
        <v>37.5</v>
      </c>
      <c r="G2412" s="2" t="n">
        <v>112.5</v>
      </c>
      <c r="H2412" s="2" t="s">
        <v>1689</v>
      </c>
      <c r="I2412" s="2" t="n">
        <v>4</v>
      </c>
    </row>
    <row r="2413" customFormat="false" ht="15" hidden="false" customHeight="false" outlineLevel="0" collapsed="false">
      <c r="A2413" s="2" t="s">
        <v>1510</v>
      </c>
      <c r="B2413" s="2" t="s">
        <v>454</v>
      </c>
      <c r="C2413" s="2" t="n">
        <v>75</v>
      </c>
      <c r="D2413" s="2" t="s">
        <v>54</v>
      </c>
      <c r="E2413" s="2" t="s">
        <v>3402</v>
      </c>
      <c r="F2413" s="2" t="n">
        <v>37.5</v>
      </c>
      <c r="G2413" s="2" t="n">
        <v>112.5</v>
      </c>
      <c r="H2413" s="2" t="s">
        <v>1689</v>
      </c>
      <c r="I2413" s="2" t="n">
        <v>5</v>
      </c>
    </row>
    <row r="2414" customFormat="false" ht="15" hidden="false" customHeight="false" outlineLevel="0" collapsed="false">
      <c r="A2414" s="2" t="s">
        <v>1510</v>
      </c>
      <c r="B2414" s="2" t="s">
        <v>251</v>
      </c>
      <c r="C2414" s="2" t="n">
        <v>75</v>
      </c>
      <c r="D2414" s="2" t="s">
        <v>54</v>
      </c>
      <c r="E2414" s="2" t="s">
        <v>3403</v>
      </c>
      <c r="F2414" s="2" t="n">
        <v>37.5</v>
      </c>
      <c r="G2414" s="2" t="n">
        <v>112.5</v>
      </c>
      <c r="H2414" s="2" t="s">
        <v>1689</v>
      </c>
      <c r="I2414" s="2" t="n">
        <v>6</v>
      </c>
    </row>
    <row r="2415" customFormat="false" ht="15" hidden="false" customHeight="false" outlineLevel="0" collapsed="false">
      <c r="A2415" s="2" t="s">
        <v>1510</v>
      </c>
      <c r="B2415" s="2" t="s">
        <v>271</v>
      </c>
      <c r="C2415" s="2" t="n">
        <v>1</v>
      </c>
      <c r="D2415" s="2" t="s">
        <v>54</v>
      </c>
      <c r="E2415" s="2" t="s">
        <v>2708</v>
      </c>
      <c r="F2415" s="2" t="n">
        <v>0.5</v>
      </c>
      <c r="G2415" s="2" t="n">
        <v>1.5</v>
      </c>
      <c r="H2415" s="2" t="s">
        <v>1689</v>
      </c>
      <c r="I2415" s="2" t="n">
        <v>7</v>
      </c>
    </row>
    <row r="2416" customFormat="false" ht="15" hidden="false" customHeight="false" outlineLevel="0" collapsed="false">
      <c r="A2416" s="2" t="s">
        <v>1510</v>
      </c>
      <c r="B2416" s="2" t="s">
        <v>271</v>
      </c>
      <c r="C2416" s="2" t="n">
        <v>1</v>
      </c>
      <c r="D2416" s="2" t="s">
        <v>54</v>
      </c>
      <c r="E2416" s="2" t="s">
        <v>3404</v>
      </c>
      <c r="F2416" s="2" t="n">
        <v>0.5</v>
      </c>
      <c r="G2416" s="2" t="n">
        <v>1.5</v>
      </c>
      <c r="H2416" s="2" t="s">
        <v>1689</v>
      </c>
      <c r="I2416" s="2" t="n">
        <v>8</v>
      </c>
    </row>
    <row r="2417" customFormat="false" ht="15" hidden="false" customHeight="false" outlineLevel="0" collapsed="false">
      <c r="A2417" s="2" t="s">
        <v>1510</v>
      </c>
      <c r="B2417" s="2" t="s">
        <v>271</v>
      </c>
      <c r="C2417" s="2" t="n">
        <v>1</v>
      </c>
      <c r="D2417" s="2" t="s">
        <v>54</v>
      </c>
      <c r="E2417" s="2" t="s">
        <v>2692</v>
      </c>
      <c r="F2417" s="2" t="n">
        <v>0.5</v>
      </c>
      <c r="G2417" s="2" t="n">
        <v>1.5</v>
      </c>
      <c r="H2417" s="2" t="s">
        <v>1689</v>
      </c>
      <c r="I2417" s="2" t="n">
        <v>9</v>
      </c>
    </row>
    <row r="2418" customFormat="false" ht="15" hidden="false" customHeight="false" outlineLevel="0" collapsed="false">
      <c r="A2418" s="2" t="s">
        <v>1510</v>
      </c>
      <c r="B2418" s="2" t="s">
        <v>367</v>
      </c>
      <c r="C2418" s="2" t="n">
        <v>1</v>
      </c>
      <c r="D2418" s="2" t="s">
        <v>76</v>
      </c>
      <c r="E2418" s="2" t="s">
        <v>3405</v>
      </c>
      <c r="F2418" s="2"/>
      <c r="G2418" s="2" t="n">
        <v>2</v>
      </c>
      <c r="H2418" s="2" t="s">
        <v>1689</v>
      </c>
      <c r="I2418" s="2" t="n">
        <v>10</v>
      </c>
    </row>
    <row r="2419" customFormat="false" ht="15" hidden="false" customHeight="false" outlineLevel="0" collapsed="false">
      <c r="A2419" s="2" t="s">
        <v>1510</v>
      </c>
      <c r="B2419" s="2" t="s">
        <v>422</v>
      </c>
      <c r="C2419" s="2" t="n">
        <v>200</v>
      </c>
      <c r="D2419" s="2" t="s">
        <v>54</v>
      </c>
      <c r="E2419" s="2" t="s">
        <v>3406</v>
      </c>
      <c r="F2419" s="2" t="n">
        <v>100</v>
      </c>
      <c r="G2419" s="2" t="n">
        <v>300</v>
      </c>
      <c r="H2419" s="2" t="s">
        <v>1689</v>
      </c>
      <c r="I2419" s="2" t="n">
        <v>11</v>
      </c>
    </row>
    <row r="2420" customFormat="false" ht="15" hidden="false" customHeight="false" outlineLevel="0" collapsed="false">
      <c r="A2420" s="2" t="s">
        <v>1510</v>
      </c>
      <c r="B2420" s="2" t="s">
        <v>312</v>
      </c>
      <c r="C2420" s="2" t="n">
        <v>1</v>
      </c>
      <c r="D2420" s="2" t="s">
        <v>1687</v>
      </c>
      <c r="E2420" s="2" t="s">
        <v>2875</v>
      </c>
      <c r="F2420" s="2"/>
      <c r="G2420" s="2" t="n">
        <v>2</v>
      </c>
      <c r="H2420" s="2" t="s">
        <v>1689</v>
      </c>
      <c r="I2420" s="2" t="n">
        <v>12</v>
      </c>
    </row>
    <row r="2421" customFormat="false" ht="15" hidden="false" customHeight="false" outlineLevel="0" collapsed="false">
      <c r="A2421" s="2" t="s">
        <v>1510</v>
      </c>
      <c r="B2421" s="2" t="s">
        <v>170</v>
      </c>
      <c r="C2421" s="2" t="n">
        <v>3</v>
      </c>
      <c r="D2421" s="2" t="s">
        <v>76</v>
      </c>
      <c r="E2421" s="2" t="s">
        <v>3407</v>
      </c>
      <c r="F2421" s="2" t="n">
        <v>1.5</v>
      </c>
      <c r="G2421" s="2" t="n">
        <v>4.5</v>
      </c>
      <c r="H2421" s="2" t="s">
        <v>1689</v>
      </c>
      <c r="I2421" s="2" t="n">
        <v>13</v>
      </c>
    </row>
    <row r="2422" customFormat="false" ht="15" hidden="false" customHeight="false" outlineLevel="0" collapsed="false">
      <c r="A2422" s="2" t="s">
        <v>1510</v>
      </c>
      <c r="B2422" s="2" t="s">
        <v>271</v>
      </c>
      <c r="C2422" s="2" t="n">
        <v>1</v>
      </c>
      <c r="D2422" s="2" t="s">
        <v>54</v>
      </c>
      <c r="E2422" s="2" t="s">
        <v>2957</v>
      </c>
      <c r="F2422" s="2" t="n">
        <v>0.5</v>
      </c>
      <c r="G2422" s="2" t="n">
        <v>1.5</v>
      </c>
      <c r="H2422" s="2" t="s">
        <v>1689</v>
      </c>
      <c r="I2422" s="2" t="n">
        <v>14</v>
      </c>
    </row>
    <row r="2423" customFormat="false" ht="15" hidden="false" customHeight="false" outlineLevel="0" collapsed="false">
      <c r="A2423" s="2" t="s">
        <v>1510</v>
      </c>
      <c r="B2423" s="2" t="s">
        <v>514</v>
      </c>
      <c r="C2423" s="2" t="n">
        <v>110</v>
      </c>
      <c r="D2423" s="2" t="s">
        <v>54</v>
      </c>
      <c r="E2423" s="2" t="s">
        <v>3408</v>
      </c>
      <c r="F2423" s="2" t="n">
        <v>55</v>
      </c>
      <c r="G2423" s="2" t="n">
        <v>165</v>
      </c>
      <c r="H2423" s="2" t="s">
        <v>1689</v>
      </c>
      <c r="I2423" s="2" t="n">
        <v>15</v>
      </c>
    </row>
    <row r="2424" customFormat="false" ht="15" hidden="false" customHeight="false" outlineLevel="0" collapsed="false">
      <c r="A2424" s="2" t="s">
        <v>1510</v>
      </c>
      <c r="B2424" s="2" t="s">
        <v>131</v>
      </c>
      <c r="C2424" s="2" t="n">
        <v>1</v>
      </c>
      <c r="D2424" s="2" t="s">
        <v>54</v>
      </c>
      <c r="E2424" s="2" t="s">
        <v>1880</v>
      </c>
      <c r="F2424" s="2" t="n">
        <v>0.5</v>
      </c>
      <c r="G2424" s="2" t="n">
        <v>1.5</v>
      </c>
      <c r="H2424" s="2" t="s">
        <v>1689</v>
      </c>
      <c r="I2424" s="2" t="n">
        <v>16</v>
      </c>
    </row>
    <row r="2425" customFormat="false" ht="15" hidden="false" customHeight="false" outlineLevel="0" collapsed="false">
      <c r="A2425" s="2" t="s">
        <v>1513</v>
      </c>
      <c r="B2425" s="2" t="s">
        <v>577</v>
      </c>
      <c r="C2425" s="2" t="n">
        <v>150</v>
      </c>
      <c r="D2425" s="2" t="s">
        <v>54</v>
      </c>
      <c r="E2425" s="2" t="s">
        <v>3409</v>
      </c>
      <c r="F2425" s="2" t="n">
        <v>75</v>
      </c>
      <c r="G2425" s="2" t="n">
        <v>225</v>
      </c>
      <c r="H2425" s="2" t="s">
        <v>1693</v>
      </c>
      <c r="I2425" s="2" t="n">
        <v>1</v>
      </c>
    </row>
    <row r="2426" customFormat="false" ht="15" hidden="false" customHeight="false" outlineLevel="0" collapsed="false">
      <c r="A2426" s="2" t="s">
        <v>1513</v>
      </c>
      <c r="B2426" s="2" t="s">
        <v>129</v>
      </c>
      <c r="C2426" s="2" t="n">
        <v>5</v>
      </c>
      <c r="D2426" s="2" t="s">
        <v>54</v>
      </c>
      <c r="E2426" s="2" t="s">
        <v>3134</v>
      </c>
      <c r="F2426" s="2" t="n">
        <v>2.5</v>
      </c>
      <c r="G2426" s="2" t="n">
        <v>7.5</v>
      </c>
      <c r="H2426" s="2" t="s">
        <v>1700</v>
      </c>
      <c r="I2426" s="2" t="n">
        <v>2</v>
      </c>
    </row>
    <row r="2427" customFormat="false" ht="15" hidden="false" customHeight="false" outlineLevel="0" collapsed="false">
      <c r="A2427" s="2" t="s">
        <v>1513</v>
      </c>
      <c r="B2427" s="2" t="s">
        <v>367</v>
      </c>
      <c r="C2427" s="2" t="n">
        <v>2</v>
      </c>
      <c r="D2427" s="2" t="s">
        <v>76</v>
      </c>
      <c r="E2427" s="2" t="s">
        <v>2505</v>
      </c>
      <c r="F2427" s="2" t="n">
        <v>1</v>
      </c>
      <c r="G2427" s="2" t="n">
        <v>3</v>
      </c>
      <c r="H2427" s="2" t="s">
        <v>1689</v>
      </c>
      <c r="I2427" s="2" t="n">
        <v>3</v>
      </c>
    </row>
    <row r="2428" customFormat="false" ht="15" hidden="false" customHeight="false" outlineLevel="0" collapsed="false">
      <c r="A2428" s="2" t="s">
        <v>1513</v>
      </c>
      <c r="B2428" s="2" t="s">
        <v>394</v>
      </c>
      <c r="C2428" s="2" t="n">
        <v>60</v>
      </c>
      <c r="D2428" s="2" t="s">
        <v>54</v>
      </c>
      <c r="E2428" s="2" t="s">
        <v>3410</v>
      </c>
      <c r="F2428" s="2" t="n">
        <v>30</v>
      </c>
      <c r="G2428" s="2" t="n">
        <v>90</v>
      </c>
      <c r="H2428" s="2" t="s">
        <v>1689</v>
      </c>
      <c r="I2428" s="2" t="n">
        <v>4</v>
      </c>
    </row>
    <row r="2429" customFormat="false" ht="15" hidden="false" customHeight="false" outlineLevel="0" collapsed="false">
      <c r="A2429" s="2" t="s">
        <v>1513</v>
      </c>
      <c r="B2429" s="2" t="s">
        <v>117</v>
      </c>
      <c r="C2429" s="2" t="n">
        <v>0.5</v>
      </c>
      <c r="D2429" s="2" t="s">
        <v>1687</v>
      </c>
      <c r="E2429" s="2" t="s">
        <v>3411</v>
      </c>
      <c r="F2429" s="2"/>
      <c r="G2429" s="2" t="n">
        <v>1.5</v>
      </c>
      <c r="H2429" s="2" t="s">
        <v>1700</v>
      </c>
      <c r="I2429" s="2" t="n">
        <v>5</v>
      </c>
    </row>
    <row r="2430" customFormat="false" ht="15" hidden="false" customHeight="false" outlineLevel="0" collapsed="false">
      <c r="A2430" s="2" t="s">
        <v>1513</v>
      </c>
      <c r="B2430" s="2" t="s">
        <v>454</v>
      </c>
      <c r="C2430" s="2" t="n">
        <v>30</v>
      </c>
      <c r="D2430" s="2" t="s">
        <v>54</v>
      </c>
      <c r="E2430" s="2" t="s">
        <v>3412</v>
      </c>
      <c r="F2430" s="2" t="n">
        <v>15</v>
      </c>
      <c r="G2430" s="2" t="n">
        <v>45</v>
      </c>
      <c r="H2430" s="2" t="s">
        <v>1689</v>
      </c>
      <c r="I2430" s="2" t="n">
        <v>6</v>
      </c>
    </row>
    <row r="2431" customFormat="false" ht="15" hidden="false" customHeight="false" outlineLevel="0" collapsed="false">
      <c r="A2431" s="2" t="s">
        <v>1513</v>
      </c>
      <c r="B2431" s="2" t="s">
        <v>260</v>
      </c>
      <c r="C2431" s="2" t="n">
        <v>30</v>
      </c>
      <c r="D2431" s="2" t="s">
        <v>54</v>
      </c>
      <c r="E2431" s="2" t="s">
        <v>3413</v>
      </c>
      <c r="F2431" s="2" t="n">
        <v>15</v>
      </c>
      <c r="G2431" s="2" t="n">
        <v>45</v>
      </c>
      <c r="H2431" s="2" t="s">
        <v>1689</v>
      </c>
      <c r="I2431" s="2" t="n">
        <v>7</v>
      </c>
    </row>
    <row r="2432" customFormat="false" ht="15" hidden="false" customHeight="false" outlineLevel="0" collapsed="false">
      <c r="A2432" s="2" t="s">
        <v>1513</v>
      </c>
      <c r="B2432" s="2" t="s">
        <v>458</v>
      </c>
      <c r="C2432" s="2" t="n">
        <v>15</v>
      </c>
      <c r="D2432" s="2" t="s">
        <v>54</v>
      </c>
      <c r="E2432" s="2" t="s">
        <v>3414</v>
      </c>
      <c r="F2432" s="2" t="n">
        <v>7.5</v>
      </c>
      <c r="G2432" s="2" t="n">
        <v>22.5</v>
      </c>
      <c r="H2432" s="2" t="s">
        <v>1689</v>
      </c>
      <c r="I2432" s="2" t="n">
        <v>8</v>
      </c>
    </row>
    <row r="2433" customFormat="false" ht="15" hidden="false" customHeight="false" outlineLevel="0" collapsed="false">
      <c r="A2433" s="2" t="s">
        <v>1513</v>
      </c>
      <c r="B2433" s="2" t="s">
        <v>299</v>
      </c>
      <c r="C2433" s="2" t="n">
        <v>2</v>
      </c>
      <c r="D2433" s="2" t="s">
        <v>54</v>
      </c>
      <c r="E2433" s="2" t="s">
        <v>2968</v>
      </c>
      <c r="F2433" s="2" t="n">
        <v>1</v>
      </c>
      <c r="G2433" s="2" t="n">
        <v>3</v>
      </c>
      <c r="H2433" s="2" t="s">
        <v>1689</v>
      </c>
      <c r="I2433" s="2" t="n">
        <v>9</v>
      </c>
    </row>
    <row r="2434" customFormat="false" ht="15" hidden="false" customHeight="false" outlineLevel="0" collapsed="false">
      <c r="A2434" s="2" t="s">
        <v>1513</v>
      </c>
      <c r="B2434" s="2" t="s">
        <v>271</v>
      </c>
      <c r="C2434" s="2" t="n">
        <v>1</v>
      </c>
      <c r="D2434" s="2" t="s">
        <v>54</v>
      </c>
      <c r="E2434" s="2" t="s">
        <v>3415</v>
      </c>
      <c r="F2434" s="2" t="n">
        <v>0.5</v>
      </c>
      <c r="G2434" s="2" t="n">
        <v>1.5</v>
      </c>
      <c r="H2434" s="2" t="s">
        <v>1689</v>
      </c>
      <c r="I2434" s="2" t="n">
        <v>10</v>
      </c>
    </row>
    <row r="2435" customFormat="false" ht="15" hidden="false" customHeight="false" outlineLevel="0" collapsed="false">
      <c r="A2435" s="2" t="s">
        <v>1513</v>
      </c>
      <c r="B2435" s="2" t="s">
        <v>232</v>
      </c>
      <c r="C2435" s="2" t="n">
        <v>5</v>
      </c>
      <c r="D2435" s="2" t="s">
        <v>76</v>
      </c>
      <c r="E2435" s="2" t="s">
        <v>3416</v>
      </c>
      <c r="F2435" s="2" t="n">
        <v>2.5</v>
      </c>
      <c r="G2435" s="2" t="n">
        <v>7.5</v>
      </c>
      <c r="H2435" s="2" t="s">
        <v>1689</v>
      </c>
      <c r="I2435" s="2" t="n">
        <v>11</v>
      </c>
    </row>
    <row r="2436" customFormat="false" ht="15" hidden="false" customHeight="false" outlineLevel="0" collapsed="false">
      <c r="A2436" s="2" t="s">
        <v>1513</v>
      </c>
      <c r="B2436" s="2" t="s">
        <v>129</v>
      </c>
      <c r="C2436" s="2" t="n">
        <v>5</v>
      </c>
      <c r="D2436" s="2" t="s">
        <v>54</v>
      </c>
      <c r="E2436" s="2" t="s">
        <v>3417</v>
      </c>
      <c r="F2436" s="2" t="n">
        <v>2.5</v>
      </c>
      <c r="G2436" s="2" t="n">
        <v>7.5</v>
      </c>
      <c r="H2436" s="2" t="s">
        <v>1700</v>
      </c>
      <c r="I2436" s="2" t="n">
        <v>12</v>
      </c>
    </row>
    <row r="2437" customFormat="false" ht="15" hidden="false" customHeight="false" outlineLevel="0" collapsed="false">
      <c r="A2437" s="2" t="s">
        <v>1513</v>
      </c>
      <c r="B2437" s="2" t="s">
        <v>131</v>
      </c>
      <c r="C2437" s="2" t="n">
        <v>1</v>
      </c>
      <c r="D2437" s="2" t="s">
        <v>54</v>
      </c>
      <c r="E2437" s="2" t="s">
        <v>1880</v>
      </c>
      <c r="F2437" s="2" t="n">
        <v>0.5</v>
      </c>
      <c r="G2437" s="2" t="n">
        <v>1.5</v>
      </c>
      <c r="H2437" s="2" t="s">
        <v>1689</v>
      </c>
      <c r="I2437" s="2" t="n">
        <v>13</v>
      </c>
    </row>
    <row r="2438" customFormat="false" ht="15" hidden="false" customHeight="false" outlineLevel="0" collapsed="false">
      <c r="A2438" s="2" t="s">
        <v>1516</v>
      </c>
      <c r="B2438" s="2" t="s">
        <v>446</v>
      </c>
      <c r="C2438" s="2" t="n">
        <v>300</v>
      </c>
      <c r="D2438" s="2" t="s">
        <v>54</v>
      </c>
      <c r="E2438" s="2" t="s">
        <v>3418</v>
      </c>
      <c r="F2438" s="2" t="n">
        <v>150</v>
      </c>
      <c r="G2438" s="2" t="n">
        <v>450</v>
      </c>
      <c r="H2438" s="2" t="s">
        <v>1689</v>
      </c>
      <c r="I2438" s="2" t="n">
        <v>1</v>
      </c>
    </row>
    <row r="2439" customFormat="false" ht="15" hidden="false" customHeight="false" outlineLevel="0" collapsed="false">
      <c r="A2439" s="2" t="s">
        <v>1516</v>
      </c>
      <c r="B2439" s="2" t="s">
        <v>129</v>
      </c>
      <c r="C2439" s="2" t="n">
        <v>15</v>
      </c>
      <c r="D2439" s="2" t="s">
        <v>54</v>
      </c>
      <c r="E2439" s="2" t="s">
        <v>3419</v>
      </c>
      <c r="F2439" s="2" t="n">
        <v>7.5</v>
      </c>
      <c r="G2439" s="2" t="n">
        <v>22.5</v>
      </c>
      <c r="H2439" s="2" t="s">
        <v>1700</v>
      </c>
      <c r="I2439" s="2" t="n">
        <v>2</v>
      </c>
    </row>
    <row r="2440" customFormat="false" ht="15" hidden="false" customHeight="false" outlineLevel="0" collapsed="false">
      <c r="A2440" s="2" t="s">
        <v>1516</v>
      </c>
      <c r="B2440" s="2" t="s">
        <v>271</v>
      </c>
      <c r="C2440" s="2" t="n">
        <v>1</v>
      </c>
      <c r="D2440" s="2" t="s">
        <v>54</v>
      </c>
      <c r="E2440" s="2" t="s">
        <v>2974</v>
      </c>
      <c r="F2440" s="2" t="n">
        <v>0.5</v>
      </c>
      <c r="G2440" s="2" t="n">
        <v>1.5</v>
      </c>
      <c r="H2440" s="2" t="s">
        <v>1689</v>
      </c>
      <c r="I2440" s="2" t="n">
        <v>3</v>
      </c>
    </row>
    <row r="2441" customFormat="false" ht="15" hidden="false" customHeight="false" outlineLevel="0" collapsed="false">
      <c r="A2441" s="2" t="s">
        <v>1516</v>
      </c>
      <c r="B2441" s="2" t="s">
        <v>271</v>
      </c>
      <c r="C2441" s="2" t="n">
        <v>1</v>
      </c>
      <c r="D2441" s="2" t="s">
        <v>54</v>
      </c>
      <c r="E2441" s="2" t="s">
        <v>2977</v>
      </c>
      <c r="F2441" s="2" t="n">
        <v>0.5</v>
      </c>
      <c r="G2441" s="2" t="n">
        <v>1.5</v>
      </c>
      <c r="H2441" s="2" t="s">
        <v>1689</v>
      </c>
      <c r="I2441" s="2" t="n">
        <v>4</v>
      </c>
    </row>
    <row r="2442" customFormat="false" ht="15" hidden="false" customHeight="false" outlineLevel="0" collapsed="false">
      <c r="A2442" s="2" t="s">
        <v>1516</v>
      </c>
      <c r="B2442" s="2" t="s">
        <v>131</v>
      </c>
      <c r="C2442" s="2" t="n">
        <v>1</v>
      </c>
      <c r="D2442" s="2" t="s">
        <v>54</v>
      </c>
      <c r="E2442" s="2" t="s">
        <v>3420</v>
      </c>
      <c r="F2442" s="2" t="n">
        <v>0.5</v>
      </c>
      <c r="G2442" s="2" t="n">
        <v>1.5</v>
      </c>
      <c r="H2442" s="2" t="s">
        <v>1689</v>
      </c>
      <c r="I2442" s="2" t="n">
        <v>5</v>
      </c>
    </row>
    <row r="2443" customFormat="false" ht="15" hidden="false" customHeight="false" outlineLevel="0" collapsed="false">
      <c r="A2443" s="2" t="s">
        <v>1516</v>
      </c>
      <c r="B2443" s="2" t="s">
        <v>476</v>
      </c>
      <c r="C2443" s="2" t="n">
        <v>135</v>
      </c>
      <c r="D2443" s="2" t="s">
        <v>54</v>
      </c>
      <c r="E2443" s="2" t="s">
        <v>3421</v>
      </c>
      <c r="F2443" s="2" t="n">
        <v>67.5</v>
      </c>
      <c r="G2443" s="2" t="n">
        <v>202.5</v>
      </c>
      <c r="H2443" s="2" t="s">
        <v>1693</v>
      </c>
      <c r="I2443" s="2" t="n">
        <v>6</v>
      </c>
    </row>
    <row r="2444" customFormat="false" ht="15" hidden="false" customHeight="false" outlineLevel="0" collapsed="false">
      <c r="A2444" s="2" t="s">
        <v>1516</v>
      </c>
      <c r="B2444" s="2" t="s">
        <v>299</v>
      </c>
      <c r="C2444" s="2" t="n">
        <v>8</v>
      </c>
      <c r="D2444" s="2" t="s">
        <v>54</v>
      </c>
      <c r="E2444" s="2" t="s">
        <v>3422</v>
      </c>
      <c r="F2444" s="2" t="n">
        <v>7</v>
      </c>
      <c r="G2444" s="2" t="n">
        <v>9</v>
      </c>
      <c r="H2444" s="2" t="s">
        <v>1689</v>
      </c>
      <c r="I2444" s="2" t="n">
        <v>7</v>
      </c>
    </row>
    <row r="2445" customFormat="false" ht="15" hidden="false" customHeight="false" outlineLevel="0" collapsed="false">
      <c r="A2445" s="2" t="s">
        <v>1516</v>
      </c>
      <c r="B2445" s="2" t="s">
        <v>312</v>
      </c>
      <c r="C2445" s="2" t="n">
        <v>2</v>
      </c>
      <c r="D2445" s="2" t="s">
        <v>1687</v>
      </c>
      <c r="E2445" s="2" t="s">
        <v>3353</v>
      </c>
      <c r="F2445" s="2" t="n">
        <v>1</v>
      </c>
      <c r="G2445" s="2" t="n">
        <v>3</v>
      </c>
      <c r="H2445" s="2" t="s">
        <v>1689</v>
      </c>
      <c r="I2445" s="2" t="n">
        <v>8</v>
      </c>
    </row>
    <row r="2446" customFormat="false" ht="15" hidden="false" customHeight="false" outlineLevel="0" collapsed="false">
      <c r="A2446" s="2" t="s">
        <v>1516</v>
      </c>
      <c r="B2446" s="2" t="s">
        <v>496</v>
      </c>
      <c r="C2446" s="2" t="n">
        <v>15</v>
      </c>
      <c r="D2446" s="2" t="s">
        <v>76</v>
      </c>
      <c r="E2446" s="2" t="s">
        <v>3344</v>
      </c>
      <c r="F2446" s="2" t="n">
        <v>7.5</v>
      </c>
      <c r="G2446" s="2" t="n">
        <v>22.5</v>
      </c>
      <c r="H2446" s="2" t="s">
        <v>1693</v>
      </c>
      <c r="I2446" s="2" t="n">
        <v>9</v>
      </c>
    </row>
    <row r="2447" customFormat="false" ht="15" hidden="false" customHeight="false" outlineLevel="0" collapsed="false">
      <c r="A2447" s="2" t="s">
        <v>1516</v>
      </c>
      <c r="B2447" s="2" t="s">
        <v>91</v>
      </c>
      <c r="C2447" s="2" t="n">
        <v>5</v>
      </c>
      <c r="D2447" s="2" t="s">
        <v>54</v>
      </c>
      <c r="E2447" s="2" t="s">
        <v>2825</v>
      </c>
      <c r="F2447" s="2" t="n">
        <v>2.5</v>
      </c>
      <c r="G2447" s="2" t="n">
        <v>7.5</v>
      </c>
      <c r="H2447" s="2" t="s">
        <v>1689</v>
      </c>
      <c r="I2447" s="2" t="n">
        <v>10</v>
      </c>
    </row>
    <row r="2448" customFormat="false" ht="15" hidden="false" customHeight="false" outlineLevel="0" collapsed="false">
      <c r="A2448" s="2" t="s">
        <v>1516</v>
      </c>
      <c r="B2448" s="2" t="s">
        <v>367</v>
      </c>
      <c r="C2448" s="2" t="n">
        <v>3</v>
      </c>
      <c r="D2448" s="2" t="s">
        <v>76</v>
      </c>
      <c r="E2448" s="2" t="s">
        <v>3276</v>
      </c>
      <c r="F2448" s="2" t="n">
        <v>2</v>
      </c>
      <c r="G2448" s="2" t="n">
        <v>4</v>
      </c>
      <c r="H2448" s="2" t="s">
        <v>1689</v>
      </c>
      <c r="I2448" s="2" t="n">
        <v>11</v>
      </c>
    </row>
    <row r="2449" customFormat="false" ht="15" hidden="false" customHeight="false" outlineLevel="0" collapsed="false">
      <c r="A2449" s="2" t="s">
        <v>1516</v>
      </c>
      <c r="B2449" s="2" t="s">
        <v>129</v>
      </c>
      <c r="C2449" s="2" t="n">
        <v>7.5</v>
      </c>
      <c r="D2449" s="2" t="s">
        <v>54</v>
      </c>
      <c r="E2449" s="2" t="s">
        <v>3423</v>
      </c>
      <c r="F2449" s="2" t="n">
        <v>3.75</v>
      </c>
      <c r="G2449" s="2" t="n">
        <v>11.25</v>
      </c>
      <c r="H2449" s="2" t="s">
        <v>1700</v>
      </c>
      <c r="I2449" s="2" t="n">
        <v>12</v>
      </c>
    </row>
    <row r="2450" customFormat="false" ht="15" hidden="false" customHeight="false" outlineLevel="0" collapsed="false">
      <c r="A2450" s="2" t="s">
        <v>1516</v>
      </c>
      <c r="B2450" s="2" t="s">
        <v>488</v>
      </c>
      <c r="C2450" s="2" t="n">
        <v>1</v>
      </c>
      <c r="D2450" s="2" t="s">
        <v>54</v>
      </c>
      <c r="E2450" s="2" t="s">
        <v>3424</v>
      </c>
      <c r="F2450" s="2" t="n">
        <v>0.5</v>
      </c>
      <c r="G2450" s="2" t="n">
        <v>1.5</v>
      </c>
      <c r="H2450" s="2" t="s">
        <v>1700</v>
      </c>
      <c r="I2450" s="2" t="n">
        <v>13</v>
      </c>
    </row>
    <row r="2451" customFormat="false" ht="15" hidden="false" customHeight="false" outlineLevel="0" collapsed="false">
      <c r="A2451" s="2" t="s">
        <v>1516</v>
      </c>
      <c r="B2451" s="2" t="s">
        <v>498</v>
      </c>
      <c r="C2451" s="2" t="n">
        <v>60</v>
      </c>
      <c r="D2451" s="2" t="s">
        <v>54</v>
      </c>
      <c r="E2451" s="2" t="s">
        <v>3425</v>
      </c>
      <c r="F2451" s="2" t="n">
        <v>30</v>
      </c>
      <c r="G2451" s="2" t="n">
        <v>90</v>
      </c>
      <c r="H2451" s="2" t="s">
        <v>1693</v>
      </c>
      <c r="I2451" s="2" t="n">
        <v>14</v>
      </c>
    </row>
    <row r="2452" customFormat="false" ht="15" hidden="false" customHeight="false" outlineLevel="0" collapsed="false">
      <c r="A2452" s="2" t="s">
        <v>1516</v>
      </c>
      <c r="B2452" s="2" t="s">
        <v>129</v>
      </c>
      <c r="C2452" s="2" t="n">
        <v>5</v>
      </c>
      <c r="D2452" s="2" t="s">
        <v>54</v>
      </c>
      <c r="E2452" s="2" t="s">
        <v>3426</v>
      </c>
      <c r="F2452" s="2" t="n">
        <v>2.5</v>
      </c>
      <c r="G2452" s="2" t="n">
        <v>7.5</v>
      </c>
      <c r="H2452" s="2" t="s">
        <v>1700</v>
      </c>
      <c r="I2452" s="2" t="n">
        <v>15</v>
      </c>
    </row>
    <row r="2453" customFormat="false" ht="15" hidden="false" customHeight="false" outlineLevel="0" collapsed="false">
      <c r="A2453" s="2" t="s">
        <v>1516</v>
      </c>
      <c r="B2453" s="2" t="s">
        <v>312</v>
      </c>
      <c r="C2453" s="2" t="n">
        <v>1</v>
      </c>
      <c r="D2453" s="2" t="s">
        <v>1687</v>
      </c>
      <c r="E2453" s="2" t="s">
        <v>3427</v>
      </c>
      <c r="F2453" s="2"/>
      <c r="G2453" s="2" t="n">
        <v>2</v>
      </c>
      <c r="H2453" s="2" t="s">
        <v>1689</v>
      </c>
      <c r="I2453" s="2" t="n">
        <v>16</v>
      </c>
    </row>
    <row r="2454" customFormat="false" ht="15" hidden="false" customHeight="false" outlineLevel="0" collapsed="false">
      <c r="A2454" s="2" t="s">
        <v>1516</v>
      </c>
      <c r="B2454" s="2" t="s">
        <v>367</v>
      </c>
      <c r="C2454" s="2" t="n">
        <v>1</v>
      </c>
      <c r="D2454" s="2" t="s">
        <v>76</v>
      </c>
      <c r="E2454" s="2" t="s">
        <v>3428</v>
      </c>
      <c r="F2454" s="2"/>
      <c r="G2454" s="2" t="n">
        <v>2</v>
      </c>
      <c r="H2454" s="2" t="s">
        <v>1689</v>
      </c>
      <c r="I2454" s="2" t="n">
        <v>17</v>
      </c>
    </row>
    <row r="2455" customFormat="false" ht="15" hidden="false" customHeight="false" outlineLevel="0" collapsed="false">
      <c r="A2455" s="2" t="s">
        <v>1516</v>
      </c>
      <c r="B2455" s="2" t="s">
        <v>131</v>
      </c>
      <c r="C2455" s="2" t="n">
        <v>1</v>
      </c>
      <c r="D2455" s="2" t="s">
        <v>54</v>
      </c>
      <c r="E2455" s="2" t="s">
        <v>3429</v>
      </c>
      <c r="F2455" s="2" t="n">
        <v>0.5</v>
      </c>
      <c r="G2455" s="2" t="n">
        <v>1.5</v>
      </c>
      <c r="H2455" s="2" t="s">
        <v>1689</v>
      </c>
      <c r="I2455" s="2" t="n">
        <v>18</v>
      </c>
    </row>
    <row r="2456" customFormat="false" ht="15" hidden="false" customHeight="false" outlineLevel="0" collapsed="false">
      <c r="A2456" s="2" t="s">
        <v>1519</v>
      </c>
      <c r="B2456" s="2" t="s">
        <v>347</v>
      </c>
      <c r="C2456" s="2" t="n">
        <v>150</v>
      </c>
      <c r="D2456" s="2" t="s">
        <v>54</v>
      </c>
      <c r="E2456" s="2" t="s">
        <v>3430</v>
      </c>
      <c r="F2456" s="2" t="n">
        <v>75</v>
      </c>
      <c r="G2456" s="2" t="n">
        <v>225</v>
      </c>
      <c r="H2456" s="2" t="s">
        <v>1693</v>
      </c>
      <c r="I2456" s="2" t="n">
        <v>1</v>
      </c>
    </row>
    <row r="2457" customFormat="false" ht="15" hidden="false" customHeight="false" outlineLevel="0" collapsed="false">
      <c r="A2457" s="2" t="s">
        <v>1519</v>
      </c>
      <c r="B2457" s="2" t="s">
        <v>129</v>
      </c>
      <c r="C2457" s="2" t="n">
        <v>5</v>
      </c>
      <c r="D2457" s="2" t="s">
        <v>54</v>
      </c>
      <c r="E2457" s="2" t="s">
        <v>3431</v>
      </c>
      <c r="F2457" s="2" t="n">
        <v>2.5</v>
      </c>
      <c r="G2457" s="2" t="n">
        <v>7.5</v>
      </c>
      <c r="H2457" s="2" t="s">
        <v>1700</v>
      </c>
      <c r="I2457" s="2" t="n">
        <v>2</v>
      </c>
    </row>
    <row r="2458" customFormat="false" ht="15" hidden="false" customHeight="false" outlineLevel="0" collapsed="false">
      <c r="A2458" s="2" t="s">
        <v>1519</v>
      </c>
      <c r="B2458" s="2" t="s">
        <v>312</v>
      </c>
      <c r="C2458" s="2" t="n">
        <v>1</v>
      </c>
      <c r="D2458" s="2" t="s">
        <v>1687</v>
      </c>
      <c r="E2458" s="2" t="s">
        <v>2875</v>
      </c>
      <c r="F2458" s="2"/>
      <c r="G2458" s="2" t="n">
        <v>2</v>
      </c>
      <c r="H2458" s="2" t="s">
        <v>1689</v>
      </c>
      <c r="I2458" s="2" t="n">
        <v>3</v>
      </c>
    </row>
    <row r="2459" customFormat="false" ht="15" hidden="false" customHeight="false" outlineLevel="0" collapsed="false">
      <c r="A2459" s="2" t="s">
        <v>1519</v>
      </c>
      <c r="B2459" s="2" t="s">
        <v>271</v>
      </c>
      <c r="C2459" s="2" t="n">
        <v>1</v>
      </c>
      <c r="D2459" s="2" t="s">
        <v>54</v>
      </c>
      <c r="E2459" s="2" t="s">
        <v>3432</v>
      </c>
      <c r="F2459" s="2" t="n">
        <v>0.5</v>
      </c>
      <c r="G2459" s="2" t="n">
        <v>1.5</v>
      </c>
      <c r="H2459" s="2" t="s">
        <v>1689</v>
      </c>
      <c r="I2459" s="2" t="n">
        <v>4</v>
      </c>
    </row>
    <row r="2460" customFormat="false" ht="15" hidden="false" customHeight="false" outlineLevel="0" collapsed="false">
      <c r="A2460" s="2" t="s">
        <v>1519</v>
      </c>
      <c r="B2460" s="2" t="s">
        <v>367</v>
      </c>
      <c r="C2460" s="2" t="n">
        <v>2</v>
      </c>
      <c r="D2460" s="2" t="s">
        <v>76</v>
      </c>
      <c r="E2460" s="2" t="s">
        <v>2505</v>
      </c>
      <c r="F2460" s="2" t="n">
        <v>1</v>
      </c>
      <c r="G2460" s="2" t="n">
        <v>3</v>
      </c>
      <c r="H2460" s="2" t="s">
        <v>1689</v>
      </c>
      <c r="I2460" s="2" t="n">
        <v>5</v>
      </c>
    </row>
    <row r="2461" customFormat="false" ht="15" hidden="false" customHeight="false" outlineLevel="0" collapsed="false">
      <c r="A2461" s="2" t="s">
        <v>1519</v>
      </c>
      <c r="B2461" s="2" t="s">
        <v>514</v>
      </c>
      <c r="C2461" s="2" t="n">
        <v>100</v>
      </c>
      <c r="D2461" s="2" t="s">
        <v>54</v>
      </c>
      <c r="E2461" s="2" t="s">
        <v>3433</v>
      </c>
      <c r="F2461" s="2" t="n">
        <v>50</v>
      </c>
      <c r="G2461" s="2" t="n">
        <v>150</v>
      </c>
      <c r="H2461" s="2" t="s">
        <v>1689</v>
      </c>
      <c r="I2461" s="2" t="n">
        <v>6</v>
      </c>
    </row>
    <row r="2462" customFormat="false" ht="15" hidden="false" customHeight="false" outlineLevel="0" collapsed="false">
      <c r="A2462" s="2" t="s">
        <v>1519</v>
      </c>
      <c r="B2462" s="2" t="s">
        <v>129</v>
      </c>
      <c r="C2462" s="2" t="n">
        <v>2</v>
      </c>
      <c r="D2462" s="2" t="s">
        <v>54</v>
      </c>
      <c r="E2462" s="2" t="s">
        <v>3434</v>
      </c>
      <c r="F2462" s="2" t="n">
        <v>1</v>
      </c>
      <c r="G2462" s="2" t="n">
        <v>3</v>
      </c>
      <c r="H2462" s="2" t="s">
        <v>1700</v>
      </c>
      <c r="I2462" s="2" t="n">
        <v>7</v>
      </c>
    </row>
    <row r="2463" customFormat="false" ht="15" hidden="false" customHeight="false" outlineLevel="0" collapsed="false">
      <c r="A2463" s="2" t="s">
        <v>1519</v>
      </c>
      <c r="B2463" s="2" t="s">
        <v>131</v>
      </c>
      <c r="C2463" s="2" t="n">
        <v>1</v>
      </c>
      <c r="D2463" s="2" t="s">
        <v>54</v>
      </c>
      <c r="E2463" s="2" t="s">
        <v>1880</v>
      </c>
      <c r="F2463" s="2" t="n">
        <v>0.5</v>
      </c>
      <c r="G2463" s="2" t="n">
        <v>1.5</v>
      </c>
      <c r="H2463" s="2" t="s">
        <v>1689</v>
      </c>
      <c r="I2463" s="2" t="n">
        <v>8</v>
      </c>
    </row>
    <row r="2464" customFormat="false" ht="15" hidden="false" customHeight="false" outlineLevel="0" collapsed="false">
      <c r="A2464" s="2" t="s">
        <v>1519</v>
      </c>
      <c r="B2464" s="2" t="s">
        <v>454</v>
      </c>
      <c r="C2464" s="2" t="n">
        <v>50</v>
      </c>
      <c r="D2464" s="2" t="s">
        <v>54</v>
      </c>
      <c r="E2464" s="2" t="s">
        <v>3435</v>
      </c>
      <c r="F2464" s="2" t="n">
        <v>25</v>
      </c>
      <c r="G2464" s="2" t="n">
        <v>75</v>
      </c>
      <c r="H2464" s="2" t="s">
        <v>1689</v>
      </c>
      <c r="I2464" s="2" t="n">
        <v>9</v>
      </c>
    </row>
    <row r="2465" customFormat="false" ht="15" hidden="false" customHeight="false" outlineLevel="0" collapsed="false">
      <c r="A2465" s="2" t="s">
        <v>1519</v>
      </c>
      <c r="B2465" s="2" t="s">
        <v>195</v>
      </c>
      <c r="C2465" s="2" t="n">
        <v>50</v>
      </c>
      <c r="D2465" s="2" t="s">
        <v>54</v>
      </c>
      <c r="E2465" s="2" t="s">
        <v>3436</v>
      </c>
      <c r="F2465" s="2" t="n">
        <v>25</v>
      </c>
      <c r="G2465" s="2" t="n">
        <v>75</v>
      </c>
      <c r="H2465" s="2" t="s">
        <v>1693</v>
      </c>
      <c r="I2465" s="2" t="n">
        <v>10</v>
      </c>
    </row>
    <row r="2466" customFormat="false" ht="15" hidden="false" customHeight="false" outlineLevel="0" collapsed="false">
      <c r="A2466" s="2" t="s">
        <v>1519</v>
      </c>
      <c r="B2466" s="2" t="s">
        <v>129</v>
      </c>
      <c r="C2466" s="2" t="n">
        <v>2</v>
      </c>
      <c r="D2466" s="2" t="s">
        <v>54</v>
      </c>
      <c r="E2466" s="2" t="s">
        <v>3437</v>
      </c>
      <c r="F2466" s="2" t="n">
        <v>1</v>
      </c>
      <c r="G2466" s="2" t="n">
        <v>3</v>
      </c>
      <c r="H2466" s="2" t="s">
        <v>1700</v>
      </c>
      <c r="I2466" s="2" t="n">
        <v>11</v>
      </c>
    </row>
    <row r="2467" customFormat="false" ht="15" hidden="false" customHeight="false" outlineLevel="0" collapsed="false">
      <c r="A2467" s="2" t="s">
        <v>1522</v>
      </c>
      <c r="B2467" s="2" t="s">
        <v>552</v>
      </c>
      <c r="C2467" s="2" t="n">
        <v>200</v>
      </c>
      <c r="D2467" s="2" t="s">
        <v>54</v>
      </c>
      <c r="E2467" s="2" t="s">
        <v>3438</v>
      </c>
      <c r="F2467" s="2" t="n">
        <v>100</v>
      </c>
      <c r="G2467" s="2" t="n">
        <v>300</v>
      </c>
      <c r="H2467" s="2" t="s">
        <v>1693</v>
      </c>
      <c r="I2467" s="2" t="n">
        <v>1</v>
      </c>
    </row>
    <row r="2468" customFormat="false" ht="15" hidden="false" customHeight="false" outlineLevel="0" collapsed="false">
      <c r="A2468" s="2" t="s">
        <v>1522</v>
      </c>
      <c r="B2468" s="2" t="s">
        <v>204</v>
      </c>
      <c r="C2468" s="2" t="n">
        <v>15</v>
      </c>
      <c r="D2468" s="2" t="s">
        <v>54</v>
      </c>
      <c r="E2468" s="2" t="s">
        <v>3439</v>
      </c>
      <c r="F2468" s="2" t="n">
        <v>7.5</v>
      </c>
      <c r="G2468" s="2" t="n">
        <v>22.5</v>
      </c>
      <c r="H2468" s="2" t="s">
        <v>1700</v>
      </c>
      <c r="I2468" s="2" t="n">
        <v>2</v>
      </c>
    </row>
    <row r="2469" customFormat="false" ht="15" hidden="false" customHeight="false" outlineLevel="0" collapsed="false">
      <c r="A2469" s="2" t="s">
        <v>1522</v>
      </c>
      <c r="B2469" s="2" t="s">
        <v>195</v>
      </c>
      <c r="C2469" s="2" t="n">
        <v>100</v>
      </c>
      <c r="D2469" s="2" t="s">
        <v>54</v>
      </c>
      <c r="E2469" s="2" t="s">
        <v>3440</v>
      </c>
      <c r="F2469" s="2" t="n">
        <v>50</v>
      </c>
      <c r="G2469" s="2" t="n">
        <v>150</v>
      </c>
      <c r="H2469" s="2" t="s">
        <v>1693</v>
      </c>
      <c r="I2469" s="2" t="n">
        <v>3</v>
      </c>
    </row>
    <row r="2470" customFormat="false" ht="15" hidden="false" customHeight="false" outlineLevel="0" collapsed="false">
      <c r="A2470" s="2" t="s">
        <v>1522</v>
      </c>
      <c r="B2470" s="2" t="s">
        <v>566</v>
      </c>
      <c r="C2470" s="2" t="n">
        <v>40</v>
      </c>
      <c r="D2470" s="2" t="s">
        <v>54</v>
      </c>
      <c r="E2470" s="2" t="s">
        <v>3441</v>
      </c>
      <c r="F2470" s="2" t="n">
        <v>20</v>
      </c>
      <c r="G2470" s="2" t="n">
        <v>60</v>
      </c>
      <c r="H2470" s="2" t="s">
        <v>1689</v>
      </c>
      <c r="I2470" s="2" t="n">
        <v>4</v>
      </c>
    </row>
    <row r="2471" customFormat="false" ht="15" hidden="false" customHeight="false" outlineLevel="0" collapsed="false">
      <c r="A2471" s="2" t="s">
        <v>1522</v>
      </c>
      <c r="B2471" s="2" t="s">
        <v>129</v>
      </c>
      <c r="C2471" s="2" t="n">
        <v>15</v>
      </c>
      <c r="D2471" s="2" t="s">
        <v>54</v>
      </c>
      <c r="E2471" s="2" t="s">
        <v>3118</v>
      </c>
      <c r="F2471" s="2" t="n">
        <v>7.5</v>
      </c>
      <c r="G2471" s="2" t="n">
        <v>22.5</v>
      </c>
      <c r="H2471" s="2" t="s">
        <v>1700</v>
      </c>
      <c r="I2471" s="2" t="n">
        <v>5</v>
      </c>
    </row>
    <row r="2472" customFormat="false" ht="15" hidden="false" customHeight="false" outlineLevel="0" collapsed="false">
      <c r="A2472" s="2" t="s">
        <v>1526</v>
      </c>
      <c r="B2472" s="2" t="s">
        <v>74</v>
      </c>
      <c r="C2472" s="2" t="n">
        <v>100</v>
      </c>
      <c r="D2472" s="2" t="s">
        <v>76</v>
      </c>
      <c r="E2472" s="2" t="s">
        <v>1702</v>
      </c>
      <c r="F2472" s="2" t="n">
        <v>50</v>
      </c>
      <c r="G2472" s="2" t="n">
        <v>150</v>
      </c>
      <c r="H2472" s="2" t="s">
        <v>1689</v>
      </c>
      <c r="I2472" s="2" t="n">
        <v>1</v>
      </c>
    </row>
    <row r="2473" customFormat="false" ht="15" hidden="false" customHeight="false" outlineLevel="0" collapsed="false">
      <c r="A2473" s="2" t="s">
        <v>1526</v>
      </c>
      <c r="B2473" s="2" t="s">
        <v>52</v>
      </c>
      <c r="C2473" s="2" t="n">
        <v>1</v>
      </c>
      <c r="D2473" s="2" t="s">
        <v>1687</v>
      </c>
      <c r="E2473" s="2" t="s">
        <v>1831</v>
      </c>
      <c r="F2473" s="2"/>
      <c r="G2473" s="2" t="n">
        <v>2</v>
      </c>
      <c r="H2473" s="2" t="s">
        <v>1689</v>
      </c>
      <c r="I2473" s="2" t="n">
        <v>2</v>
      </c>
    </row>
    <row r="2474" customFormat="false" ht="15" hidden="false" customHeight="false" outlineLevel="0" collapsed="false">
      <c r="A2474" s="2" t="s">
        <v>1526</v>
      </c>
      <c r="B2474" s="2" t="s">
        <v>81</v>
      </c>
      <c r="C2474" s="2" t="n">
        <v>30</v>
      </c>
      <c r="D2474" s="2" t="s">
        <v>54</v>
      </c>
      <c r="E2474" s="2" t="s">
        <v>3442</v>
      </c>
      <c r="F2474" s="2" t="n">
        <v>15</v>
      </c>
      <c r="G2474" s="2" t="n">
        <v>45</v>
      </c>
      <c r="H2474" s="2" t="s">
        <v>1689</v>
      </c>
      <c r="I2474" s="2" t="n">
        <v>3</v>
      </c>
    </row>
    <row r="2475" customFormat="false" ht="15" hidden="false" customHeight="false" outlineLevel="0" collapsed="false">
      <c r="A2475" s="2" t="s">
        <v>1526</v>
      </c>
      <c r="B2475" s="2" t="s">
        <v>285</v>
      </c>
      <c r="C2475" s="2" t="n">
        <v>50</v>
      </c>
      <c r="D2475" s="2" t="s">
        <v>54</v>
      </c>
      <c r="E2475" s="2" t="s">
        <v>3443</v>
      </c>
      <c r="F2475" s="2" t="n">
        <v>25</v>
      </c>
      <c r="G2475" s="2" t="n">
        <v>75</v>
      </c>
      <c r="H2475" s="2" t="s">
        <v>1693</v>
      </c>
      <c r="I2475" s="2" t="n">
        <v>4</v>
      </c>
    </row>
    <row r="2476" customFormat="false" ht="15" hidden="false" customHeight="false" outlineLevel="0" collapsed="false">
      <c r="A2476" s="2" t="s">
        <v>1526</v>
      </c>
      <c r="B2476" s="2" t="s">
        <v>85</v>
      </c>
      <c r="C2476" s="2" t="n">
        <v>25</v>
      </c>
      <c r="D2476" s="2" t="s">
        <v>54</v>
      </c>
      <c r="E2476" s="2" t="s">
        <v>3444</v>
      </c>
      <c r="F2476" s="2" t="n">
        <v>12.5</v>
      </c>
      <c r="G2476" s="2" t="n">
        <v>37.5</v>
      </c>
      <c r="H2476" s="2" t="s">
        <v>1700</v>
      </c>
      <c r="I2476" s="2" t="n">
        <v>5</v>
      </c>
    </row>
    <row r="2477" customFormat="false" ht="15" hidden="false" customHeight="false" outlineLevel="0" collapsed="false">
      <c r="A2477" s="2" t="s">
        <v>1526</v>
      </c>
      <c r="B2477" s="2" t="s">
        <v>89</v>
      </c>
      <c r="C2477" s="2" t="n">
        <v>15</v>
      </c>
      <c r="D2477" s="2" t="s">
        <v>54</v>
      </c>
      <c r="E2477" s="2" t="s">
        <v>3260</v>
      </c>
      <c r="F2477" s="2" t="n">
        <v>7.5</v>
      </c>
      <c r="G2477" s="2" t="n">
        <v>22.5</v>
      </c>
      <c r="H2477" s="2" t="s">
        <v>1689</v>
      </c>
      <c r="I2477" s="2" t="n">
        <v>6</v>
      </c>
    </row>
    <row r="2478" customFormat="false" ht="15" hidden="false" customHeight="false" outlineLevel="0" collapsed="false">
      <c r="A2478" s="2" t="s">
        <v>1529</v>
      </c>
      <c r="B2478" s="2" t="s">
        <v>189</v>
      </c>
      <c r="C2478" s="2" t="n">
        <v>240</v>
      </c>
      <c r="D2478" s="2" t="s">
        <v>54</v>
      </c>
      <c r="E2478" s="2" t="s">
        <v>3445</v>
      </c>
      <c r="F2478" s="2" t="n">
        <v>120</v>
      </c>
      <c r="G2478" s="2" t="n">
        <v>360</v>
      </c>
      <c r="H2478" s="2" t="s">
        <v>1689</v>
      </c>
      <c r="I2478" s="2" t="n">
        <v>1</v>
      </c>
    </row>
    <row r="2479" customFormat="false" ht="15" hidden="false" customHeight="false" outlineLevel="0" collapsed="false">
      <c r="A2479" s="2" t="s">
        <v>1529</v>
      </c>
      <c r="B2479" s="2" t="s">
        <v>221</v>
      </c>
      <c r="C2479" s="2" t="n">
        <v>300</v>
      </c>
      <c r="D2479" s="2" t="s">
        <v>54</v>
      </c>
      <c r="E2479" s="2" t="s">
        <v>3446</v>
      </c>
      <c r="F2479" s="2" t="n">
        <v>150</v>
      </c>
      <c r="G2479" s="2" t="n">
        <v>450</v>
      </c>
      <c r="H2479" s="2" t="s">
        <v>1693</v>
      </c>
      <c r="I2479" s="2" t="n">
        <v>2</v>
      </c>
    </row>
    <row r="2480" customFormat="false" ht="15" hidden="false" customHeight="false" outlineLevel="0" collapsed="false">
      <c r="A2480" s="2" t="s">
        <v>1529</v>
      </c>
      <c r="B2480" s="2" t="s">
        <v>516</v>
      </c>
      <c r="C2480" s="2" t="n">
        <v>165</v>
      </c>
      <c r="D2480" s="2" t="s">
        <v>54</v>
      </c>
      <c r="E2480" s="2" t="s">
        <v>3447</v>
      </c>
      <c r="F2480" s="2" t="n">
        <v>82.5</v>
      </c>
      <c r="G2480" s="2" t="n">
        <v>247.5</v>
      </c>
      <c r="H2480" s="2" t="s">
        <v>1689</v>
      </c>
      <c r="I2480" s="2" t="n">
        <v>3</v>
      </c>
    </row>
    <row r="2481" customFormat="false" ht="15" hidden="false" customHeight="false" outlineLevel="0" collapsed="false">
      <c r="A2481" s="2" t="s">
        <v>1529</v>
      </c>
      <c r="B2481" s="2" t="s">
        <v>454</v>
      </c>
      <c r="C2481" s="2" t="n">
        <v>120</v>
      </c>
      <c r="D2481" s="2" t="s">
        <v>54</v>
      </c>
      <c r="E2481" s="2" t="s">
        <v>3448</v>
      </c>
      <c r="F2481" s="2" t="n">
        <v>60</v>
      </c>
      <c r="G2481" s="2" t="n">
        <v>180</v>
      </c>
      <c r="H2481" s="2" t="s">
        <v>1689</v>
      </c>
      <c r="I2481" s="2" t="n">
        <v>4</v>
      </c>
    </row>
    <row r="2482" customFormat="false" ht="15" hidden="false" customHeight="false" outlineLevel="0" collapsed="false">
      <c r="A2482" s="2" t="s">
        <v>1529</v>
      </c>
      <c r="B2482" s="2" t="s">
        <v>297</v>
      </c>
      <c r="C2482" s="2" t="n">
        <v>2</v>
      </c>
      <c r="D2482" s="2" t="s">
        <v>1687</v>
      </c>
      <c r="E2482" s="2" t="s">
        <v>3449</v>
      </c>
      <c r="F2482" s="2" t="n">
        <v>1</v>
      </c>
      <c r="G2482" s="2" t="n">
        <v>3</v>
      </c>
      <c r="H2482" s="2" t="s">
        <v>1689</v>
      </c>
      <c r="I2482" s="2" t="n">
        <v>5</v>
      </c>
    </row>
    <row r="2483" customFormat="false" ht="15" hidden="false" customHeight="false" outlineLevel="0" collapsed="false">
      <c r="A2483" s="2" t="s">
        <v>1529</v>
      </c>
      <c r="B2483" s="2" t="s">
        <v>462</v>
      </c>
      <c r="C2483" s="2" t="n">
        <v>20</v>
      </c>
      <c r="D2483" s="2" t="s">
        <v>54</v>
      </c>
      <c r="E2483" s="2" t="s">
        <v>3450</v>
      </c>
      <c r="F2483" s="2" t="n">
        <v>10</v>
      </c>
      <c r="G2483" s="2" t="n">
        <v>30</v>
      </c>
      <c r="H2483" s="2" t="s">
        <v>1693</v>
      </c>
      <c r="I2483" s="2" t="n">
        <v>6</v>
      </c>
    </row>
    <row r="2484" customFormat="false" ht="15" hidden="false" customHeight="false" outlineLevel="0" collapsed="false">
      <c r="A2484" s="2" t="s">
        <v>1529</v>
      </c>
      <c r="B2484" s="2" t="s">
        <v>375</v>
      </c>
      <c r="C2484" s="2" t="n">
        <v>0.25</v>
      </c>
      <c r="D2484" s="2" t="s">
        <v>1687</v>
      </c>
      <c r="E2484" s="2" t="s">
        <v>3451</v>
      </c>
      <c r="F2484" s="2"/>
      <c r="G2484" s="2" t="n">
        <v>1.25</v>
      </c>
      <c r="H2484" s="2" t="s">
        <v>1689</v>
      </c>
      <c r="I2484" s="2" t="n">
        <v>7</v>
      </c>
    </row>
    <row r="2485" customFormat="false" ht="15" hidden="false" customHeight="false" outlineLevel="0" collapsed="false">
      <c r="A2485" s="2" t="s">
        <v>1529</v>
      </c>
      <c r="B2485" s="2" t="s">
        <v>456</v>
      </c>
      <c r="C2485" s="2" t="n">
        <v>1</v>
      </c>
      <c r="D2485" s="2" t="s">
        <v>1687</v>
      </c>
      <c r="E2485" s="2" t="s">
        <v>1987</v>
      </c>
      <c r="F2485" s="2"/>
      <c r="G2485" s="2" t="n">
        <v>2</v>
      </c>
      <c r="H2485" s="2" t="s">
        <v>1689</v>
      </c>
      <c r="I2485" s="2" t="n">
        <v>8</v>
      </c>
    </row>
    <row r="2486" customFormat="false" ht="15" hidden="false" customHeight="false" outlineLevel="0" collapsed="false">
      <c r="A2486" s="2" t="s">
        <v>1529</v>
      </c>
      <c r="B2486" s="2" t="s">
        <v>129</v>
      </c>
      <c r="C2486" s="2" t="n">
        <v>5</v>
      </c>
      <c r="D2486" s="2" t="s">
        <v>54</v>
      </c>
      <c r="E2486" s="2" t="s">
        <v>2929</v>
      </c>
      <c r="F2486" s="2" t="n">
        <v>2.5</v>
      </c>
      <c r="G2486" s="2" t="n">
        <v>7.5</v>
      </c>
      <c r="H2486" s="2" t="s">
        <v>1700</v>
      </c>
      <c r="I2486" s="2" t="n">
        <v>9</v>
      </c>
    </row>
    <row r="2487" customFormat="false" ht="15" hidden="false" customHeight="false" outlineLevel="0" collapsed="false">
      <c r="A2487" s="2" t="s">
        <v>1529</v>
      </c>
      <c r="B2487" s="2" t="s">
        <v>271</v>
      </c>
      <c r="C2487" s="2" t="n">
        <v>2</v>
      </c>
      <c r="D2487" s="2" t="s">
        <v>54</v>
      </c>
      <c r="E2487" s="2" t="s">
        <v>2779</v>
      </c>
      <c r="F2487" s="2" t="n">
        <v>1</v>
      </c>
      <c r="G2487" s="2" t="n">
        <v>3</v>
      </c>
      <c r="H2487" s="2" t="s">
        <v>1689</v>
      </c>
      <c r="I2487" s="2" t="n">
        <v>10</v>
      </c>
    </row>
    <row r="2488" customFormat="false" ht="15" hidden="false" customHeight="false" outlineLevel="0" collapsed="false">
      <c r="A2488" s="2" t="s">
        <v>1529</v>
      </c>
      <c r="B2488" s="2" t="s">
        <v>271</v>
      </c>
      <c r="C2488" s="2" t="n">
        <v>2</v>
      </c>
      <c r="D2488" s="2" t="s">
        <v>54</v>
      </c>
      <c r="E2488" s="2" t="s">
        <v>3452</v>
      </c>
      <c r="F2488" s="2" t="n">
        <v>1</v>
      </c>
      <c r="G2488" s="2" t="n">
        <v>3</v>
      </c>
      <c r="H2488" s="2" t="s">
        <v>1689</v>
      </c>
      <c r="I2488" s="2" t="n">
        <v>11</v>
      </c>
    </row>
    <row r="2489" customFormat="false" ht="15" hidden="false" customHeight="false" outlineLevel="0" collapsed="false">
      <c r="A2489" s="2" t="s">
        <v>1529</v>
      </c>
      <c r="B2489" s="2" t="s">
        <v>271</v>
      </c>
      <c r="C2489" s="2" t="n">
        <v>2</v>
      </c>
      <c r="D2489" s="2" t="s">
        <v>54</v>
      </c>
      <c r="E2489" s="2" t="s">
        <v>3453</v>
      </c>
      <c r="F2489" s="2" t="n">
        <v>1</v>
      </c>
      <c r="G2489" s="2" t="n">
        <v>3</v>
      </c>
      <c r="H2489" s="2" t="s">
        <v>1689</v>
      </c>
      <c r="I2489" s="2" t="n">
        <v>12</v>
      </c>
    </row>
    <row r="2490" customFormat="false" ht="15" hidden="false" customHeight="false" outlineLevel="0" collapsed="false">
      <c r="A2490" s="2" t="s">
        <v>1532</v>
      </c>
      <c r="B2490" s="2" t="s">
        <v>221</v>
      </c>
      <c r="C2490" s="2" t="n">
        <v>300</v>
      </c>
      <c r="D2490" s="2" t="s">
        <v>54</v>
      </c>
      <c r="E2490" s="2" t="s">
        <v>3454</v>
      </c>
      <c r="F2490" s="2" t="n">
        <v>150</v>
      </c>
      <c r="G2490" s="2" t="n">
        <v>450</v>
      </c>
      <c r="H2490" s="2" t="s">
        <v>1693</v>
      </c>
      <c r="I2490" s="2" t="n">
        <v>1</v>
      </c>
    </row>
    <row r="2491" customFormat="false" ht="15" hidden="false" customHeight="false" outlineLevel="0" collapsed="false">
      <c r="A2491" s="2" t="s">
        <v>1532</v>
      </c>
      <c r="B2491" s="2" t="s">
        <v>177</v>
      </c>
      <c r="C2491" s="2" t="n">
        <v>200</v>
      </c>
      <c r="D2491" s="2" t="s">
        <v>54</v>
      </c>
      <c r="E2491" s="2" t="s">
        <v>3455</v>
      </c>
      <c r="F2491" s="2" t="n">
        <v>100</v>
      </c>
      <c r="G2491" s="2" t="n">
        <v>300</v>
      </c>
      <c r="H2491" s="2" t="s">
        <v>1689</v>
      </c>
      <c r="I2491" s="2" t="n">
        <v>2</v>
      </c>
    </row>
    <row r="2492" customFormat="false" ht="15" hidden="false" customHeight="false" outlineLevel="0" collapsed="false">
      <c r="A2492" s="2" t="s">
        <v>1532</v>
      </c>
      <c r="B2492" s="2" t="s">
        <v>195</v>
      </c>
      <c r="C2492" s="2" t="n">
        <v>300</v>
      </c>
      <c r="D2492" s="2" t="s">
        <v>54</v>
      </c>
      <c r="E2492" s="2" t="s">
        <v>3456</v>
      </c>
      <c r="F2492" s="2" t="n">
        <v>150</v>
      </c>
      <c r="G2492" s="2" t="n">
        <v>450</v>
      </c>
      <c r="H2492" s="2" t="s">
        <v>1693</v>
      </c>
      <c r="I2492" s="2" t="n">
        <v>3</v>
      </c>
    </row>
    <row r="2493" customFormat="false" ht="15" hidden="false" customHeight="false" outlineLevel="0" collapsed="false">
      <c r="A2493" s="2" t="s">
        <v>1532</v>
      </c>
      <c r="B2493" s="2" t="s">
        <v>189</v>
      </c>
      <c r="C2493" s="2" t="n">
        <v>120</v>
      </c>
      <c r="D2493" s="2" t="s">
        <v>54</v>
      </c>
      <c r="E2493" s="2" t="s">
        <v>3457</v>
      </c>
      <c r="F2493" s="2" t="n">
        <v>60</v>
      </c>
      <c r="G2493" s="2" t="n">
        <v>180</v>
      </c>
      <c r="H2493" s="2" t="s">
        <v>1689</v>
      </c>
      <c r="I2493" s="2" t="n">
        <v>4</v>
      </c>
    </row>
    <row r="2494" customFormat="false" ht="15" hidden="false" customHeight="false" outlineLevel="0" collapsed="false">
      <c r="A2494" s="2" t="s">
        <v>1532</v>
      </c>
      <c r="B2494" s="2" t="s">
        <v>245</v>
      </c>
      <c r="C2494" s="2" t="n">
        <v>1</v>
      </c>
      <c r="D2494" s="2" t="s">
        <v>1687</v>
      </c>
      <c r="E2494" s="2" t="s">
        <v>3458</v>
      </c>
      <c r="F2494" s="2"/>
      <c r="G2494" s="2" t="n">
        <v>2</v>
      </c>
      <c r="H2494" s="2" t="s">
        <v>1689</v>
      </c>
      <c r="I2494" s="2" t="n">
        <v>5</v>
      </c>
    </row>
    <row r="2495" customFormat="false" ht="15" hidden="false" customHeight="false" outlineLevel="0" collapsed="false">
      <c r="A2495" s="2" t="s">
        <v>1532</v>
      </c>
      <c r="B2495" s="2" t="s">
        <v>375</v>
      </c>
      <c r="C2495" s="2" t="n">
        <v>1</v>
      </c>
      <c r="D2495" s="2" t="s">
        <v>1687</v>
      </c>
      <c r="E2495" s="2" t="s">
        <v>2017</v>
      </c>
      <c r="F2495" s="2"/>
      <c r="G2495" s="2" t="n">
        <v>2</v>
      </c>
      <c r="H2495" s="2" t="s">
        <v>1689</v>
      </c>
      <c r="I2495" s="2" t="n">
        <v>6</v>
      </c>
    </row>
    <row r="2496" customFormat="false" ht="15" hidden="false" customHeight="false" outlineLevel="0" collapsed="false">
      <c r="A2496" s="2" t="s">
        <v>1532</v>
      </c>
      <c r="B2496" s="2" t="s">
        <v>502</v>
      </c>
      <c r="C2496" s="2" t="n">
        <v>15</v>
      </c>
      <c r="D2496" s="2" t="s">
        <v>54</v>
      </c>
      <c r="E2496" s="2" t="s">
        <v>3459</v>
      </c>
      <c r="F2496" s="2" t="n">
        <v>7.5</v>
      </c>
      <c r="G2496" s="2" t="n">
        <v>22.5</v>
      </c>
      <c r="H2496" s="2" t="s">
        <v>1689</v>
      </c>
      <c r="I2496" s="2" t="n">
        <v>7</v>
      </c>
    </row>
    <row r="2497" customFormat="false" ht="15" hidden="false" customHeight="false" outlineLevel="0" collapsed="false">
      <c r="A2497" s="2" t="s">
        <v>1535</v>
      </c>
      <c r="B2497" s="2" t="s">
        <v>110</v>
      </c>
      <c r="C2497" s="2" t="n">
        <v>2</v>
      </c>
      <c r="D2497" s="2" t="s">
        <v>1687</v>
      </c>
      <c r="E2497" s="2" t="s">
        <v>1720</v>
      </c>
      <c r="F2497" s="2" t="n">
        <v>1</v>
      </c>
      <c r="G2497" s="2" t="n">
        <v>3</v>
      </c>
      <c r="H2497" s="2" t="s">
        <v>1693</v>
      </c>
      <c r="I2497" s="2" t="n">
        <v>1</v>
      </c>
    </row>
    <row r="2498" customFormat="false" ht="15" hidden="false" customHeight="false" outlineLevel="0" collapsed="false">
      <c r="A2498" s="2" t="s">
        <v>1535</v>
      </c>
      <c r="B2498" s="2" t="s">
        <v>74</v>
      </c>
      <c r="C2498" s="2" t="n">
        <v>20</v>
      </c>
      <c r="D2498" s="2" t="s">
        <v>76</v>
      </c>
      <c r="E2498" s="2" t="s">
        <v>1721</v>
      </c>
      <c r="F2498" s="2" t="n">
        <v>10</v>
      </c>
      <c r="G2498" s="2" t="n">
        <v>30</v>
      </c>
      <c r="H2498" s="2" t="s">
        <v>1689</v>
      </c>
      <c r="I2498" s="2" t="n">
        <v>2</v>
      </c>
    </row>
    <row r="2499" customFormat="false" ht="15" hidden="false" customHeight="false" outlineLevel="0" collapsed="false">
      <c r="A2499" s="2" t="s">
        <v>1535</v>
      </c>
      <c r="B2499" s="2" t="s">
        <v>117</v>
      </c>
      <c r="C2499" s="2" t="n">
        <v>0.5</v>
      </c>
      <c r="D2499" s="2" t="s">
        <v>1687</v>
      </c>
      <c r="E2499" s="2" t="s">
        <v>1722</v>
      </c>
      <c r="F2499" s="2"/>
      <c r="G2499" s="2" t="n">
        <v>1.5</v>
      </c>
      <c r="H2499" s="2" t="s">
        <v>1700</v>
      </c>
      <c r="I2499" s="2" t="n">
        <v>3</v>
      </c>
    </row>
    <row r="2500" customFormat="false" ht="15" hidden="false" customHeight="false" outlineLevel="0" collapsed="false">
      <c r="A2500" s="2" t="s">
        <v>1535</v>
      </c>
      <c r="B2500" s="2" t="s">
        <v>121</v>
      </c>
      <c r="C2500" s="2" t="n">
        <v>1</v>
      </c>
      <c r="D2500" s="2" t="s">
        <v>1687</v>
      </c>
      <c r="E2500" s="2" t="s">
        <v>3460</v>
      </c>
      <c r="F2500" s="2"/>
      <c r="G2500" s="2" t="n">
        <v>2</v>
      </c>
      <c r="H2500" s="2" t="s">
        <v>1689</v>
      </c>
      <c r="I2500" s="2" t="n">
        <v>4</v>
      </c>
    </row>
    <row r="2501" customFormat="false" ht="15" hidden="false" customHeight="false" outlineLevel="0" collapsed="false">
      <c r="A2501" s="2" t="s">
        <v>1535</v>
      </c>
      <c r="B2501" s="2" t="s">
        <v>125</v>
      </c>
      <c r="C2501" s="2" t="n">
        <v>2</v>
      </c>
      <c r="D2501" s="2" t="s">
        <v>1687</v>
      </c>
      <c r="E2501" s="2" t="s">
        <v>3461</v>
      </c>
      <c r="F2501" s="2" t="n">
        <v>1</v>
      </c>
      <c r="G2501" s="2" t="n">
        <v>3</v>
      </c>
      <c r="H2501" s="2" t="s">
        <v>1693</v>
      </c>
      <c r="I2501" s="2" t="n">
        <v>5</v>
      </c>
    </row>
    <row r="2502" customFormat="false" ht="15" hidden="false" customHeight="false" outlineLevel="0" collapsed="false">
      <c r="A2502" s="2" t="s">
        <v>1535</v>
      </c>
      <c r="B2502" s="2" t="s">
        <v>129</v>
      </c>
      <c r="C2502" s="2" t="n">
        <v>5</v>
      </c>
      <c r="D2502" s="2" t="s">
        <v>54</v>
      </c>
      <c r="E2502" s="2" t="s">
        <v>2929</v>
      </c>
      <c r="F2502" s="2" t="n">
        <v>2.5</v>
      </c>
      <c r="G2502" s="2" t="n">
        <v>7.5</v>
      </c>
      <c r="H2502" s="2" t="s">
        <v>1700</v>
      </c>
      <c r="I2502" s="2" t="n">
        <v>6</v>
      </c>
    </row>
    <row r="2503" customFormat="false" ht="15" hidden="false" customHeight="false" outlineLevel="0" collapsed="false">
      <c r="A2503" s="2" t="s">
        <v>1535</v>
      </c>
      <c r="B2503" s="2" t="s">
        <v>131</v>
      </c>
      <c r="C2503" s="2" t="n">
        <v>1</v>
      </c>
      <c r="D2503" s="2" t="s">
        <v>54</v>
      </c>
      <c r="E2503" s="2" t="s">
        <v>1880</v>
      </c>
      <c r="F2503" s="2" t="n">
        <v>0.5</v>
      </c>
      <c r="G2503" s="2" t="n">
        <v>1.5</v>
      </c>
      <c r="H2503" s="2" t="s">
        <v>1689</v>
      </c>
      <c r="I2503" s="2" t="n">
        <v>7</v>
      </c>
    </row>
    <row r="2504" customFormat="false" ht="15" hidden="false" customHeight="false" outlineLevel="0" collapsed="false">
      <c r="A2504" s="2" t="s">
        <v>1538</v>
      </c>
      <c r="B2504" s="2" t="s">
        <v>577</v>
      </c>
      <c r="C2504" s="2" t="n">
        <v>75</v>
      </c>
      <c r="D2504" s="2" t="s">
        <v>54</v>
      </c>
      <c r="E2504" s="2" t="s">
        <v>3462</v>
      </c>
      <c r="F2504" s="2" t="n">
        <v>37.5</v>
      </c>
      <c r="G2504" s="2" t="n">
        <v>112.5</v>
      </c>
      <c r="H2504" s="2" t="s">
        <v>1693</v>
      </c>
      <c r="I2504" s="2" t="n">
        <v>1</v>
      </c>
    </row>
    <row r="2505" customFormat="false" ht="15" hidden="false" customHeight="false" outlineLevel="0" collapsed="false">
      <c r="A2505" s="2" t="s">
        <v>1538</v>
      </c>
      <c r="B2505" s="2" t="s">
        <v>532</v>
      </c>
      <c r="C2505" s="2" t="n">
        <v>72</v>
      </c>
      <c r="D2505" s="2" t="s">
        <v>54</v>
      </c>
      <c r="E2505" s="2" t="s">
        <v>3463</v>
      </c>
      <c r="F2505" s="2" t="n">
        <v>36</v>
      </c>
      <c r="G2505" s="2" t="n">
        <v>108</v>
      </c>
      <c r="H2505" s="2" t="s">
        <v>1693</v>
      </c>
      <c r="I2505" s="2" t="n">
        <v>2</v>
      </c>
    </row>
    <row r="2506" customFormat="false" ht="15" hidden="false" customHeight="false" outlineLevel="0" collapsed="false">
      <c r="A2506" s="2" t="s">
        <v>1538</v>
      </c>
      <c r="B2506" s="2" t="s">
        <v>458</v>
      </c>
      <c r="C2506" s="2" t="n">
        <v>50</v>
      </c>
      <c r="D2506" s="2" t="s">
        <v>54</v>
      </c>
      <c r="E2506" s="2" t="s">
        <v>2417</v>
      </c>
      <c r="F2506" s="2" t="n">
        <v>25</v>
      </c>
      <c r="G2506" s="2" t="n">
        <v>75</v>
      </c>
      <c r="H2506" s="2" t="s">
        <v>1689</v>
      </c>
      <c r="I2506" s="2" t="n">
        <v>3</v>
      </c>
    </row>
    <row r="2507" customFormat="false" ht="15" hidden="false" customHeight="false" outlineLevel="0" collapsed="false">
      <c r="A2507" s="2" t="s">
        <v>1538</v>
      </c>
      <c r="B2507" s="2" t="s">
        <v>110</v>
      </c>
      <c r="C2507" s="2" t="n">
        <v>1</v>
      </c>
      <c r="D2507" s="2" t="s">
        <v>1687</v>
      </c>
      <c r="E2507" s="2" t="s">
        <v>3464</v>
      </c>
      <c r="F2507" s="2"/>
      <c r="G2507" s="2" t="n">
        <v>2</v>
      </c>
      <c r="H2507" s="2" t="s">
        <v>1693</v>
      </c>
      <c r="I2507" s="2" t="n">
        <v>4</v>
      </c>
    </row>
    <row r="2508" customFormat="false" ht="15" hidden="false" customHeight="false" outlineLevel="0" collapsed="false">
      <c r="A2508" s="2" t="s">
        <v>1538</v>
      </c>
      <c r="B2508" s="2" t="s">
        <v>556</v>
      </c>
      <c r="C2508" s="2" t="n">
        <v>1</v>
      </c>
      <c r="D2508" s="2" t="s">
        <v>1687</v>
      </c>
      <c r="E2508" s="2" t="s">
        <v>3465</v>
      </c>
      <c r="F2508" s="2"/>
      <c r="G2508" s="2" t="n">
        <v>2</v>
      </c>
      <c r="H2508" s="2" t="s">
        <v>1689</v>
      </c>
      <c r="I2508" s="2" t="n">
        <v>5</v>
      </c>
    </row>
    <row r="2509" customFormat="false" ht="15" hidden="false" customHeight="false" outlineLevel="0" collapsed="false">
      <c r="A2509" s="2" t="s">
        <v>1538</v>
      </c>
      <c r="B2509" s="2" t="s">
        <v>592</v>
      </c>
      <c r="C2509" s="2" t="n">
        <v>7.5</v>
      </c>
      <c r="D2509" s="2" t="s">
        <v>54</v>
      </c>
      <c r="E2509" s="2" t="s">
        <v>3466</v>
      </c>
      <c r="F2509" s="2" t="n">
        <v>3.75</v>
      </c>
      <c r="G2509" s="2" t="n">
        <v>11.25</v>
      </c>
      <c r="H2509" s="2" t="s">
        <v>1693</v>
      </c>
      <c r="I2509" s="2" t="n">
        <v>6</v>
      </c>
    </row>
    <row r="2510" customFormat="false" ht="15" hidden="false" customHeight="false" outlineLevel="0" collapsed="false">
      <c r="A2510" s="2" t="s">
        <v>1538</v>
      </c>
      <c r="B2510" s="2" t="s">
        <v>502</v>
      </c>
      <c r="C2510" s="2" t="n">
        <v>7.5</v>
      </c>
      <c r="D2510" s="2" t="s">
        <v>54</v>
      </c>
      <c r="E2510" s="2" t="s">
        <v>3467</v>
      </c>
      <c r="F2510" s="2" t="n">
        <v>3.75</v>
      </c>
      <c r="G2510" s="2" t="n">
        <v>11.25</v>
      </c>
      <c r="H2510" s="2" t="s">
        <v>1689</v>
      </c>
      <c r="I2510" s="2" t="n">
        <v>7</v>
      </c>
    </row>
    <row r="2511" customFormat="false" ht="15" hidden="false" customHeight="false" outlineLevel="0" collapsed="false">
      <c r="A2511" s="2" t="s">
        <v>1538</v>
      </c>
      <c r="B2511" s="2" t="s">
        <v>540</v>
      </c>
      <c r="C2511" s="2" t="n">
        <v>7.5</v>
      </c>
      <c r="D2511" s="2" t="s">
        <v>54</v>
      </c>
      <c r="E2511" s="2" t="s">
        <v>3468</v>
      </c>
      <c r="F2511" s="2" t="n">
        <v>3.75</v>
      </c>
      <c r="G2511" s="2" t="n">
        <v>11.25</v>
      </c>
      <c r="H2511" s="2" t="s">
        <v>1700</v>
      </c>
      <c r="I2511" s="2" t="n">
        <v>8</v>
      </c>
    </row>
    <row r="2512" customFormat="false" ht="15" hidden="false" customHeight="false" outlineLevel="0" collapsed="false">
      <c r="A2512" s="2" t="s">
        <v>1538</v>
      </c>
      <c r="B2512" s="2" t="s">
        <v>301</v>
      </c>
      <c r="C2512" s="2" t="n">
        <v>15</v>
      </c>
      <c r="D2512" s="2" t="s">
        <v>54</v>
      </c>
      <c r="E2512" s="2" t="s">
        <v>3469</v>
      </c>
      <c r="F2512" s="2" t="n">
        <v>7.5</v>
      </c>
      <c r="G2512" s="2" t="n">
        <v>22.5</v>
      </c>
      <c r="H2512" s="2" t="s">
        <v>1689</v>
      </c>
      <c r="I2512" s="2" t="n">
        <v>9</v>
      </c>
    </row>
    <row r="2513" customFormat="false" ht="15" hidden="false" customHeight="false" outlineLevel="0" collapsed="false">
      <c r="A2513" s="2" t="s">
        <v>1538</v>
      </c>
      <c r="B2513" s="2" t="s">
        <v>268</v>
      </c>
      <c r="C2513" s="2" t="n">
        <v>2.5</v>
      </c>
      <c r="D2513" s="2" t="s">
        <v>54</v>
      </c>
      <c r="E2513" s="2" t="s">
        <v>3470</v>
      </c>
      <c r="F2513" s="2" t="n">
        <v>1.25</v>
      </c>
      <c r="G2513" s="2" t="n">
        <v>3.75</v>
      </c>
      <c r="H2513" s="2" t="s">
        <v>1693</v>
      </c>
      <c r="I2513" s="2" t="n">
        <v>10</v>
      </c>
    </row>
    <row r="2514" customFormat="false" ht="15" hidden="false" customHeight="false" outlineLevel="0" collapsed="false">
      <c r="A2514" s="2" t="s">
        <v>1538</v>
      </c>
      <c r="B2514" s="2" t="s">
        <v>480</v>
      </c>
      <c r="C2514" s="2" t="n">
        <v>1</v>
      </c>
      <c r="D2514" s="2" t="s">
        <v>54</v>
      </c>
      <c r="E2514" s="2" t="s">
        <v>3471</v>
      </c>
      <c r="F2514" s="2" t="n">
        <v>0.5</v>
      </c>
      <c r="G2514" s="2" t="n">
        <v>1.5</v>
      </c>
      <c r="H2514" s="2" t="s">
        <v>1689</v>
      </c>
      <c r="I2514" s="2" t="n">
        <v>11</v>
      </c>
    </row>
    <row r="2515" customFormat="false" ht="15" hidden="false" customHeight="false" outlineLevel="0" collapsed="false">
      <c r="A2515" s="2" t="s">
        <v>1538</v>
      </c>
      <c r="B2515" s="2" t="s">
        <v>394</v>
      </c>
      <c r="C2515" s="2" t="n">
        <v>50</v>
      </c>
      <c r="D2515" s="2" t="s">
        <v>54</v>
      </c>
      <c r="E2515" s="2" t="s">
        <v>3472</v>
      </c>
      <c r="F2515" s="2" t="n">
        <v>25</v>
      </c>
      <c r="G2515" s="2" t="n">
        <v>75</v>
      </c>
      <c r="H2515" s="2" t="s">
        <v>1689</v>
      </c>
      <c r="I2515" s="2" t="n">
        <v>12</v>
      </c>
    </row>
    <row r="2516" customFormat="false" ht="15" hidden="false" customHeight="false" outlineLevel="0" collapsed="false">
      <c r="A2516" s="2" t="s">
        <v>1541</v>
      </c>
      <c r="B2516" s="2" t="s">
        <v>221</v>
      </c>
      <c r="C2516" s="2" t="n">
        <v>150</v>
      </c>
      <c r="D2516" s="2" t="s">
        <v>54</v>
      </c>
      <c r="E2516" s="2" t="s">
        <v>3473</v>
      </c>
      <c r="F2516" s="2" t="n">
        <v>75</v>
      </c>
      <c r="G2516" s="2" t="n">
        <v>225</v>
      </c>
      <c r="H2516" s="2" t="s">
        <v>1693</v>
      </c>
      <c r="I2516" s="2" t="n">
        <v>1</v>
      </c>
    </row>
    <row r="2517" customFormat="false" ht="15" hidden="false" customHeight="false" outlineLevel="0" collapsed="false">
      <c r="A2517" s="2" t="s">
        <v>1541</v>
      </c>
      <c r="B2517" s="2" t="s">
        <v>506</v>
      </c>
      <c r="C2517" s="2" t="n">
        <v>300</v>
      </c>
      <c r="D2517" s="2" t="s">
        <v>76</v>
      </c>
      <c r="E2517" s="2" t="s">
        <v>3474</v>
      </c>
      <c r="F2517" s="2" t="n">
        <v>150</v>
      </c>
      <c r="G2517" s="2" t="n">
        <v>450</v>
      </c>
      <c r="H2517" s="2" t="s">
        <v>1693</v>
      </c>
      <c r="I2517" s="2" t="n">
        <v>2</v>
      </c>
    </row>
    <row r="2518" customFormat="false" ht="15" hidden="false" customHeight="false" outlineLevel="0" collapsed="false">
      <c r="A2518" s="2" t="s">
        <v>1541</v>
      </c>
      <c r="B2518" s="2" t="s">
        <v>210</v>
      </c>
      <c r="C2518" s="2" t="n">
        <v>34</v>
      </c>
      <c r="D2518" s="2" t="s">
        <v>54</v>
      </c>
      <c r="E2518" s="2" t="s">
        <v>3341</v>
      </c>
      <c r="F2518" s="2" t="n">
        <v>17</v>
      </c>
      <c r="G2518" s="2" t="n">
        <v>51</v>
      </c>
      <c r="H2518" s="2" t="s">
        <v>1689</v>
      </c>
      <c r="I2518" s="2" t="n">
        <v>3</v>
      </c>
    </row>
    <row r="2519" customFormat="false" ht="15" hidden="false" customHeight="false" outlineLevel="0" collapsed="false">
      <c r="A2519" s="2" t="s">
        <v>1541</v>
      </c>
      <c r="B2519" s="2" t="s">
        <v>216</v>
      </c>
      <c r="C2519" s="2" t="n">
        <v>33</v>
      </c>
      <c r="D2519" s="2" t="s">
        <v>54</v>
      </c>
      <c r="E2519" s="2" t="s">
        <v>218</v>
      </c>
      <c r="F2519" s="2" t="n">
        <v>16.5</v>
      </c>
      <c r="G2519" s="2" t="n">
        <v>49.5</v>
      </c>
      <c r="H2519" s="2" t="s">
        <v>1689</v>
      </c>
      <c r="I2519" s="2" t="n">
        <v>4</v>
      </c>
    </row>
    <row r="2520" customFormat="false" ht="15" hidden="false" customHeight="false" outlineLevel="0" collapsed="false">
      <c r="A2520" s="2" t="s">
        <v>1541</v>
      </c>
      <c r="B2520" s="2" t="s">
        <v>409</v>
      </c>
      <c r="C2520" s="2" t="n">
        <v>33</v>
      </c>
      <c r="D2520" s="2" t="s">
        <v>54</v>
      </c>
      <c r="E2520" s="2" t="s">
        <v>3475</v>
      </c>
      <c r="F2520" s="2" t="n">
        <v>16.5</v>
      </c>
      <c r="G2520" s="2" t="n">
        <v>49.5</v>
      </c>
      <c r="H2520" s="2" t="s">
        <v>1689</v>
      </c>
      <c r="I2520" s="2" t="n">
        <v>5</v>
      </c>
    </row>
    <row r="2521" customFormat="false" ht="15" hidden="false" customHeight="false" outlineLevel="0" collapsed="false">
      <c r="A2521" s="2" t="s">
        <v>1541</v>
      </c>
      <c r="B2521" s="2" t="s">
        <v>566</v>
      </c>
      <c r="C2521" s="2" t="n">
        <v>30</v>
      </c>
      <c r="D2521" s="2" t="s">
        <v>54</v>
      </c>
      <c r="E2521" s="2" t="s">
        <v>3476</v>
      </c>
      <c r="F2521" s="2" t="n">
        <v>15</v>
      </c>
      <c r="G2521" s="2" t="n">
        <v>45</v>
      </c>
      <c r="H2521" s="2" t="s">
        <v>1689</v>
      </c>
      <c r="I2521" s="2" t="n">
        <v>6</v>
      </c>
    </row>
    <row r="2522" customFormat="false" ht="15" hidden="false" customHeight="false" outlineLevel="0" collapsed="false">
      <c r="A2522" s="2" t="s">
        <v>1544</v>
      </c>
      <c r="B2522" s="2" t="s">
        <v>476</v>
      </c>
      <c r="C2522" s="2" t="n">
        <v>150</v>
      </c>
      <c r="D2522" s="2" t="s">
        <v>54</v>
      </c>
      <c r="E2522" s="2" t="s">
        <v>3477</v>
      </c>
      <c r="F2522" s="2" t="n">
        <v>75</v>
      </c>
      <c r="G2522" s="2" t="n">
        <v>225</v>
      </c>
      <c r="H2522" s="2" t="s">
        <v>1693</v>
      </c>
      <c r="I2522" s="2" t="n">
        <v>1</v>
      </c>
    </row>
    <row r="2523" customFormat="false" ht="15" hidden="false" customHeight="false" outlineLevel="0" collapsed="false">
      <c r="A2523" s="2" t="s">
        <v>1544</v>
      </c>
      <c r="B2523" s="2" t="s">
        <v>129</v>
      </c>
      <c r="C2523" s="2" t="n">
        <v>5</v>
      </c>
      <c r="D2523" s="2" t="s">
        <v>54</v>
      </c>
      <c r="E2523" s="2" t="s">
        <v>3134</v>
      </c>
      <c r="F2523" s="2" t="n">
        <v>2.5</v>
      </c>
      <c r="G2523" s="2" t="n">
        <v>7.5</v>
      </c>
      <c r="H2523" s="2" t="s">
        <v>1700</v>
      </c>
      <c r="I2523" s="2" t="n">
        <v>2</v>
      </c>
    </row>
    <row r="2524" customFormat="false" ht="15" hidden="false" customHeight="false" outlineLevel="0" collapsed="false">
      <c r="A2524" s="2" t="s">
        <v>1544</v>
      </c>
      <c r="B2524" s="2" t="s">
        <v>271</v>
      </c>
      <c r="C2524" s="2" t="n">
        <v>1</v>
      </c>
      <c r="D2524" s="2" t="s">
        <v>54</v>
      </c>
      <c r="E2524" s="2" t="s">
        <v>2974</v>
      </c>
      <c r="F2524" s="2" t="n">
        <v>0.5</v>
      </c>
      <c r="G2524" s="2" t="n">
        <v>1.5</v>
      </c>
      <c r="H2524" s="2" t="s">
        <v>1689</v>
      </c>
      <c r="I2524" s="2" t="n">
        <v>3</v>
      </c>
    </row>
    <row r="2525" customFormat="false" ht="15" hidden="false" customHeight="false" outlineLevel="0" collapsed="false">
      <c r="A2525" s="2" t="s">
        <v>1544</v>
      </c>
      <c r="B2525" s="2" t="s">
        <v>271</v>
      </c>
      <c r="C2525" s="2" t="n">
        <v>1</v>
      </c>
      <c r="D2525" s="2" t="s">
        <v>54</v>
      </c>
      <c r="E2525" s="2" t="s">
        <v>2977</v>
      </c>
      <c r="F2525" s="2" t="n">
        <v>0.5</v>
      </c>
      <c r="G2525" s="2" t="n">
        <v>1.5</v>
      </c>
      <c r="H2525" s="2" t="s">
        <v>1689</v>
      </c>
      <c r="I2525" s="2" t="n">
        <v>4</v>
      </c>
    </row>
    <row r="2526" customFormat="false" ht="15" hidden="false" customHeight="false" outlineLevel="0" collapsed="false">
      <c r="A2526" s="2" t="s">
        <v>1544</v>
      </c>
      <c r="B2526" s="2" t="s">
        <v>367</v>
      </c>
      <c r="C2526" s="2" t="n">
        <v>2</v>
      </c>
      <c r="D2526" s="2" t="s">
        <v>76</v>
      </c>
      <c r="E2526" s="2" t="s">
        <v>2505</v>
      </c>
      <c r="F2526" s="2" t="n">
        <v>1</v>
      </c>
      <c r="G2526" s="2" t="n">
        <v>3</v>
      </c>
      <c r="H2526" s="2" t="s">
        <v>1689</v>
      </c>
      <c r="I2526" s="2" t="n">
        <v>5</v>
      </c>
    </row>
    <row r="2527" customFormat="false" ht="15" hidden="false" customHeight="false" outlineLevel="0" collapsed="false">
      <c r="A2527" s="2" t="s">
        <v>1544</v>
      </c>
      <c r="B2527" s="2" t="s">
        <v>117</v>
      </c>
      <c r="C2527" s="2" t="n">
        <v>0.33</v>
      </c>
      <c r="D2527" s="2" t="s">
        <v>1687</v>
      </c>
      <c r="E2527" s="2" t="s">
        <v>3478</v>
      </c>
      <c r="F2527" s="2"/>
      <c r="G2527" s="2" t="n">
        <v>1.33</v>
      </c>
      <c r="H2527" s="2" t="s">
        <v>1700</v>
      </c>
      <c r="I2527" s="2" t="n">
        <v>6</v>
      </c>
    </row>
    <row r="2528" customFormat="false" ht="15" hidden="false" customHeight="false" outlineLevel="0" collapsed="false">
      <c r="A2528" s="2" t="s">
        <v>1544</v>
      </c>
      <c r="B2528" s="2" t="s">
        <v>458</v>
      </c>
      <c r="C2528" s="2" t="n">
        <v>25</v>
      </c>
      <c r="D2528" s="2" t="s">
        <v>54</v>
      </c>
      <c r="E2528" s="2" t="s">
        <v>3479</v>
      </c>
      <c r="F2528" s="2" t="n">
        <v>12.5</v>
      </c>
      <c r="G2528" s="2" t="n">
        <v>37.5</v>
      </c>
      <c r="H2528" s="2" t="s">
        <v>1689</v>
      </c>
      <c r="I2528" s="2" t="n">
        <v>7</v>
      </c>
    </row>
    <row r="2529" customFormat="false" ht="15" hidden="false" customHeight="false" outlineLevel="0" collapsed="false">
      <c r="A2529" s="2" t="s">
        <v>1544</v>
      </c>
      <c r="B2529" s="2" t="s">
        <v>524</v>
      </c>
      <c r="C2529" s="2" t="n">
        <v>50</v>
      </c>
      <c r="D2529" s="2" t="s">
        <v>54</v>
      </c>
      <c r="E2529" s="2" t="s">
        <v>3480</v>
      </c>
      <c r="F2529" s="2" t="n">
        <v>25</v>
      </c>
      <c r="G2529" s="2" t="n">
        <v>75</v>
      </c>
      <c r="H2529" s="2" t="s">
        <v>1689</v>
      </c>
      <c r="I2529" s="2" t="n">
        <v>8</v>
      </c>
    </row>
    <row r="2530" customFormat="false" ht="15" hidden="false" customHeight="false" outlineLevel="0" collapsed="false">
      <c r="A2530" s="2" t="s">
        <v>1544</v>
      </c>
      <c r="B2530" s="2" t="s">
        <v>301</v>
      </c>
      <c r="C2530" s="2" t="n">
        <v>10</v>
      </c>
      <c r="D2530" s="2" t="s">
        <v>54</v>
      </c>
      <c r="E2530" s="2" t="s">
        <v>3481</v>
      </c>
      <c r="F2530" s="2" t="n">
        <v>5</v>
      </c>
      <c r="G2530" s="2" t="n">
        <v>15</v>
      </c>
      <c r="H2530" s="2" t="s">
        <v>1689</v>
      </c>
      <c r="I2530" s="2" t="n">
        <v>9</v>
      </c>
    </row>
    <row r="2531" customFormat="false" ht="15" hidden="false" customHeight="false" outlineLevel="0" collapsed="false">
      <c r="A2531" s="2" t="s">
        <v>1544</v>
      </c>
      <c r="B2531" s="2" t="s">
        <v>367</v>
      </c>
      <c r="C2531" s="2" t="n">
        <v>2</v>
      </c>
      <c r="D2531" s="2" t="s">
        <v>76</v>
      </c>
      <c r="E2531" s="2" t="s">
        <v>2499</v>
      </c>
      <c r="F2531" s="2" t="n">
        <v>1</v>
      </c>
      <c r="G2531" s="2" t="n">
        <v>3</v>
      </c>
      <c r="H2531" s="2" t="s">
        <v>1689</v>
      </c>
      <c r="I2531" s="2" t="n">
        <v>10</v>
      </c>
    </row>
    <row r="2532" customFormat="false" ht="15" hidden="false" customHeight="false" outlineLevel="0" collapsed="false">
      <c r="A2532" s="2" t="s">
        <v>1544</v>
      </c>
      <c r="B2532" s="2" t="s">
        <v>131</v>
      </c>
      <c r="C2532" s="2" t="n">
        <v>1</v>
      </c>
      <c r="D2532" s="2" t="s">
        <v>54</v>
      </c>
      <c r="E2532" s="2" t="s">
        <v>3482</v>
      </c>
      <c r="F2532" s="2" t="n">
        <v>0.5</v>
      </c>
      <c r="G2532" s="2" t="n">
        <v>1.5</v>
      </c>
      <c r="H2532" s="2" t="s">
        <v>1689</v>
      </c>
      <c r="I2532" s="2" t="n">
        <v>11</v>
      </c>
    </row>
    <row r="2533" customFormat="false" ht="15" hidden="false" customHeight="false" outlineLevel="0" collapsed="false">
      <c r="A2533" s="2" t="s">
        <v>1544</v>
      </c>
      <c r="B2533" s="2" t="s">
        <v>214</v>
      </c>
      <c r="C2533" s="2" t="n">
        <v>150</v>
      </c>
      <c r="D2533" s="2" t="s">
        <v>54</v>
      </c>
      <c r="E2533" s="2" t="s">
        <v>3483</v>
      </c>
      <c r="F2533" s="2" t="n">
        <v>75</v>
      </c>
      <c r="G2533" s="2" t="n">
        <v>225</v>
      </c>
      <c r="H2533" s="2" t="s">
        <v>1689</v>
      </c>
      <c r="I2533" s="2" t="n">
        <v>12</v>
      </c>
    </row>
    <row r="2534" customFormat="false" ht="15" hidden="false" customHeight="false" outlineLevel="0" collapsed="false">
      <c r="A2534" s="2" t="s">
        <v>1544</v>
      </c>
      <c r="B2534" s="2" t="s">
        <v>129</v>
      </c>
      <c r="C2534" s="2" t="n">
        <v>5</v>
      </c>
      <c r="D2534" s="2" t="s">
        <v>54</v>
      </c>
      <c r="E2534" s="2" t="s">
        <v>3484</v>
      </c>
      <c r="F2534" s="2" t="n">
        <v>2.5</v>
      </c>
      <c r="G2534" s="2" t="n">
        <v>7.5</v>
      </c>
      <c r="H2534" s="2" t="s">
        <v>1700</v>
      </c>
      <c r="I2534" s="2" t="n">
        <v>13</v>
      </c>
    </row>
    <row r="2535" customFormat="false" ht="15" hidden="false" customHeight="false" outlineLevel="0" collapsed="false">
      <c r="A2535" s="2" t="s">
        <v>1544</v>
      </c>
      <c r="B2535" s="2" t="s">
        <v>312</v>
      </c>
      <c r="C2535" s="2" t="n">
        <v>1</v>
      </c>
      <c r="D2535" s="2" t="s">
        <v>1687</v>
      </c>
      <c r="E2535" s="2" t="s">
        <v>3220</v>
      </c>
      <c r="F2535" s="2"/>
      <c r="G2535" s="2" t="n">
        <v>2</v>
      </c>
      <c r="H2535" s="2" t="s">
        <v>1689</v>
      </c>
      <c r="I2535" s="2" t="n">
        <v>14</v>
      </c>
    </row>
    <row r="2536" customFormat="false" ht="15" hidden="false" customHeight="false" outlineLevel="0" collapsed="false">
      <c r="A2536" s="2" t="s">
        <v>1544</v>
      </c>
      <c r="B2536" s="2" t="s">
        <v>131</v>
      </c>
      <c r="C2536" s="2" t="n">
        <v>1</v>
      </c>
      <c r="D2536" s="2" t="s">
        <v>54</v>
      </c>
      <c r="E2536" s="2" t="s">
        <v>3485</v>
      </c>
      <c r="F2536" s="2" t="n">
        <v>0.5</v>
      </c>
      <c r="G2536" s="2" t="n">
        <v>1.5</v>
      </c>
      <c r="H2536" s="2" t="s">
        <v>1689</v>
      </c>
      <c r="I2536" s="2" t="n">
        <v>15</v>
      </c>
    </row>
    <row r="2537" customFormat="false" ht="15" hidden="false" customHeight="false" outlineLevel="0" collapsed="false">
      <c r="A2537" s="2" t="s">
        <v>1547</v>
      </c>
      <c r="B2537" s="2" t="s">
        <v>347</v>
      </c>
      <c r="C2537" s="2" t="n">
        <v>150</v>
      </c>
      <c r="D2537" s="2" t="s">
        <v>54</v>
      </c>
      <c r="E2537" s="2" t="s">
        <v>3430</v>
      </c>
      <c r="F2537" s="2" t="n">
        <v>75</v>
      </c>
      <c r="G2537" s="2" t="n">
        <v>225</v>
      </c>
      <c r="H2537" s="2" t="s">
        <v>1693</v>
      </c>
      <c r="I2537" s="2" t="n">
        <v>1</v>
      </c>
    </row>
    <row r="2538" customFormat="false" ht="15" hidden="false" customHeight="false" outlineLevel="0" collapsed="false">
      <c r="A2538" s="2" t="s">
        <v>1547</v>
      </c>
      <c r="B2538" s="2" t="s">
        <v>129</v>
      </c>
      <c r="C2538" s="2" t="n">
        <v>5</v>
      </c>
      <c r="D2538" s="2" t="s">
        <v>54</v>
      </c>
      <c r="E2538" s="2" t="s">
        <v>3431</v>
      </c>
      <c r="F2538" s="2" t="n">
        <v>2.5</v>
      </c>
      <c r="G2538" s="2" t="n">
        <v>7.5</v>
      </c>
      <c r="H2538" s="2" t="s">
        <v>1700</v>
      </c>
      <c r="I2538" s="2" t="n">
        <v>2</v>
      </c>
    </row>
    <row r="2539" customFormat="false" ht="15" hidden="false" customHeight="false" outlineLevel="0" collapsed="false">
      <c r="A2539" s="2" t="s">
        <v>1547</v>
      </c>
      <c r="B2539" s="2" t="s">
        <v>312</v>
      </c>
      <c r="C2539" s="2" t="n">
        <v>1</v>
      </c>
      <c r="D2539" s="2" t="s">
        <v>1687</v>
      </c>
      <c r="E2539" s="2" t="s">
        <v>2875</v>
      </c>
      <c r="F2539" s="2"/>
      <c r="G2539" s="2" t="n">
        <v>2</v>
      </c>
      <c r="H2539" s="2" t="s">
        <v>1689</v>
      </c>
      <c r="I2539" s="2" t="n">
        <v>3</v>
      </c>
    </row>
    <row r="2540" customFormat="false" ht="15" hidden="false" customHeight="false" outlineLevel="0" collapsed="false">
      <c r="A2540" s="2" t="s">
        <v>1547</v>
      </c>
      <c r="B2540" s="2" t="s">
        <v>271</v>
      </c>
      <c r="C2540" s="2" t="n">
        <v>2</v>
      </c>
      <c r="D2540" s="2" t="s">
        <v>54</v>
      </c>
      <c r="E2540" s="2" t="s">
        <v>3486</v>
      </c>
      <c r="F2540" s="2" t="n">
        <v>1</v>
      </c>
      <c r="G2540" s="2" t="n">
        <v>3</v>
      </c>
      <c r="H2540" s="2" t="s">
        <v>1689</v>
      </c>
      <c r="I2540" s="2" t="n">
        <v>4</v>
      </c>
    </row>
    <row r="2541" customFormat="false" ht="15" hidden="false" customHeight="false" outlineLevel="0" collapsed="false">
      <c r="A2541" s="2" t="s">
        <v>1547</v>
      </c>
      <c r="B2541" s="2" t="s">
        <v>367</v>
      </c>
      <c r="C2541" s="2" t="n">
        <v>2</v>
      </c>
      <c r="D2541" s="2" t="s">
        <v>76</v>
      </c>
      <c r="E2541" s="2" t="s">
        <v>2505</v>
      </c>
      <c r="F2541" s="2" t="n">
        <v>1</v>
      </c>
      <c r="G2541" s="2" t="n">
        <v>3</v>
      </c>
      <c r="H2541" s="2" t="s">
        <v>1689</v>
      </c>
      <c r="I2541" s="2" t="n">
        <v>5</v>
      </c>
    </row>
    <row r="2542" customFormat="false" ht="15" hidden="false" customHeight="false" outlineLevel="0" collapsed="false">
      <c r="A2542" s="2" t="s">
        <v>1547</v>
      </c>
      <c r="B2542" s="2" t="s">
        <v>210</v>
      </c>
      <c r="C2542" s="2" t="n">
        <v>50</v>
      </c>
      <c r="D2542" s="2" t="s">
        <v>54</v>
      </c>
      <c r="E2542" s="2" t="s">
        <v>3487</v>
      </c>
      <c r="F2542" s="2" t="n">
        <v>25</v>
      </c>
      <c r="G2542" s="2" t="n">
        <v>75</v>
      </c>
      <c r="H2542" s="2" t="s">
        <v>1689</v>
      </c>
      <c r="I2542" s="2" t="n">
        <v>6</v>
      </c>
    </row>
    <row r="2543" customFormat="false" ht="15" hidden="false" customHeight="false" outlineLevel="0" collapsed="false">
      <c r="A2543" s="2" t="s">
        <v>1547</v>
      </c>
      <c r="B2543" s="2" t="s">
        <v>323</v>
      </c>
      <c r="C2543" s="2" t="n">
        <v>50</v>
      </c>
      <c r="D2543" s="2" t="s">
        <v>54</v>
      </c>
      <c r="E2543" s="2" t="s">
        <v>3488</v>
      </c>
      <c r="F2543" s="2" t="n">
        <v>25</v>
      </c>
      <c r="G2543" s="2" t="n">
        <v>75</v>
      </c>
      <c r="H2543" s="2" t="s">
        <v>1689</v>
      </c>
      <c r="I2543" s="2" t="n">
        <v>7</v>
      </c>
    </row>
    <row r="2544" customFormat="false" ht="15" hidden="false" customHeight="false" outlineLevel="0" collapsed="false">
      <c r="A2544" s="2" t="s">
        <v>1547</v>
      </c>
      <c r="B2544" s="2" t="s">
        <v>129</v>
      </c>
      <c r="C2544" s="2" t="n">
        <v>5</v>
      </c>
      <c r="D2544" s="2" t="s">
        <v>54</v>
      </c>
      <c r="E2544" s="2" t="s">
        <v>3489</v>
      </c>
      <c r="F2544" s="2" t="n">
        <v>2.5</v>
      </c>
      <c r="G2544" s="2" t="n">
        <v>7.5</v>
      </c>
      <c r="H2544" s="2" t="s">
        <v>1700</v>
      </c>
      <c r="I2544" s="2" t="n">
        <v>8</v>
      </c>
    </row>
    <row r="2545" customFormat="false" ht="15" hidden="false" customHeight="false" outlineLevel="0" collapsed="false">
      <c r="A2545" s="2" t="s">
        <v>1547</v>
      </c>
      <c r="B2545" s="2" t="s">
        <v>446</v>
      </c>
      <c r="C2545" s="2" t="n">
        <v>100</v>
      </c>
      <c r="D2545" s="2" t="s">
        <v>54</v>
      </c>
      <c r="E2545" s="2" t="s">
        <v>3490</v>
      </c>
      <c r="F2545" s="2" t="n">
        <v>50</v>
      </c>
      <c r="G2545" s="2" t="n">
        <v>150</v>
      </c>
      <c r="H2545" s="2" t="s">
        <v>1689</v>
      </c>
      <c r="I2545" s="2" t="n">
        <v>9</v>
      </c>
    </row>
    <row r="2546" customFormat="false" ht="15" hidden="false" customHeight="false" outlineLevel="0" collapsed="false">
      <c r="A2546" s="2" t="s">
        <v>1547</v>
      </c>
      <c r="B2546" s="2" t="s">
        <v>129</v>
      </c>
      <c r="C2546" s="2" t="n">
        <v>5</v>
      </c>
      <c r="D2546" s="2" t="s">
        <v>54</v>
      </c>
      <c r="E2546" s="2" t="s">
        <v>3491</v>
      </c>
      <c r="F2546" s="2" t="n">
        <v>2.5</v>
      </c>
      <c r="G2546" s="2" t="n">
        <v>7.5</v>
      </c>
      <c r="H2546" s="2" t="s">
        <v>1700</v>
      </c>
      <c r="I2546" s="2" t="n">
        <v>10</v>
      </c>
    </row>
    <row r="2547" customFormat="false" ht="15" hidden="false" customHeight="false" outlineLevel="0" collapsed="false">
      <c r="A2547" s="2" t="s">
        <v>1547</v>
      </c>
      <c r="B2547" s="2" t="s">
        <v>131</v>
      </c>
      <c r="C2547" s="2" t="n">
        <v>1</v>
      </c>
      <c r="D2547" s="2" t="s">
        <v>54</v>
      </c>
      <c r="E2547" s="2" t="s">
        <v>1880</v>
      </c>
      <c r="F2547" s="2" t="n">
        <v>0.5</v>
      </c>
      <c r="G2547" s="2" t="n">
        <v>1.5</v>
      </c>
      <c r="H2547" s="2" t="s">
        <v>1689</v>
      </c>
      <c r="I2547" s="2" t="n">
        <v>11</v>
      </c>
    </row>
    <row r="2548" customFormat="false" ht="15" hidden="false" customHeight="false" outlineLevel="0" collapsed="false">
      <c r="A2548" s="2" t="s">
        <v>1550</v>
      </c>
      <c r="B2548" s="2" t="s">
        <v>221</v>
      </c>
      <c r="C2548" s="2" t="n">
        <v>150</v>
      </c>
      <c r="D2548" s="2" t="s">
        <v>54</v>
      </c>
      <c r="E2548" s="2" t="s">
        <v>3492</v>
      </c>
      <c r="F2548" s="2" t="n">
        <v>75</v>
      </c>
      <c r="G2548" s="2" t="n">
        <v>225</v>
      </c>
      <c r="H2548" s="2" t="s">
        <v>1693</v>
      </c>
      <c r="I2548" s="2" t="n">
        <v>1</v>
      </c>
    </row>
    <row r="2549" customFormat="false" ht="15" hidden="false" customHeight="false" outlineLevel="0" collapsed="false">
      <c r="A2549" s="2" t="s">
        <v>1550</v>
      </c>
      <c r="B2549" s="2" t="s">
        <v>454</v>
      </c>
      <c r="C2549" s="2" t="n">
        <v>120</v>
      </c>
      <c r="D2549" s="2" t="s">
        <v>54</v>
      </c>
      <c r="E2549" s="2" t="s">
        <v>3493</v>
      </c>
      <c r="F2549" s="2" t="n">
        <v>60</v>
      </c>
      <c r="G2549" s="2" t="n">
        <v>180</v>
      </c>
      <c r="H2549" s="2" t="s">
        <v>1689</v>
      </c>
      <c r="I2549" s="2" t="n">
        <v>2</v>
      </c>
    </row>
    <row r="2550" customFormat="false" ht="15" hidden="false" customHeight="false" outlineLevel="0" collapsed="false">
      <c r="A2550" s="2" t="s">
        <v>1550</v>
      </c>
      <c r="B2550" s="2" t="s">
        <v>454</v>
      </c>
      <c r="C2550" s="2" t="n">
        <v>120</v>
      </c>
      <c r="D2550" s="2" t="s">
        <v>54</v>
      </c>
      <c r="E2550" s="2" t="s">
        <v>3494</v>
      </c>
      <c r="F2550" s="2" t="n">
        <v>60</v>
      </c>
      <c r="G2550" s="2" t="n">
        <v>180</v>
      </c>
      <c r="H2550" s="2" t="s">
        <v>1689</v>
      </c>
      <c r="I2550" s="2" t="n">
        <v>3</v>
      </c>
    </row>
    <row r="2551" customFormat="false" ht="15" hidden="false" customHeight="false" outlineLevel="0" collapsed="false">
      <c r="A2551" s="2" t="s">
        <v>1550</v>
      </c>
      <c r="B2551" s="2" t="s">
        <v>409</v>
      </c>
      <c r="C2551" s="2" t="n">
        <v>70</v>
      </c>
      <c r="D2551" s="2" t="s">
        <v>54</v>
      </c>
      <c r="E2551" s="2" t="s">
        <v>3495</v>
      </c>
      <c r="F2551" s="2" t="n">
        <v>35</v>
      </c>
      <c r="G2551" s="2" t="n">
        <v>105</v>
      </c>
      <c r="H2551" s="2" t="s">
        <v>1689</v>
      </c>
      <c r="I2551" s="2" t="n">
        <v>4</v>
      </c>
    </row>
    <row r="2552" customFormat="false" ht="15" hidden="false" customHeight="false" outlineLevel="0" collapsed="false">
      <c r="A2552" s="2" t="s">
        <v>1550</v>
      </c>
      <c r="B2552" s="2" t="s">
        <v>349</v>
      </c>
      <c r="C2552" s="2" t="n">
        <v>1</v>
      </c>
      <c r="D2552" s="2" t="s">
        <v>1687</v>
      </c>
      <c r="E2552" s="2" t="s">
        <v>3496</v>
      </c>
      <c r="F2552" s="2"/>
      <c r="G2552" s="2" t="n">
        <v>2</v>
      </c>
      <c r="H2552" s="2" t="s">
        <v>1689</v>
      </c>
      <c r="I2552" s="2" t="n">
        <v>5</v>
      </c>
    </row>
    <row r="2553" customFormat="false" ht="15" hidden="false" customHeight="false" outlineLevel="0" collapsed="false">
      <c r="A2553" s="2" t="s">
        <v>1550</v>
      </c>
      <c r="B2553" s="2" t="s">
        <v>129</v>
      </c>
      <c r="C2553" s="2" t="n">
        <v>15</v>
      </c>
      <c r="D2553" s="2" t="s">
        <v>54</v>
      </c>
      <c r="E2553" s="2" t="s">
        <v>3118</v>
      </c>
      <c r="F2553" s="2" t="n">
        <v>7.5</v>
      </c>
      <c r="G2553" s="2" t="n">
        <v>22.5</v>
      </c>
      <c r="H2553" s="2" t="s">
        <v>1700</v>
      </c>
      <c r="I2553" s="2" t="n">
        <v>6</v>
      </c>
    </row>
    <row r="2554" customFormat="false" ht="15" hidden="false" customHeight="false" outlineLevel="0" collapsed="false">
      <c r="A2554" s="2" t="s">
        <v>1550</v>
      </c>
      <c r="B2554" s="2" t="s">
        <v>262</v>
      </c>
      <c r="C2554" s="2" t="n">
        <v>3</v>
      </c>
      <c r="D2554" s="2" t="s">
        <v>54</v>
      </c>
      <c r="E2554" s="2" t="s">
        <v>3497</v>
      </c>
      <c r="F2554" s="2" t="n">
        <v>1.5</v>
      </c>
      <c r="G2554" s="2" t="n">
        <v>4.5</v>
      </c>
      <c r="H2554" s="2" t="s">
        <v>1689</v>
      </c>
      <c r="I2554" s="2" t="n">
        <v>7</v>
      </c>
    </row>
    <row r="2555" customFormat="false" ht="15" hidden="false" customHeight="false" outlineLevel="0" collapsed="false">
      <c r="A2555" s="2" t="s">
        <v>1550</v>
      </c>
      <c r="B2555" s="2" t="s">
        <v>306</v>
      </c>
      <c r="C2555" s="2" t="n">
        <v>15</v>
      </c>
      <c r="D2555" s="2" t="s">
        <v>54</v>
      </c>
      <c r="E2555" s="2" t="s">
        <v>3498</v>
      </c>
      <c r="F2555" s="2" t="n">
        <v>7.5</v>
      </c>
      <c r="G2555" s="2" t="n">
        <v>22.5</v>
      </c>
      <c r="H2555" s="2" t="s">
        <v>1689</v>
      </c>
      <c r="I2555" s="2" t="n">
        <v>8</v>
      </c>
    </row>
    <row r="2556" customFormat="false" ht="15" hidden="false" customHeight="false" outlineLevel="0" collapsed="false">
      <c r="A2556" s="2" t="s">
        <v>1550</v>
      </c>
      <c r="B2556" s="2" t="s">
        <v>148</v>
      </c>
      <c r="C2556" s="2" t="n">
        <v>15</v>
      </c>
      <c r="D2556" s="2" t="s">
        <v>54</v>
      </c>
      <c r="E2556" s="2" t="s">
        <v>3499</v>
      </c>
      <c r="F2556" s="2" t="n">
        <v>7.5</v>
      </c>
      <c r="G2556" s="2" t="n">
        <v>22.5</v>
      </c>
      <c r="H2556" s="2" t="s">
        <v>1693</v>
      </c>
      <c r="I2556" s="2" t="n">
        <v>9</v>
      </c>
    </row>
    <row r="2557" customFormat="false" ht="15" hidden="false" customHeight="false" outlineLevel="0" collapsed="false">
      <c r="A2557" s="2" t="s">
        <v>1553</v>
      </c>
      <c r="B2557" s="2" t="s">
        <v>353</v>
      </c>
      <c r="C2557" s="2" t="n">
        <v>500</v>
      </c>
      <c r="D2557" s="2" t="s">
        <v>54</v>
      </c>
      <c r="E2557" s="2" t="s">
        <v>3500</v>
      </c>
      <c r="F2557" s="2" t="n">
        <v>250</v>
      </c>
      <c r="G2557" s="2" t="n">
        <v>750</v>
      </c>
      <c r="H2557" s="2" t="s">
        <v>1693</v>
      </c>
      <c r="I2557" s="2" t="n">
        <v>1</v>
      </c>
    </row>
    <row r="2558" customFormat="false" ht="15" hidden="false" customHeight="false" outlineLevel="0" collapsed="false">
      <c r="A2558" s="2" t="s">
        <v>1553</v>
      </c>
      <c r="B2558" s="2" t="s">
        <v>424</v>
      </c>
      <c r="C2558" s="2" t="n">
        <v>400</v>
      </c>
      <c r="D2558" s="2" t="s">
        <v>54</v>
      </c>
      <c r="E2558" s="2" t="s">
        <v>3501</v>
      </c>
      <c r="F2558" s="2" t="n">
        <v>200</v>
      </c>
      <c r="G2558" s="2" t="n">
        <v>600</v>
      </c>
      <c r="H2558" s="2" t="s">
        <v>1689</v>
      </c>
      <c r="I2558" s="2" t="n">
        <v>2</v>
      </c>
    </row>
    <row r="2559" customFormat="false" ht="15" hidden="false" customHeight="false" outlineLevel="0" collapsed="false">
      <c r="A2559" s="2" t="s">
        <v>1553</v>
      </c>
      <c r="B2559" s="2" t="s">
        <v>422</v>
      </c>
      <c r="C2559" s="2" t="n">
        <v>400</v>
      </c>
      <c r="D2559" s="2" t="s">
        <v>54</v>
      </c>
      <c r="E2559" s="2" t="s">
        <v>3502</v>
      </c>
      <c r="F2559" s="2" t="n">
        <v>200</v>
      </c>
      <c r="G2559" s="2" t="n">
        <v>600</v>
      </c>
      <c r="H2559" s="2" t="s">
        <v>1689</v>
      </c>
      <c r="I2559" s="2" t="n">
        <v>3</v>
      </c>
    </row>
    <row r="2560" customFormat="false" ht="15" hidden="false" customHeight="false" outlineLevel="0" collapsed="false">
      <c r="A2560" s="2" t="s">
        <v>1553</v>
      </c>
      <c r="B2560" s="2" t="s">
        <v>409</v>
      </c>
      <c r="C2560" s="2" t="n">
        <v>100</v>
      </c>
      <c r="D2560" s="2" t="s">
        <v>54</v>
      </c>
      <c r="E2560" s="2" t="s">
        <v>2046</v>
      </c>
      <c r="F2560" s="2" t="n">
        <v>50</v>
      </c>
      <c r="G2560" s="2" t="n">
        <v>150</v>
      </c>
      <c r="H2560" s="2" t="s">
        <v>1689</v>
      </c>
      <c r="I2560" s="2" t="n">
        <v>4</v>
      </c>
    </row>
    <row r="2561" customFormat="false" ht="15" hidden="false" customHeight="false" outlineLevel="0" collapsed="false">
      <c r="A2561" s="2" t="s">
        <v>1553</v>
      </c>
      <c r="B2561" s="2" t="s">
        <v>454</v>
      </c>
      <c r="C2561" s="2" t="n">
        <v>160</v>
      </c>
      <c r="D2561" s="2" t="s">
        <v>54</v>
      </c>
      <c r="E2561" s="2" t="s">
        <v>3503</v>
      </c>
      <c r="F2561" s="2" t="n">
        <v>80</v>
      </c>
      <c r="G2561" s="2" t="n">
        <v>240</v>
      </c>
      <c r="H2561" s="2" t="s">
        <v>1689</v>
      </c>
      <c r="I2561" s="2" t="n">
        <v>5</v>
      </c>
    </row>
    <row r="2562" customFormat="false" ht="15" hidden="false" customHeight="false" outlineLevel="0" collapsed="false">
      <c r="A2562" s="2" t="s">
        <v>1553</v>
      </c>
      <c r="B2562" s="2" t="s">
        <v>301</v>
      </c>
      <c r="C2562" s="2" t="n">
        <v>8</v>
      </c>
      <c r="D2562" s="2" t="s">
        <v>54</v>
      </c>
      <c r="E2562" s="2" t="s">
        <v>3504</v>
      </c>
      <c r="F2562" s="2" t="n">
        <v>4</v>
      </c>
      <c r="G2562" s="2" t="n">
        <v>12</v>
      </c>
      <c r="H2562" s="2" t="s">
        <v>1689</v>
      </c>
      <c r="I2562" s="2" t="n">
        <v>6</v>
      </c>
    </row>
    <row r="2563" customFormat="false" ht="15" hidden="false" customHeight="false" outlineLevel="0" collapsed="false">
      <c r="A2563" s="2" t="s">
        <v>1553</v>
      </c>
      <c r="B2563" s="2" t="s">
        <v>526</v>
      </c>
      <c r="C2563" s="2" t="n">
        <v>15</v>
      </c>
      <c r="D2563" s="2" t="s">
        <v>54</v>
      </c>
      <c r="E2563" s="2" t="s">
        <v>3505</v>
      </c>
      <c r="F2563" s="2" t="n">
        <v>7.5</v>
      </c>
      <c r="G2563" s="2" t="n">
        <v>22.5</v>
      </c>
      <c r="H2563" s="2" t="s">
        <v>1689</v>
      </c>
      <c r="I2563" s="2" t="n">
        <v>7</v>
      </c>
    </row>
    <row r="2564" customFormat="false" ht="15" hidden="false" customHeight="false" outlineLevel="0" collapsed="false">
      <c r="A2564" s="2" t="s">
        <v>1553</v>
      </c>
      <c r="B2564" s="2" t="s">
        <v>312</v>
      </c>
      <c r="C2564" s="2" t="n">
        <v>2</v>
      </c>
      <c r="D2564" s="2" t="s">
        <v>1687</v>
      </c>
      <c r="E2564" s="2" t="s">
        <v>2418</v>
      </c>
      <c r="F2564" s="2" t="n">
        <v>1</v>
      </c>
      <c r="G2564" s="2" t="n">
        <v>3</v>
      </c>
      <c r="H2564" s="2" t="s">
        <v>1689</v>
      </c>
      <c r="I2564" s="2" t="n">
        <v>8</v>
      </c>
    </row>
    <row r="2565" customFormat="false" ht="15" hidden="false" customHeight="false" outlineLevel="0" collapsed="false">
      <c r="A2565" s="2" t="s">
        <v>1553</v>
      </c>
      <c r="B2565" s="2" t="s">
        <v>268</v>
      </c>
      <c r="C2565" s="2" t="n">
        <v>5</v>
      </c>
      <c r="D2565" s="2" t="s">
        <v>54</v>
      </c>
      <c r="E2565" s="2" t="s">
        <v>3506</v>
      </c>
      <c r="F2565" s="2" t="n">
        <v>2.5</v>
      </c>
      <c r="G2565" s="2" t="n">
        <v>7.5</v>
      </c>
      <c r="H2565" s="2" t="s">
        <v>1693</v>
      </c>
      <c r="I2565" s="2" t="n">
        <v>9</v>
      </c>
    </row>
    <row r="2566" customFormat="false" ht="15" hidden="false" customHeight="false" outlineLevel="0" collapsed="false">
      <c r="A2566" s="2" t="s">
        <v>1553</v>
      </c>
      <c r="B2566" s="2" t="s">
        <v>129</v>
      </c>
      <c r="C2566" s="2" t="n">
        <v>5</v>
      </c>
      <c r="D2566" s="2" t="s">
        <v>54</v>
      </c>
      <c r="E2566" s="2" t="s">
        <v>2929</v>
      </c>
      <c r="F2566" s="2" t="n">
        <v>2.5</v>
      </c>
      <c r="G2566" s="2" t="n">
        <v>7.5</v>
      </c>
      <c r="H2566" s="2" t="s">
        <v>1700</v>
      </c>
      <c r="I2566" s="2" t="n">
        <v>10</v>
      </c>
    </row>
    <row r="2567" customFormat="false" ht="15" hidden="false" customHeight="false" outlineLevel="0" collapsed="false">
      <c r="A2567" s="2" t="s">
        <v>1553</v>
      </c>
      <c r="B2567" s="2" t="s">
        <v>480</v>
      </c>
      <c r="C2567" s="2" t="n">
        <v>2</v>
      </c>
      <c r="D2567" s="2" t="s">
        <v>54</v>
      </c>
      <c r="E2567" s="2" t="s">
        <v>3507</v>
      </c>
      <c r="F2567" s="2" t="n">
        <v>1</v>
      </c>
      <c r="G2567" s="2" t="n">
        <v>3</v>
      </c>
      <c r="H2567" s="2" t="s">
        <v>1689</v>
      </c>
      <c r="I2567" s="2" t="n">
        <v>11</v>
      </c>
    </row>
    <row r="2568" customFormat="false" ht="15" hidden="false" customHeight="false" outlineLevel="0" collapsed="false">
      <c r="A2568" s="2" t="s">
        <v>1556</v>
      </c>
      <c r="B2568" s="2" t="s">
        <v>577</v>
      </c>
      <c r="C2568" s="2" t="n">
        <v>75</v>
      </c>
      <c r="D2568" s="2" t="s">
        <v>54</v>
      </c>
      <c r="E2568" s="2" t="s">
        <v>3462</v>
      </c>
      <c r="F2568" s="2" t="n">
        <v>37.5</v>
      </c>
      <c r="G2568" s="2" t="n">
        <v>112.5</v>
      </c>
      <c r="H2568" s="2" t="s">
        <v>1693</v>
      </c>
      <c r="I2568" s="2" t="n">
        <v>1</v>
      </c>
    </row>
    <row r="2569" customFormat="false" ht="15" hidden="false" customHeight="false" outlineLevel="0" collapsed="false">
      <c r="A2569" s="2" t="s">
        <v>1556</v>
      </c>
      <c r="B2569" s="2" t="s">
        <v>532</v>
      </c>
      <c r="C2569" s="2" t="n">
        <v>72</v>
      </c>
      <c r="D2569" s="2" t="s">
        <v>54</v>
      </c>
      <c r="E2569" s="2" t="s">
        <v>3463</v>
      </c>
      <c r="F2569" s="2" t="n">
        <v>36</v>
      </c>
      <c r="G2569" s="2" t="n">
        <v>108</v>
      </c>
      <c r="H2569" s="2" t="s">
        <v>1693</v>
      </c>
      <c r="I2569" s="2" t="n">
        <v>2</v>
      </c>
    </row>
    <row r="2570" customFormat="false" ht="15" hidden="false" customHeight="false" outlineLevel="0" collapsed="false">
      <c r="A2570" s="2" t="s">
        <v>1556</v>
      </c>
      <c r="B2570" s="2" t="s">
        <v>458</v>
      </c>
      <c r="C2570" s="2" t="n">
        <v>50</v>
      </c>
      <c r="D2570" s="2" t="s">
        <v>54</v>
      </c>
      <c r="E2570" s="2" t="s">
        <v>2417</v>
      </c>
      <c r="F2570" s="2" t="n">
        <v>25</v>
      </c>
      <c r="G2570" s="2" t="n">
        <v>75</v>
      </c>
      <c r="H2570" s="2" t="s">
        <v>1689</v>
      </c>
      <c r="I2570" s="2" t="n">
        <v>3</v>
      </c>
    </row>
    <row r="2571" customFormat="false" ht="15" hidden="false" customHeight="false" outlineLevel="0" collapsed="false">
      <c r="A2571" s="2" t="s">
        <v>1556</v>
      </c>
      <c r="B2571" s="2" t="s">
        <v>110</v>
      </c>
      <c r="C2571" s="2" t="n">
        <v>1</v>
      </c>
      <c r="D2571" s="2" t="s">
        <v>1687</v>
      </c>
      <c r="E2571" s="2" t="s">
        <v>3464</v>
      </c>
      <c r="F2571" s="2"/>
      <c r="G2571" s="2" t="n">
        <v>2</v>
      </c>
      <c r="H2571" s="2" t="s">
        <v>1693</v>
      </c>
      <c r="I2571" s="2" t="n">
        <v>4</v>
      </c>
    </row>
    <row r="2572" customFormat="false" ht="15" hidden="false" customHeight="false" outlineLevel="0" collapsed="false">
      <c r="A2572" s="2" t="s">
        <v>1556</v>
      </c>
      <c r="B2572" s="2" t="s">
        <v>556</v>
      </c>
      <c r="C2572" s="2" t="n">
        <v>1</v>
      </c>
      <c r="D2572" s="2" t="s">
        <v>1687</v>
      </c>
      <c r="E2572" s="2" t="s">
        <v>3465</v>
      </c>
      <c r="F2572" s="2"/>
      <c r="G2572" s="2" t="n">
        <v>2</v>
      </c>
      <c r="H2572" s="2" t="s">
        <v>1689</v>
      </c>
      <c r="I2572" s="2" t="n">
        <v>5</v>
      </c>
    </row>
    <row r="2573" customFormat="false" ht="15" hidden="false" customHeight="false" outlineLevel="0" collapsed="false">
      <c r="A2573" s="2" t="s">
        <v>1556</v>
      </c>
      <c r="B2573" s="2" t="s">
        <v>592</v>
      </c>
      <c r="C2573" s="2" t="n">
        <v>7.5</v>
      </c>
      <c r="D2573" s="2" t="s">
        <v>54</v>
      </c>
      <c r="E2573" s="2" t="s">
        <v>3466</v>
      </c>
      <c r="F2573" s="2" t="n">
        <v>3.75</v>
      </c>
      <c r="G2573" s="2" t="n">
        <v>11.25</v>
      </c>
      <c r="H2573" s="2" t="s">
        <v>1693</v>
      </c>
      <c r="I2573" s="2" t="n">
        <v>6</v>
      </c>
    </row>
    <row r="2574" customFormat="false" ht="15" hidden="false" customHeight="false" outlineLevel="0" collapsed="false">
      <c r="A2574" s="2" t="s">
        <v>1556</v>
      </c>
      <c r="B2574" s="2" t="s">
        <v>502</v>
      </c>
      <c r="C2574" s="2" t="n">
        <v>7.5</v>
      </c>
      <c r="D2574" s="2" t="s">
        <v>54</v>
      </c>
      <c r="E2574" s="2" t="s">
        <v>3467</v>
      </c>
      <c r="F2574" s="2" t="n">
        <v>3.75</v>
      </c>
      <c r="G2574" s="2" t="n">
        <v>11.25</v>
      </c>
      <c r="H2574" s="2" t="s">
        <v>1689</v>
      </c>
      <c r="I2574" s="2" t="n">
        <v>7</v>
      </c>
    </row>
    <row r="2575" customFormat="false" ht="15" hidden="false" customHeight="false" outlineLevel="0" collapsed="false">
      <c r="A2575" s="2" t="s">
        <v>1556</v>
      </c>
      <c r="B2575" s="2" t="s">
        <v>540</v>
      </c>
      <c r="C2575" s="2" t="n">
        <v>7.5</v>
      </c>
      <c r="D2575" s="2" t="s">
        <v>54</v>
      </c>
      <c r="E2575" s="2" t="s">
        <v>3468</v>
      </c>
      <c r="F2575" s="2" t="n">
        <v>3.75</v>
      </c>
      <c r="G2575" s="2" t="n">
        <v>11.25</v>
      </c>
      <c r="H2575" s="2" t="s">
        <v>1700</v>
      </c>
      <c r="I2575" s="2" t="n">
        <v>8</v>
      </c>
    </row>
    <row r="2576" customFormat="false" ht="15" hidden="false" customHeight="false" outlineLevel="0" collapsed="false">
      <c r="A2576" s="2" t="s">
        <v>1556</v>
      </c>
      <c r="B2576" s="2" t="s">
        <v>301</v>
      </c>
      <c r="C2576" s="2" t="n">
        <v>15</v>
      </c>
      <c r="D2576" s="2" t="s">
        <v>54</v>
      </c>
      <c r="E2576" s="2" t="s">
        <v>3469</v>
      </c>
      <c r="F2576" s="2" t="n">
        <v>7.5</v>
      </c>
      <c r="G2576" s="2" t="n">
        <v>22.5</v>
      </c>
      <c r="H2576" s="2" t="s">
        <v>1689</v>
      </c>
      <c r="I2576" s="2" t="n">
        <v>9</v>
      </c>
    </row>
    <row r="2577" customFormat="false" ht="15" hidden="false" customHeight="false" outlineLevel="0" collapsed="false">
      <c r="A2577" s="2" t="s">
        <v>1556</v>
      </c>
      <c r="B2577" s="2" t="s">
        <v>268</v>
      </c>
      <c r="C2577" s="2" t="n">
        <v>2.5</v>
      </c>
      <c r="D2577" s="2" t="s">
        <v>54</v>
      </c>
      <c r="E2577" s="2" t="s">
        <v>3470</v>
      </c>
      <c r="F2577" s="2" t="n">
        <v>1.25</v>
      </c>
      <c r="G2577" s="2" t="n">
        <v>3.75</v>
      </c>
      <c r="H2577" s="2" t="s">
        <v>1693</v>
      </c>
      <c r="I2577" s="2" t="n">
        <v>10</v>
      </c>
    </row>
    <row r="2578" customFormat="false" ht="15" hidden="false" customHeight="false" outlineLevel="0" collapsed="false">
      <c r="A2578" s="2" t="s">
        <v>1556</v>
      </c>
      <c r="B2578" s="2" t="s">
        <v>480</v>
      </c>
      <c r="C2578" s="2" t="n">
        <v>1</v>
      </c>
      <c r="D2578" s="2" t="s">
        <v>54</v>
      </c>
      <c r="E2578" s="2" t="s">
        <v>3471</v>
      </c>
      <c r="F2578" s="2" t="n">
        <v>0.5</v>
      </c>
      <c r="G2578" s="2" t="n">
        <v>1.5</v>
      </c>
      <c r="H2578" s="2" t="s">
        <v>1689</v>
      </c>
      <c r="I2578" s="2" t="n">
        <v>11</v>
      </c>
    </row>
    <row r="2579" customFormat="false" ht="15" hidden="false" customHeight="false" outlineLevel="0" collapsed="false">
      <c r="A2579" s="2" t="s">
        <v>1556</v>
      </c>
      <c r="B2579" s="2" t="s">
        <v>394</v>
      </c>
      <c r="C2579" s="2" t="n">
        <v>50</v>
      </c>
      <c r="D2579" s="2" t="s">
        <v>54</v>
      </c>
      <c r="E2579" s="2" t="s">
        <v>3472</v>
      </c>
      <c r="F2579" s="2" t="n">
        <v>25</v>
      </c>
      <c r="G2579" s="2" t="n">
        <v>75</v>
      </c>
      <c r="H2579" s="2" t="s">
        <v>1689</v>
      </c>
      <c r="I2579" s="2" t="n">
        <v>12</v>
      </c>
    </row>
    <row r="2580" customFormat="false" ht="15" hidden="false" customHeight="false" outlineLevel="0" collapsed="false">
      <c r="A2580" s="2" t="s">
        <v>1559</v>
      </c>
      <c r="B2580" s="2" t="s">
        <v>74</v>
      </c>
      <c r="C2580" s="2" t="n">
        <v>150</v>
      </c>
      <c r="D2580" s="2" t="s">
        <v>76</v>
      </c>
      <c r="E2580" s="2" t="s">
        <v>3508</v>
      </c>
      <c r="F2580" s="2" t="n">
        <v>75</v>
      </c>
      <c r="G2580" s="2" t="n">
        <v>225</v>
      </c>
      <c r="H2580" s="2" t="s">
        <v>1689</v>
      </c>
      <c r="I2580" s="2" t="n">
        <v>1</v>
      </c>
    </row>
    <row r="2581" customFormat="false" ht="15" hidden="false" customHeight="false" outlineLevel="0" collapsed="false">
      <c r="A2581" s="2" t="s">
        <v>1559</v>
      </c>
      <c r="B2581" s="2" t="s">
        <v>392</v>
      </c>
      <c r="C2581" s="2" t="n">
        <v>45</v>
      </c>
      <c r="D2581" s="2" t="s">
        <v>54</v>
      </c>
      <c r="E2581" s="2" t="s">
        <v>3509</v>
      </c>
      <c r="F2581" s="2" t="n">
        <v>22.5</v>
      </c>
      <c r="G2581" s="2" t="n">
        <v>67.5</v>
      </c>
      <c r="H2581" s="2" t="s">
        <v>1689</v>
      </c>
      <c r="I2581" s="2" t="n">
        <v>2</v>
      </c>
    </row>
    <row r="2582" customFormat="false" ht="15" hidden="false" customHeight="false" outlineLevel="0" collapsed="false">
      <c r="A2582" s="2" t="s">
        <v>1559</v>
      </c>
      <c r="B2582" s="2" t="s">
        <v>71</v>
      </c>
      <c r="C2582" s="2" t="n">
        <v>30</v>
      </c>
      <c r="D2582" s="2" t="s">
        <v>54</v>
      </c>
      <c r="E2582" s="2" t="s">
        <v>3510</v>
      </c>
      <c r="F2582" s="2" t="n">
        <v>15</v>
      </c>
      <c r="G2582" s="2" t="n">
        <v>45</v>
      </c>
      <c r="H2582" s="2" t="s">
        <v>1693</v>
      </c>
      <c r="I2582" s="2" t="n">
        <v>3</v>
      </c>
    </row>
    <row r="2583" customFormat="false" ht="15" hidden="false" customHeight="false" outlineLevel="0" collapsed="false">
      <c r="A2583" s="2" t="s">
        <v>1559</v>
      </c>
      <c r="B2583" s="2" t="s">
        <v>81</v>
      </c>
      <c r="C2583" s="2" t="n">
        <v>15</v>
      </c>
      <c r="D2583" s="2" t="s">
        <v>54</v>
      </c>
      <c r="E2583" s="2" t="s">
        <v>3511</v>
      </c>
      <c r="F2583" s="2" t="n">
        <v>7.5</v>
      </c>
      <c r="G2583" s="2" t="n">
        <v>22.5</v>
      </c>
      <c r="H2583" s="2" t="s">
        <v>1689</v>
      </c>
      <c r="I2583" s="2" t="n">
        <v>4</v>
      </c>
    </row>
    <row r="2584" customFormat="false" ht="15" hidden="false" customHeight="false" outlineLevel="0" collapsed="false">
      <c r="A2584" s="2" t="s">
        <v>1559</v>
      </c>
      <c r="B2584" s="2" t="s">
        <v>146</v>
      </c>
      <c r="C2584" s="2" t="n">
        <v>6</v>
      </c>
      <c r="D2584" s="2" t="s">
        <v>54</v>
      </c>
      <c r="E2584" s="2" t="s">
        <v>3512</v>
      </c>
      <c r="F2584" s="2" t="n">
        <v>5</v>
      </c>
      <c r="G2584" s="2" t="n">
        <v>7</v>
      </c>
      <c r="H2584" s="2" t="s">
        <v>1689</v>
      </c>
      <c r="I2584" s="2" t="n">
        <v>5</v>
      </c>
    </row>
    <row r="2585" customFormat="false" ht="15" hidden="false" customHeight="false" outlineLevel="0" collapsed="false">
      <c r="A2585" s="2" t="s">
        <v>1563</v>
      </c>
      <c r="B2585" s="2" t="s">
        <v>610</v>
      </c>
      <c r="C2585" s="2" t="n">
        <v>150</v>
      </c>
      <c r="D2585" s="2" t="s">
        <v>76</v>
      </c>
      <c r="E2585" s="2" t="s">
        <v>3513</v>
      </c>
      <c r="F2585" s="2" t="n">
        <v>75</v>
      </c>
      <c r="G2585" s="2" t="n">
        <v>225</v>
      </c>
      <c r="H2585" s="2" t="s">
        <v>1689</v>
      </c>
      <c r="I2585" s="2" t="n">
        <v>1</v>
      </c>
    </row>
    <row r="2586" customFormat="false" ht="15" hidden="false" customHeight="false" outlineLevel="0" collapsed="false">
      <c r="A2586" s="2" t="s">
        <v>1563</v>
      </c>
      <c r="B2586" s="2" t="s">
        <v>71</v>
      </c>
      <c r="C2586" s="2" t="n">
        <v>30</v>
      </c>
      <c r="D2586" s="2" t="s">
        <v>54</v>
      </c>
      <c r="E2586" s="2" t="s">
        <v>3514</v>
      </c>
      <c r="F2586" s="2" t="n">
        <v>15</v>
      </c>
      <c r="G2586" s="2" t="n">
        <v>45</v>
      </c>
      <c r="H2586" s="2" t="s">
        <v>1693</v>
      </c>
      <c r="I2586" s="2" t="n">
        <v>2</v>
      </c>
    </row>
    <row r="2587" customFormat="false" ht="15" hidden="false" customHeight="false" outlineLevel="0" collapsed="false">
      <c r="A2587" s="2" t="s">
        <v>1563</v>
      </c>
      <c r="B2587" s="2" t="s">
        <v>67</v>
      </c>
      <c r="C2587" s="2" t="n">
        <v>30</v>
      </c>
      <c r="D2587" s="2" t="s">
        <v>54</v>
      </c>
      <c r="E2587" s="2" t="s">
        <v>3515</v>
      </c>
      <c r="F2587" s="2" t="n">
        <v>15</v>
      </c>
      <c r="G2587" s="2" t="n">
        <v>45</v>
      </c>
      <c r="H2587" s="2" t="s">
        <v>1693</v>
      </c>
      <c r="I2587" s="2" t="n">
        <v>3</v>
      </c>
    </row>
    <row r="2588" customFormat="false" ht="15" hidden="false" customHeight="false" outlineLevel="0" collapsed="false">
      <c r="A2588" s="2" t="s">
        <v>1563</v>
      </c>
      <c r="B2588" s="2" t="s">
        <v>392</v>
      </c>
      <c r="C2588" s="2" t="n">
        <v>45</v>
      </c>
      <c r="D2588" s="2" t="s">
        <v>54</v>
      </c>
      <c r="E2588" s="2" t="s">
        <v>3516</v>
      </c>
      <c r="F2588" s="2" t="n">
        <v>22.5</v>
      </c>
      <c r="G2588" s="2" t="n">
        <v>67.5</v>
      </c>
      <c r="H2588" s="2" t="s">
        <v>1689</v>
      </c>
      <c r="I2588" s="2" t="n">
        <v>4</v>
      </c>
    </row>
    <row r="2589" customFormat="false" ht="15" hidden="false" customHeight="false" outlineLevel="0" collapsed="false">
      <c r="A2589" s="2" t="s">
        <v>1565</v>
      </c>
      <c r="B2589" s="2" t="s">
        <v>74</v>
      </c>
      <c r="C2589" s="2" t="n">
        <v>150</v>
      </c>
      <c r="D2589" s="2" t="s">
        <v>76</v>
      </c>
      <c r="E2589" s="2" t="s">
        <v>3508</v>
      </c>
      <c r="F2589" s="2" t="n">
        <v>75</v>
      </c>
      <c r="G2589" s="2" t="n">
        <v>225</v>
      </c>
      <c r="H2589" s="2" t="s">
        <v>1689</v>
      </c>
      <c r="I2589" s="2" t="n">
        <v>1</v>
      </c>
    </row>
    <row r="2590" customFormat="false" ht="15" hidden="false" customHeight="false" outlineLevel="0" collapsed="false">
      <c r="A2590" s="2" t="s">
        <v>1565</v>
      </c>
      <c r="B2590" s="2" t="s">
        <v>71</v>
      </c>
      <c r="C2590" s="2" t="n">
        <v>30</v>
      </c>
      <c r="D2590" s="2" t="s">
        <v>54</v>
      </c>
      <c r="E2590" s="2" t="s">
        <v>3514</v>
      </c>
      <c r="F2590" s="2" t="n">
        <v>15</v>
      </c>
      <c r="G2590" s="2" t="n">
        <v>45</v>
      </c>
      <c r="H2590" s="2" t="s">
        <v>1693</v>
      </c>
      <c r="I2590" s="2" t="n">
        <v>2</v>
      </c>
    </row>
    <row r="2591" customFormat="false" ht="15" hidden="false" customHeight="false" outlineLevel="0" collapsed="false">
      <c r="A2591" s="2" t="s">
        <v>1565</v>
      </c>
      <c r="B2591" s="2" t="s">
        <v>596</v>
      </c>
      <c r="C2591" s="2" t="n">
        <v>170</v>
      </c>
      <c r="D2591" s="2" t="s">
        <v>54</v>
      </c>
      <c r="E2591" s="2" t="s">
        <v>3517</v>
      </c>
      <c r="F2591" s="2" t="n">
        <v>85</v>
      </c>
      <c r="G2591" s="2" t="n">
        <v>255</v>
      </c>
      <c r="H2591" s="2" t="s">
        <v>1689</v>
      </c>
      <c r="I2591" s="2" t="n">
        <v>3</v>
      </c>
    </row>
    <row r="2592" customFormat="false" ht="15" hidden="false" customHeight="false" outlineLevel="0" collapsed="false">
      <c r="A2592" s="2" t="s">
        <v>1565</v>
      </c>
      <c r="B2592" s="2" t="s">
        <v>146</v>
      </c>
      <c r="C2592" s="2" t="n">
        <v>6</v>
      </c>
      <c r="D2592" s="2" t="s">
        <v>54</v>
      </c>
      <c r="E2592" s="2" t="s">
        <v>3518</v>
      </c>
      <c r="F2592" s="2" t="n">
        <v>5</v>
      </c>
      <c r="G2592" s="2" t="n">
        <v>7</v>
      </c>
      <c r="H2592" s="2" t="s">
        <v>1689</v>
      </c>
      <c r="I2592" s="2" t="n">
        <v>4</v>
      </c>
    </row>
    <row r="2593" customFormat="false" ht="15" hidden="false" customHeight="false" outlineLevel="0" collapsed="false">
      <c r="A2593" s="2" t="s">
        <v>1565</v>
      </c>
      <c r="B2593" s="2" t="s">
        <v>77</v>
      </c>
      <c r="C2593" s="2" t="n">
        <v>10</v>
      </c>
      <c r="D2593" s="2" t="s">
        <v>54</v>
      </c>
      <c r="E2593" s="2" t="s">
        <v>3519</v>
      </c>
      <c r="F2593" s="2" t="n">
        <v>5</v>
      </c>
      <c r="G2593" s="2" t="n">
        <v>15</v>
      </c>
      <c r="H2593" s="2" t="s">
        <v>1700</v>
      </c>
      <c r="I2593" s="2" t="n">
        <v>5</v>
      </c>
    </row>
    <row r="2594" customFormat="false" ht="15" hidden="false" customHeight="false" outlineLevel="0" collapsed="false">
      <c r="A2594" s="2" t="s">
        <v>1565</v>
      </c>
      <c r="B2594" s="2" t="s">
        <v>67</v>
      </c>
      <c r="C2594" s="2" t="n">
        <v>30</v>
      </c>
      <c r="D2594" s="2" t="s">
        <v>54</v>
      </c>
      <c r="E2594" s="2" t="s">
        <v>3515</v>
      </c>
      <c r="F2594" s="2" t="n">
        <v>15</v>
      </c>
      <c r="G2594" s="2" t="n">
        <v>45</v>
      </c>
      <c r="H2594" s="2" t="s">
        <v>1693</v>
      </c>
      <c r="I2594" s="2" t="n">
        <v>6</v>
      </c>
    </row>
    <row r="2595" customFormat="false" ht="15" hidden="false" customHeight="false" outlineLevel="0" collapsed="false">
      <c r="A2595" s="2" t="s">
        <v>1568</v>
      </c>
      <c r="B2595" s="2" t="s">
        <v>59</v>
      </c>
      <c r="C2595" s="2" t="n">
        <v>45</v>
      </c>
      <c r="D2595" s="2" t="s">
        <v>54</v>
      </c>
      <c r="E2595" s="2" t="s">
        <v>3520</v>
      </c>
      <c r="F2595" s="2" t="n">
        <v>22.5</v>
      </c>
      <c r="G2595" s="2" t="n">
        <v>67.5</v>
      </c>
      <c r="H2595" s="2" t="s">
        <v>1689</v>
      </c>
      <c r="I2595" s="2" t="n">
        <v>1</v>
      </c>
    </row>
    <row r="2596" customFormat="false" ht="15" hidden="false" customHeight="false" outlineLevel="0" collapsed="false">
      <c r="A2596" s="2" t="s">
        <v>1568</v>
      </c>
      <c r="B2596" s="2" t="s">
        <v>64</v>
      </c>
      <c r="C2596" s="2" t="n">
        <v>45</v>
      </c>
      <c r="D2596" s="2" t="s">
        <v>54</v>
      </c>
      <c r="E2596" s="2" t="s">
        <v>3521</v>
      </c>
      <c r="F2596" s="2" t="n">
        <v>22.5</v>
      </c>
      <c r="G2596" s="2" t="n">
        <v>67.5</v>
      </c>
      <c r="H2596" s="2" t="s">
        <v>1689</v>
      </c>
      <c r="I2596" s="2" t="n">
        <v>2</v>
      </c>
    </row>
    <row r="2597" customFormat="false" ht="15" hidden="false" customHeight="false" outlineLevel="0" collapsed="false">
      <c r="A2597" s="2" t="s">
        <v>1568</v>
      </c>
      <c r="B2597" s="2" t="s">
        <v>67</v>
      </c>
      <c r="C2597" s="2" t="n">
        <v>30</v>
      </c>
      <c r="D2597" s="2" t="s">
        <v>54</v>
      </c>
      <c r="E2597" s="2" t="s">
        <v>3522</v>
      </c>
      <c r="F2597" s="2" t="n">
        <v>15</v>
      </c>
      <c r="G2597" s="2" t="n">
        <v>45</v>
      </c>
      <c r="H2597" s="2" t="s">
        <v>1693</v>
      </c>
      <c r="I2597" s="2" t="n">
        <v>3</v>
      </c>
    </row>
    <row r="2598" customFormat="false" ht="15" hidden="false" customHeight="false" outlineLevel="0" collapsed="false">
      <c r="A2598" s="2" t="s">
        <v>1568</v>
      </c>
      <c r="B2598" s="2" t="s">
        <v>71</v>
      </c>
      <c r="C2598" s="2" t="n">
        <v>30</v>
      </c>
      <c r="D2598" s="2" t="s">
        <v>54</v>
      </c>
      <c r="E2598" s="2" t="s">
        <v>3510</v>
      </c>
      <c r="F2598" s="2" t="n">
        <v>15</v>
      </c>
      <c r="G2598" s="2" t="n">
        <v>45</v>
      </c>
      <c r="H2598" s="2" t="s">
        <v>1693</v>
      </c>
      <c r="I2598" s="2" t="n">
        <v>4</v>
      </c>
    </row>
    <row r="2599" customFormat="false" ht="15" hidden="false" customHeight="false" outlineLevel="0" collapsed="false">
      <c r="A2599" s="2" t="s">
        <v>1568</v>
      </c>
      <c r="B2599" s="2" t="s">
        <v>74</v>
      </c>
      <c r="C2599" s="2" t="n">
        <v>150</v>
      </c>
      <c r="D2599" s="2" t="s">
        <v>76</v>
      </c>
      <c r="E2599" s="2" t="s">
        <v>3508</v>
      </c>
      <c r="F2599" s="2" t="n">
        <v>75</v>
      </c>
      <c r="G2599" s="2" t="n">
        <v>225</v>
      </c>
      <c r="H2599" s="2" t="s">
        <v>1689</v>
      </c>
      <c r="I2599" s="2" t="n">
        <v>5</v>
      </c>
    </row>
    <row r="2600" customFormat="false" ht="15" hidden="false" customHeight="false" outlineLevel="0" collapsed="false">
      <c r="A2600" s="2" t="s">
        <v>1568</v>
      </c>
      <c r="B2600" s="2" t="s">
        <v>146</v>
      </c>
      <c r="C2600" s="2" t="n">
        <v>6</v>
      </c>
      <c r="D2600" s="2" t="s">
        <v>54</v>
      </c>
      <c r="E2600" s="2" t="s">
        <v>3518</v>
      </c>
      <c r="F2600" s="2" t="n">
        <v>5</v>
      </c>
      <c r="G2600" s="2" t="n">
        <v>7</v>
      </c>
      <c r="H2600" s="2" t="s">
        <v>1689</v>
      </c>
      <c r="I2600" s="2" t="n">
        <v>6</v>
      </c>
    </row>
    <row r="2601" customFormat="false" ht="15" hidden="false" customHeight="false" outlineLevel="0" collapsed="false">
      <c r="A2601" s="2" t="s">
        <v>1570</v>
      </c>
      <c r="B2601" s="2" t="s">
        <v>154</v>
      </c>
      <c r="C2601" s="2" t="n">
        <v>15</v>
      </c>
      <c r="D2601" s="2" t="s">
        <v>54</v>
      </c>
      <c r="E2601" s="2" t="s">
        <v>3523</v>
      </c>
      <c r="F2601" s="2" t="n">
        <v>7.5</v>
      </c>
      <c r="G2601" s="2" t="n">
        <v>22.5</v>
      </c>
      <c r="H2601" s="2" t="s">
        <v>1700</v>
      </c>
      <c r="I2601" s="2" t="n">
        <v>1</v>
      </c>
    </row>
    <row r="2602" customFormat="false" ht="15" hidden="false" customHeight="false" outlineLevel="0" collapsed="false">
      <c r="A2602" s="2" t="s">
        <v>1570</v>
      </c>
      <c r="B2602" s="2" t="s">
        <v>450</v>
      </c>
      <c r="C2602" s="2" t="n">
        <v>15</v>
      </c>
      <c r="D2602" s="2" t="s">
        <v>54</v>
      </c>
      <c r="E2602" s="2" t="s">
        <v>3524</v>
      </c>
      <c r="F2602" s="2" t="n">
        <v>7.5</v>
      </c>
      <c r="G2602" s="2" t="n">
        <v>22.5</v>
      </c>
      <c r="H2602" s="2" t="s">
        <v>1689</v>
      </c>
      <c r="I2602" s="2" t="n">
        <v>2</v>
      </c>
    </row>
    <row r="2603" customFormat="false" ht="15" hidden="false" customHeight="false" outlineLevel="0" collapsed="false">
      <c r="A2603" s="2" t="s">
        <v>1570</v>
      </c>
      <c r="B2603" s="2" t="s">
        <v>271</v>
      </c>
      <c r="C2603" s="2" t="n">
        <v>1</v>
      </c>
      <c r="D2603" s="2" t="s">
        <v>54</v>
      </c>
      <c r="E2603" s="2" t="s">
        <v>3525</v>
      </c>
      <c r="F2603" s="2" t="n">
        <v>0.5</v>
      </c>
      <c r="G2603" s="2" t="n">
        <v>1.5</v>
      </c>
      <c r="H2603" s="2" t="s">
        <v>1689</v>
      </c>
      <c r="I2603" s="2" t="n">
        <v>3</v>
      </c>
    </row>
    <row r="2604" customFormat="false" ht="15" hidden="false" customHeight="false" outlineLevel="0" collapsed="false">
      <c r="A2604" s="2" t="s">
        <v>1570</v>
      </c>
      <c r="B2604" s="2" t="s">
        <v>510</v>
      </c>
      <c r="C2604" s="2" t="n">
        <v>75</v>
      </c>
      <c r="D2604" s="2" t="s">
        <v>54</v>
      </c>
      <c r="E2604" s="2" t="s">
        <v>3526</v>
      </c>
      <c r="F2604" s="2" t="n">
        <v>37.5</v>
      </c>
      <c r="G2604" s="2" t="n">
        <v>112.5</v>
      </c>
      <c r="H2604" s="2" t="s">
        <v>1689</v>
      </c>
      <c r="I2604" s="2" t="n">
        <v>4</v>
      </c>
    </row>
    <row r="2605" customFormat="false" ht="15" hidden="false" customHeight="false" outlineLevel="0" collapsed="false">
      <c r="A2605" s="2" t="s">
        <v>1570</v>
      </c>
      <c r="B2605" s="2" t="s">
        <v>71</v>
      </c>
      <c r="C2605" s="2" t="n">
        <v>30</v>
      </c>
      <c r="D2605" s="2" t="s">
        <v>54</v>
      </c>
      <c r="E2605" s="2" t="s">
        <v>3527</v>
      </c>
      <c r="F2605" s="2" t="n">
        <v>15</v>
      </c>
      <c r="G2605" s="2" t="n">
        <v>45</v>
      </c>
      <c r="H2605" s="2" t="s">
        <v>1693</v>
      </c>
      <c r="I2605" s="2" t="n">
        <v>5</v>
      </c>
    </row>
    <row r="2606" customFormat="false" ht="15" hidden="false" customHeight="false" outlineLevel="0" collapsed="false">
      <c r="A2606" s="2" t="s">
        <v>1570</v>
      </c>
      <c r="B2606" s="2" t="s">
        <v>74</v>
      </c>
      <c r="C2606" s="2" t="n">
        <v>150</v>
      </c>
      <c r="D2606" s="2" t="s">
        <v>76</v>
      </c>
      <c r="E2606" s="2" t="s">
        <v>3508</v>
      </c>
      <c r="F2606" s="2" t="n">
        <v>75</v>
      </c>
      <c r="G2606" s="2" t="n">
        <v>225</v>
      </c>
      <c r="H2606" s="2" t="s">
        <v>1689</v>
      </c>
      <c r="I2606" s="2" t="n">
        <v>6</v>
      </c>
    </row>
    <row r="2607" customFormat="false" ht="15" hidden="false" customHeight="false" outlineLevel="0" collapsed="false">
      <c r="A2607" s="2" t="s">
        <v>1570</v>
      </c>
      <c r="B2607" s="2" t="s">
        <v>146</v>
      </c>
      <c r="C2607" s="2" t="n">
        <v>6</v>
      </c>
      <c r="D2607" s="2" t="s">
        <v>54</v>
      </c>
      <c r="E2607" s="2" t="s">
        <v>3518</v>
      </c>
      <c r="F2607" s="2" t="n">
        <v>5</v>
      </c>
      <c r="G2607" s="2" t="n">
        <v>7</v>
      </c>
      <c r="H2607" s="2" t="s">
        <v>1689</v>
      </c>
      <c r="I2607" s="2" t="n">
        <v>7</v>
      </c>
    </row>
    <row r="2608" customFormat="false" ht="15" hidden="false" customHeight="false" outlineLevel="0" collapsed="false">
      <c r="A2608" s="2" t="s">
        <v>1572</v>
      </c>
      <c r="B2608" s="2" t="s">
        <v>59</v>
      </c>
      <c r="C2608" s="2" t="n">
        <v>30</v>
      </c>
      <c r="D2608" s="2" t="s">
        <v>54</v>
      </c>
      <c r="E2608" s="2" t="s">
        <v>3528</v>
      </c>
      <c r="F2608" s="2" t="n">
        <v>15</v>
      </c>
      <c r="G2608" s="2" t="n">
        <v>45</v>
      </c>
      <c r="H2608" s="2" t="s">
        <v>1689</v>
      </c>
      <c r="I2608" s="2" t="n">
        <v>1</v>
      </c>
    </row>
    <row r="2609" customFormat="false" ht="15" hidden="false" customHeight="false" outlineLevel="0" collapsed="false">
      <c r="A2609" s="2" t="s">
        <v>1572</v>
      </c>
      <c r="B2609" s="2" t="s">
        <v>510</v>
      </c>
      <c r="C2609" s="2" t="n">
        <v>45</v>
      </c>
      <c r="D2609" s="2" t="s">
        <v>54</v>
      </c>
      <c r="E2609" s="2" t="s">
        <v>3529</v>
      </c>
      <c r="F2609" s="2" t="n">
        <v>22.5</v>
      </c>
      <c r="G2609" s="2" t="n">
        <v>67.5</v>
      </c>
      <c r="H2609" s="2" t="s">
        <v>1689</v>
      </c>
      <c r="I2609" s="2" t="n">
        <v>2</v>
      </c>
    </row>
    <row r="2610" customFormat="false" ht="15" hidden="false" customHeight="false" outlineLevel="0" collapsed="false">
      <c r="A2610" s="2" t="s">
        <v>1572</v>
      </c>
      <c r="B2610" s="2" t="s">
        <v>67</v>
      </c>
      <c r="C2610" s="2" t="n">
        <v>30</v>
      </c>
      <c r="D2610" s="2" t="s">
        <v>54</v>
      </c>
      <c r="E2610" s="2" t="s">
        <v>3515</v>
      </c>
      <c r="F2610" s="2" t="n">
        <v>15</v>
      </c>
      <c r="G2610" s="2" t="n">
        <v>45</v>
      </c>
      <c r="H2610" s="2" t="s">
        <v>1693</v>
      </c>
      <c r="I2610" s="2" t="n">
        <v>3</v>
      </c>
    </row>
    <row r="2611" customFormat="false" ht="15" hidden="false" customHeight="false" outlineLevel="0" collapsed="false">
      <c r="A2611" s="2" t="s">
        <v>1572</v>
      </c>
      <c r="B2611" s="2" t="s">
        <v>498</v>
      </c>
      <c r="C2611" s="2" t="n">
        <v>30</v>
      </c>
      <c r="D2611" s="2" t="s">
        <v>54</v>
      </c>
      <c r="E2611" s="2" t="s">
        <v>3530</v>
      </c>
      <c r="F2611" s="2" t="n">
        <v>15</v>
      </c>
      <c r="G2611" s="2" t="n">
        <v>45</v>
      </c>
      <c r="H2611" s="2" t="s">
        <v>1693</v>
      </c>
      <c r="I2611" s="2" t="n">
        <v>4</v>
      </c>
    </row>
    <row r="2612" customFormat="false" ht="15" hidden="false" customHeight="false" outlineLevel="0" collapsed="false">
      <c r="A2612" s="2" t="s">
        <v>1572</v>
      </c>
      <c r="B2612" s="2" t="s">
        <v>299</v>
      </c>
      <c r="C2612" s="2" t="n">
        <v>2</v>
      </c>
      <c r="D2612" s="2" t="s">
        <v>54</v>
      </c>
      <c r="E2612" s="2" t="s">
        <v>3531</v>
      </c>
      <c r="F2612" s="2" t="n">
        <v>1</v>
      </c>
      <c r="G2612" s="2" t="n">
        <v>3</v>
      </c>
      <c r="H2612" s="2" t="s">
        <v>1689</v>
      </c>
      <c r="I2612" s="2" t="n">
        <v>5</v>
      </c>
    </row>
    <row r="2613" customFormat="false" ht="15" hidden="false" customHeight="false" outlineLevel="0" collapsed="false">
      <c r="A2613" s="2" t="s">
        <v>1572</v>
      </c>
      <c r="B2613" s="2" t="s">
        <v>91</v>
      </c>
      <c r="C2613" s="2" t="n">
        <v>10</v>
      </c>
      <c r="D2613" s="2" t="s">
        <v>54</v>
      </c>
      <c r="E2613" s="2" t="s">
        <v>3532</v>
      </c>
      <c r="F2613" s="2" t="n">
        <v>5</v>
      </c>
      <c r="G2613" s="2" t="n">
        <v>15</v>
      </c>
      <c r="H2613" s="2" t="s">
        <v>1689</v>
      </c>
      <c r="I2613" s="2" t="n">
        <v>6</v>
      </c>
    </row>
    <row r="2614" customFormat="false" ht="15" hidden="false" customHeight="false" outlineLevel="0" collapsed="false">
      <c r="A2614" s="2" t="s">
        <v>1572</v>
      </c>
      <c r="B2614" s="2" t="s">
        <v>146</v>
      </c>
      <c r="C2614" s="2" t="n">
        <v>6</v>
      </c>
      <c r="D2614" s="2" t="s">
        <v>54</v>
      </c>
      <c r="E2614" s="2" t="s">
        <v>3518</v>
      </c>
      <c r="F2614" s="2" t="n">
        <v>5</v>
      </c>
      <c r="G2614" s="2" t="n">
        <v>7</v>
      </c>
      <c r="H2614" s="2" t="s">
        <v>1689</v>
      </c>
      <c r="I2614" s="2" t="n">
        <v>7</v>
      </c>
    </row>
    <row r="2615" customFormat="false" ht="15" hidden="false" customHeight="false" outlineLevel="0" collapsed="false">
      <c r="A2615" s="2" t="s">
        <v>1575</v>
      </c>
      <c r="B2615" s="2" t="s">
        <v>52</v>
      </c>
      <c r="C2615" s="2" t="n">
        <v>1</v>
      </c>
      <c r="D2615" s="2" t="s">
        <v>1687</v>
      </c>
      <c r="E2615" s="2" t="s">
        <v>3533</v>
      </c>
      <c r="F2615" s="2"/>
      <c r="G2615" s="2" t="n">
        <v>2</v>
      </c>
      <c r="H2615" s="2" t="s">
        <v>1689</v>
      </c>
      <c r="I2615" s="2" t="n">
        <v>1</v>
      </c>
    </row>
    <row r="2616" customFormat="false" ht="15" hidden="false" customHeight="false" outlineLevel="0" collapsed="false">
      <c r="A2616" s="2" t="s">
        <v>1575</v>
      </c>
      <c r="B2616" s="2" t="s">
        <v>67</v>
      </c>
      <c r="C2616" s="2" t="n">
        <v>15</v>
      </c>
      <c r="D2616" s="2" t="s">
        <v>54</v>
      </c>
      <c r="E2616" s="2" t="s">
        <v>3534</v>
      </c>
      <c r="F2616" s="2" t="n">
        <v>7.5</v>
      </c>
      <c r="G2616" s="2" t="n">
        <v>22.5</v>
      </c>
      <c r="H2616" s="2" t="s">
        <v>1693</v>
      </c>
      <c r="I2616" s="2" t="n">
        <v>2</v>
      </c>
    </row>
    <row r="2617" customFormat="false" ht="15" hidden="false" customHeight="false" outlineLevel="0" collapsed="false">
      <c r="A2617" s="2" t="s">
        <v>1575</v>
      </c>
      <c r="B2617" s="2" t="s">
        <v>77</v>
      </c>
      <c r="C2617" s="2" t="n">
        <v>10</v>
      </c>
      <c r="D2617" s="2" t="s">
        <v>54</v>
      </c>
      <c r="E2617" s="2" t="s">
        <v>3535</v>
      </c>
      <c r="F2617" s="2" t="n">
        <v>5</v>
      </c>
      <c r="G2617" s="2" t="n">
        <v>15</v>
      </c>
      <c r="H2617" s="2" t="s">
        <v>1700</v>
      </c>
      <c r="I2617" s="2" t="n">
        <v>3</v>
      </c>
    </row>
    <row r="2618" customFormat="false" ht="15" hidden="false" customHeight="false" outlineLevel="0" collapsed="false">
      <c r="A2618" s="2" t="s">
        <v>1575</v>
      </c>
      <c r="B2618" s="2" t="s">
        <v>71</v>
      </c>
      <c r="C2618" s="2" t="n">
        <v>30</v>
      </c>
      <c r="D2618" s="2" t="s">
        <v>54</v>
      </c>
      <c r="E2618" s="2" t="s">
        <v>3510</v>
      </c>
      <c r="F2618" s="2" t="n">
        <v>15</v>
      </c>
      <c r="G2618" s="2" t="n">
        <v>45</v>
      </c>
      <c r="H2618" s="2" t="s">
        <v>1693</v>
      </c>
      <c r="I2618" s="2" t="n">
        <v>4</v>
      </c>
    </row>
    <row r="2619" customFormat="false" ht="15" hidden="false" customHeight="false" outlineLevel="0" collapsed="false">
      <c r="A2619" s="2" t="s">
        <v>1575</v>
      </c>
      <c r="B2619" s="2" t="s">
        <v>81</v>
      </c>
      <c r="C2619" s="2" t="n">
        <v>40</v>
      </c>
      <c r="D2619" s="2" t="s">
        <v>54</v>
      </c>
      <c r="E2619" s="2" t="s">
        <v>3536</v>
      </c>
      <c r="F2619" s="2" t="n">
        <v>20</v>
      </c>
      <c r="G2619" s="2" t="n">
        <v>60</v>
      </c>
      <c r="H2619" s="2" t="s">
        <v>1689</v>
      </c>
      <c r="I2619" s="2" t="n">
        <v>5</v>
      </c>
    </row>
    <row r="2620" customFormat="false" ht="15" hidden="false" customHeight="false" outlineLevel="0" collapsed="false">
      <c r="A2620" s="2" t="s">
        <v>1575</v>
      </c>
      <c r="B2620" s="2" t="s">
        <v>74</v>
      </c>
      <c r="C2620" s="2" t="n">
        <v>150</v>
      </c>
      <c r="D2620" s="2" t="s">
        <v>76</v>
      </c>
      <c r="E2620" s="2" t="s">
        <v>3508</v>
      </c>
      <c r="F2620" s="2" t="n">
        <v>75</v>
      </c>
      <c r="G2620" s="2" t="n">
        <v>225</v>
      </c>
      <c r="H2620" s="2" t="s">
        <v>1689</v>
      </c>
      <c r="I2620" s="2" t="n">
        <v>6</v>
      </c>
    </row>
    <row r="2621" customFormat="false" ht="15" hidden="false" customHeight="false" outlineLevel="0" collapsed="false">
      <c r="A2621" s="2" t="s">
        <v>1575</v>
      </c>
      <c r="B2621" s="2" t="s">
        <v>146</v>
      </c>
      <c r="C2621" s="2" t="n">
        <v>6</v>
      </c>
      <c r="D2621" s="2" t="s">
        <v>54</v>
      </c>
      <c r="E2621" s="2" t="s">
        <v>3518</v>
      </c>
      <c r="F2621" s="2" t="n">
        <v>5</v>
      </c>
      <c r="G2621" s="2" t="n">
        <v>7</v>
      </c>
      <c r="H2621" s="2" t="s">
        <v>1689</v>
      </c>
      <c r="I2621" s="2" t="n">
        <v>7</v>
      </c>
    </row>
    <row r="2622" customFormat="false" ht="15" hidden="false" customHeight="false" outlineLevel="0" collapsed="false">
      <c r="A2622" s="2" t="s">
        <v>1577</v>
      </c>
      <c r="B2622" s="2" t="s">
        <v>52</v>
      </c>
      <c r="C2622" s="2" t="n">
        <v>1</v>
      </c>
      <c r="D2622" s="2" t="s">
        <v>1687</v>
      </c>
      <c r="E2622" s="2" t="s">
        <v>3537</v>
      </c>
      <c r="F2622" s="2"/>
      <c r="G2622" s="2" t="n">
        <v>2</v>
      </c>
      <c r="H2622" s="2" t="s">
        <v>1689</v>
      </c>
      <c r="I2622" s="2" t="n">
        <v>1</v>
      </c>
    </row>
    <row r="2623" customFormat="false" ht="15" hidden="false" customHeight="false" outlineLevel="0" collapsed="false">
      <c r="A2623" s="2" t="s">
        <v>1577</v>
      </c>
      <c r="B2623" s="2" t="s">
        <v>229</v>
      </c>
      <c r="C2623" s="2" t="n">
        <v>30</v>
      </c>
      <c r="D2623" s="2" t="s">
        <v>54</v>
      </c>
      <c r="E2623" s="2" t="s">
        <v>3538</v>
      </c>
      <c r="F2623" s="2" t="n">
        <v>15</v>
      </c>
      <c r="G2623" s="2" t="n">
        <v>45</v>
      </c>
      <c r="H2623" s="2" t="s">
        <v>1689</v>
      </c>
      <c r="I2623" s="2" t="n">
        <v>2</v>
      </c>
    </row>
    <row r="2624" customFormat="false" ht="15" hidden="false" customHeight="false" outlineLevel="0" collapsed="false">
      <c r="A2624" s="2" t="s">
        <v>1577</v>
      </c>
      <c r="B2624" s="2" t="s">
        <v>71</v>
      </c>
      <c r="C2624" s="2" t="n">
        <v>30</v>
      </c>
      <c r="D2624" s="2" t="s">
        <v>54</v>
      </c>
      <c r="E2624" s="2" t="s">
        <v>3514</v>
      </c>
      <c r="F2624" s="2" t="n">
        <v>15</v>
      </c>
      <c r="G2624" s="2" t="n">
        <v>45</v>
      </c>
      <c r="H2624" s="2" t="s">
        <v>1693</v>
      </c>
      <c r="I2624" s="2" t="n">
        <v>3</v>
      </c>
    </row>
    <row r="2625" customFormat="false" ht="15" hidden="false" customHeight="false" outlineLevel="0" collapsed="false">
      <c r="A2625" s="2" t="s">
        <v>1577</v>
      </c>
      <c r="B2625" s="2" t="s">
        <v>67</v>
      </c>
      <c r="C2625" s="2" t="n">
        <v>45</v>
      </c>
      <c r="D2625" s="2" t="s">
        <v>54</v>
      </c>
      <c r="E2625" s="2" t="s">
        <v>3539</v>
      </c>
      <c r="F2625" s="2" t="n">
        <v>22.5</v>
      </c>
      <c r="G2625" s="2" t="n">
        <v>67.5</v>
      </c>
      <c r="H2625" s="2" t="s">
        <v>1693</v>
      </c>
      <c r="I2625" s="2" t="n">
        <v>4</v>
      </c>
    </row>
    <row r="2626" customFormat="false" ht="15" hidden="false" customHeight="false" outlineLevel="0" collapsed="false">
      <c r="A2626" s="2" t="s">
        <v>1577</v>
      </c>
      <c r="B2626" s="2" t="s">
        <v>74</v>
      </c>
      <c r="C2626" s="2" t="n">
        <v>150</v>
      </c>
      <c r="D2626" s="2" t="s">
        <v>76</v>
      </c>
      <c r="E2626" s="2" t="s">
        <v>3508</v>
      </c>
      <c r="F2626" s="2" t="n">
        <v>75</v>
      </c>
      <c r="G2626" s="2" t="n">
        <v>225</v>
      </c>
      <c r="H2626" s="2" t="s">
        <v>1689</v>
      </c>
      <c r="I2626" s="2" t="n">
        <v>5</v>
      </c>
    </row>
    <row r="2627" customFormat="false" ht="15" hidden="false" customHeight="false" outlineLevel="0" collapsed="false">
      <c r="A2627" s="2" t="s">
        <v>1577</v>
      </c>
      <c r="B2627" s="2" t="s">
        <v>146</v>
      </c>
      <c r="C2627" s="2" t="n">
        <v>6</v>
      </c>
      <c r="D2627" s="2" t="s">
        <v>54</v>
      </c>
      <c r="E2627" s="2" t="s">
        <v>3518</v>
      </c>
      <c r="F2627" s="2" t="n">
        <v>5</v>
      </c>
      <c r="G2627" s="2" t="n">
        <v>7</v>
      </c>
      <c r="H2627" s="2" t="s">
        <v>1689</v>
      </c>
      <c r="I2627" s="2" t="n">
        <v>6</v>
      </c>
    </row>
    <row r="2628" customFormat="false" ht="15" hidden="false" customHeight="false" outlineLevel="0" collapsed="false">
      <c r="A2628" s="2" t="s">
        <v>1580</v>
      </c>
      <c r="B2628" s="2" t="s">
        <v>52</v>
      </c>
      <c r="C2628" s="2" t="n">
        <v>1</v>
      </c>
      <c r="D2628" s="2" t="s">
        <v>1687</v>
      </c>
      <c r="E2628" s="2" t="s">
        <v>3540</v>
      </c>
      <c r="F2628" s="2"/>
      <c r="G2628" s="2" t="n">
        <v>2</v>
      </c>
      <c r="H2628" s="2" t="s">
        <v>1689</v>
      </c>
      <c r="I2628" s="2" t="n">
        <v>1</v>
      </c>
    </row>
    <row r="2629" customFormat="false" ht="15" hidden="false" customHeight="false" outlineLevel="0" collapsed="false">
      <c r="A2629" s="2" t="s">
        <v>1580</v>
      </c>
      <c r="B2629" s="2" t="s">
        <v>67</v>
      </c>
      <c r="C2629" s="2" t="n">
        <v>30</v>
      </c>
      <c r="D2629" s="2" t="s">
        <v>54</v>
      </c>
      <c r="E2629" s="2" t="s">
        <v>3515</v>
      </c>
      <c r="F2629" s="2" t="n">
        <v>15</v>
      </c>
      <c r="G2629" s="2" t="n">
        <v>45</v>
      </c>
      <c r="H2629" s="2" t="s">
        <v>1693</v>
      </c>
      <c r="I2629" s="2" t="n">
        <v>2</v>
      </c>
    </row>
    <row r="2630" customFormat="false" ht="15" hidden="false" customHeight="false" outlineLevel="0" collapsed="false">
      <c r="A2630" s="2" t="s">
        <v>1580</v>
      </c>
      <c r="B2630" s="2" t="s">
        <v>638</v>
      </c>
      <c r="C2630" s="2" t="n">
        <v>150</v>
      </c>
      <c r="D2630" s="2" t="s">
        <v>76</v>
      </c>
      <c r="E2630" s="2" t="s">
        <v>3541</v>
      </c>
      <c r="F2630" s="2" t="n">
        <v>75</v>
      </c>
      <c r="G2630" s="2" t="n">
        <v>225</v>
      </c>
      <c r="H2630" s="2" t="s">
        <v>1689</v>
      </c>
      <c r="I2630" s="2" t="n">
        <v>3</v>
      </c>
    </row>
    <row r="2631" customFormat="false" ht="15" hidden="false" customHeight="false" outlineLevel="0" collapsed="false">
      <c r="A2631" s="2" t="s">
        <v>1580</v>
      </c>
      <c r="B2631" s="2" t="s">
        <v>71</v>
      </c>
      <c r="C2631" s="2" t="n">
        <v>30</v>
      </c>
      <c r="D2631" s="2" t="s">
        <v>54</v>
      </c>
      <c r="E2631" s="2" t="s">
        <v>3514</v>
      </c>
      <c r="F2631" s="2" t="n">
        <v>15</v>
      </c>
      <c r="G2631" s="2" t="n">
        <v>45</v>
      </c>
      <c r="H2631" s="2" t="s">
        <v>1693</v>
      </c>
      <c r="I2631" s="2" t="n">
        <v>4</v>
      </c>
    </row>
    <row r="2632" customFormat="false" ht="15" hidden="false" customHeight="false" outlineLevel="0" collapsed="false">
      <c r="A2632" s="2" t="s">
        <v>1580</v>
      </c>
      <c r="B2632" s="2" t="s">
        <v>77</v>
      </c>
      <c r="C2632" s="2" t="n">
        <v>20</v>
      </c>
      <c r="D2632" s="2" t="s">
        <v>54</v>
      </c>
      <c r="E2632" s="2" t="s">
        <v>3542</v>
      </c>
      <c r="F2632" s="2" t="n">
        <v>10</v>
      </c>
      <c r="G2632" s="2" t="n">
        <v>30</v>
      </c>
      <c r="H2632" s="2" t="s">
        <v>1700</v>
      </c>
      <c r="I2632" s="2" t="n">
        <v>5</v>
      </c>
    </row>
    <row r="2633" customFormat="false" ht="15" hidden="false" customHeight="false" outlineLevel="0" collapsed="false">
      <c r="A2633" s="2" t="s">
        <v>1580</v>
      </c>
      <c r="B2633" s="2" t="s">
        <v>146</v>
      </c>
      <c r="C2633" s="2" t="n">
        <v>6</v>
      </c>
      <c r="D2633" s="2" t="s">
        <v>54</v>
      </c>
      <c r="E2633" s="2" t="s">
        <v>3518</v>
      </c>
      <c r="F2633" s="2" t="n">
        <v>5</v>
      </c>
      <c r="G2633" s="2" t="n">
        <v>7</v>
      </c>
      <c r="H2633" s="2" t="s">
        <v>1689</v>
      </c>
      <c r="I2633" s="2" t="n">
        <v>6</v>
      </c>
    </row>
    <row r="2634" customFormat="false" ht="15" hidden="false" customHeight="false" outlineLevel="0" collapsed="false">
      <c r="A2634" s="2" t="s">
        <v>1582</v>
      </c>
      <c r="B2634" s="2" t="s">
        <v>52</v>
      </c>
      <c r="C2634" s="2" t="n">
        <v>1</v>
      </c>
      <c r="D2634" s="2" t="s">
        <v>1687</v>
      </c>
      <c r="E2634" s="2" t="s">
        <v>3533</v>
      </c>
      <c r="F2634" s="2"/>
      <c r="G2634" s="2" t="n">
        <v>2</v>
      </c>
      <c r="H2634" s="2" t="s">
        <v>1689</v>
      </c>
      <c r="I2634" s="2" t="n">
        <v>1</v>
      </c>
    </row>
    <row r="2635" customFormat="false" ht="15" hidden="false" customHeight="false" outlineLevel="0" collapsed="false">
      <c r="A2635" s="2" t="s">
        <v>1582</v>
      </c>
      <c r="B2635" s="2" t="s">
        <v>74</v>
      </c>
      <c r="C2635" s="2" t="n">
        <v>150</v>
      </c>
      <c r="D2635" s="2" t="s">
        <v>76</v>
      </c>
      <c r="E2635" s="2" t="s">
        <v>3508</v>
      </c>
      <c r="F2635" s="2" t="n">
        <v>75</v>
      </c>
      <c r="G2635" s="2" t="n">
        <v>225</v>
      </c>
      <c r="H2635" s="2" t="s">
        <v>1689</v>
      </c>
      <c r="I2635" s="2" t="n">
        <v>2</v>
      </c>
    </row>
    <row r="2636" customFormat="false" ht="15" hidden="false" customHeight="false" outlineLevel="0" collapsed="false">
      <c r="A2636" s="2" t="s">
        <v>1582</v>
      </c>
      <c r="B2636" s="2" t="s">
        <v>77</v>
      </c>
      <c r="C2636" s="2" t="n">
        <v>10</v>
      </c>
      <c r="D2636" s="2" t="s">
        <v>54</v>
      </c>
      <c r="E2636" s="2" t="s">
        <v>3543</v>
      </c>
      <c r="F2636" s="2" t="n">
        <v>5</v>
      </c>
      <c r="G2636" s="2" t="n">
        <v>15</v>
      </c>
      <c r="H2636" s="2" t="s">
        <v>1700</v>
      </c>
      <c r="I2636" s="2" t="n">
        <v>3</v>
      </c>
    </row>
    <row r="2637" customFormat="false" ht="15" hidden="false" customHeight="false" outlineLevel="0" collapsed="false">
      <c r="A2637" s="2" t="s">
        <v>1582</v>
      </c>
      <c r="B2637" s="2" t="s">
        <v>91</v>
      </c>
      <c r="C2637" s="2" t="n">
        <v>5</v>
      </c>
      <c r="D2637" s="2" t="s">
        <v>54</v>
      </c>
      <c r="E2637" s="2" t="s">
        <v>3544</v>
      </c>
      <c r="F2637" s="2" t="n">
        <v>2.5</v>
      </c>
      <c r="G2637" s="2" t="n">
        <v>7.5</v>
      </c>
      <c r="H2637" s="2" t="s">
        <v>1689</v>
      </c>
      <c r="I2637" s="2" t="n">
        <v>4</v>
      </c>
    </row>
    <row r="2638" customFormat="false" ht="15" hidden="false" customHeight="false" outlineLevel="0" collapsed="false">
      <c r="A2638" s="2" t="s">
        <v>1582</v>
      </c>
      <c r="B2638" s="2" t="s">
        <v>81</v>
      </c>
      <c r="C2638" s="2" t="n">
        <v>30</v>
      </c>
      <c r="D2638" s="2" t="s">
        <v>54</v>
      </c>
      <c r="E2638" s="2" t="s">
        <v>3545</v>
      </c>
      <c r="F2638" s="2" t="n">
        <v>15</v>
      </c>
      <c r="G2638" s="2" t="n">
        <v>45</v>
      </c>
      <c r="H2638" s="2" t="s">
        <v>1689</v>
      </c>
      <c r="I2638" s="2" t="n">
        <v>5</v>
      </c>
    </row>
    <row r="2639" customFormat="false" ht="15" hidden="false" customHeight="false" outlineLevel="0" collapsed="false">
      <c r="A2639" s="2" t="s">
        <v>1582</v>
      </c>
      <c r="B2639" s="2" t="s">
        <v>71</v>
      </c>
      <c r="C2639" s="2" t="n">
        <v>30</v>
      </c>
      <c r="D2639" s="2" t="s">
        <v>54</v>
      </c>
      <c r="E2639" s="2" t="s">
        <v>3510</v>
      </c>
      <c r="F2639" s="2" t="n">
        <v>15</v>
      </c>
      <c r="G2639" s="2" t="n">
        <v>45</v>
      </c>
      <c r="H2639" s="2" t="s">
        <v>1693</v>
      </c>
      <c r="I2639" s="2" t="n">
        <v>6</v>
      </c>
    </row>
    <row r="2640" customFormat="false" ht="15" hidden="false" customHeight="false" outlineLevel="0" collapsed="false">
      <c r="A2640" s="2" t="s">
        <v>1582</v>
      </c>
      <c r="B2640" s="2" t="s">
        <v>146</v>
      </c>
      <c r="C2640" s="2" t="n">
        <v>6</v>
      </c>
      <c r="D2640" s="2" t="s">
        <v>54</v>
      </c>
      <c r="E2640" s="2" t="s">
        <v>3512</v>
      </c>
      <c r="F2640" s="2" t="n">
        <v>5</v>
      </c>
      <c r="G2640" s="2" t="n">
        <v>7</v>
      </c>
      <c r="H2640" s="2" t="s">
        <v>1689</v>
      </c>
      <c r="I2640" s="2" t="n">
        <v>7</v>
      </c>
    </row>
    <row r="2641" customFormat="false" ht="15" hidden="false" customHeight="false" outlineLevel="0" collapsed="false">
      <c r="A2641" s="2" t="s">
        <v>1584</v>
      </c>
      <c r="B2641" s="2" t="s">
        <v>64</v>
      </c>
      <c r="C2641" s="2" t="n">
        <v>30</v>
      </c>
      <c r="D2641" s="2" t="s">
        <v>54</v>
      </c>
      <c r="E2641" s="2" t="s">
        <v>3546</v>
      </c>
      <c r="F2641" s="2" t="n">
        <v>15</v>
      </c>
      <c r="G2641" s="2" t="n">
        <v>45</v>
      </c>
      <c r="H2641" s="2" t="s">
        <v>1689</v>
      </c>
      <c r="I2641" s="2" t="n">
        <v>1</v>
      </c>
    </row>
    <row r="2642" customFormat="false" ht="15" hidden="false" customHeight="false" outlineLevel="0" collapsed="false">
      <c r="A2642" s="2" t="s">
        <v>1584</v>
      </c>
      <c r="B2642" s="2" t="s">
        <v>510</v>
      </c>
      <c r="C2642" s="2" t="n">
        <v>45</v>
      </c>
      <c r="D2642" s="2" t="s">
        <v>54</v>
      </c>
      <c r="E2642" s="2" t="s">
        <v>3529</v>
      </c>
      <c r="F2642" s="2" t="n">
        <v>22.5</v>
      </c>
      <c r="G2642" s="2" t="n">
        <v>67.5</v>
      </c>
      <c r="H2642" s="2" t="s">
        <v>1689</v>
      </c>
      <c r="I2642" s="2" t="n">
        <v>2</v>
      </c>
    </row>
    <row r="2643" customFormat="false" ht="15" hidden="false" customHeight="false" outlineLevel="0" collapsed="false">
      <c r="A2643" s="2" t="s">
        <v>1584</v>
      </c>
      <c r="B2643" s="2" t="s">
        <v>498</v>
      </c>
      <c r="C2643" s="2" t="n">
        <v>30</v>
      </c>
      <c r="D2643" s="2" t="s">
        <v>54</v>
      </c>
      <c r="E2643" s="2" t="s">
        <v>3547</v>
      </c>
      <c r="F2643" s="2" t="n">
        <v>15</v>
      </c>
      <c r="G2643" s="2" t="n">
        <v>45</v>
      </c>
      <c r="H2643" s="2" t="s">
        <v>1693</v>
      </c>
      <c r="I2643" s="2" t="n">
        <v>3</v>
      </c>
    </row>
    <row r="2644" customFormat="false" ht="15" hidden="false" customHeight="false" outlineLevel="0" collapsed="false">
      <c r="A2644" s="2" t="s">
        <v>1584</v>
      </c>
      <c r="B2644" s="2" t="s">
        <v>67</v>
      </c>
      <c r="C2644" s="2" t="n">
        <v>30</v>
      </c>
      <c r="D2644" s="2" t="s">
        <v>54</v>
      </c>
      <c r="E2644" s="2" t="s">
        <v>3515</v>
      </c>
      <c r="F2644" s="2" t="n">
        <v>15</v>
      </c>
      <c r="G2644" s="2" t="n">
        <v>45</v>
      </c>
      <c r="H2644" s="2" t="s">
        <v>1693</v>
      </c>
      <c r="I2644" s="2" t="n">
        <v>4</v>
      </c>
    </row>
    <row r="2645" customFormat="false" ht="15" hidden="false" customHeight="false" outlineLevel="0" collapsed="false">
      <c r="A2645" s="2" t="s">
        <v>1584</v>
      </c>
      <c r="B2645" s="2" t="s">
        <v>625</v>
      </c>
      <c r="C2645" s="2" t="n">
        <v>1</v>
      </c>
      <c r="D2645" s="2" t="s">
        <v>76</v>
      </c>
      <c r="E2645" s="2" t="s">
        <v>3548</v>
      </c>
      <c r="F2645" s="2"/>
      <c r="G2645" s="2" t="n">
        <v>2</v>
      </c>
      <c r="H2645" s="2" t="s">
        <v>1689</v>
      </c>
      <c r="I2645" s="2" t="n">
        <v>5</v>
      </c>
    </row>
    <row r="2646" customFormat="false" ht="15" hidden="false" customHeight="false" outlineLevel="0" collapsed="false">
      <c r="A2646" s="2" t="s">
        <v>1584</v>
      </c>
      <c r="B2646" s="2" t="s">
        <v>71</v>
      </c>
      <c r="C2646" s="2" t="n">
        <v>30</v>
      </c>
      <c r="D2646" s="2" t="s">
        <v>54</v>
      </c>
      <c r="E2646" s="2" t="s">
        <v>3510</v>
      </c>
      <c r="F2646" s="2" t="n">
        <v>15</v>
      </c>
      <c r="G2646" s="2" t="n">
        <v>45</v>
      </c>
      <c r="H2646" s="2" t="s">
        <v>1693</v>
      </c>
      <c r="I2646" s="2" t="n">
        <v>6</v>
      </c>
    </row>
    <row r="2647" customFormat="false" ht="15" hidden="false" customHeight="false" outlineLevel="0" collapsed="false">
      <c r="A2647" s="2" t="s">
        <v>1584</v>
      </c>
      <c r="B2647" s="2" t="s">
        <v>91</v>
      </c>
      <c r="C2647" s="2" t="n">
        <v>10</v>
      </c>
      <c r="D2647" s="2" t="s">
        <v>54</v>
      </c>
      <c r="E2647" s="2" t="s">
        <v>3532</v>
      </c>
      <c r="F2647" s="2" t="n">
        <v>5</v>
      </c>
      <c r="G2647" s="2" t="n">
        <v>15</v>
      </c>
      <c r="H2647" s="2" t="s">
        <v>1689</v>
      </c>
      <c r="I2647" s="2" t="n">
        <v>7</v>
      </c>
    </row>
    <row r="2648" customFormat="false" ht="15" hidden="false" customHeight="false" outlineLevel="0" collapsed="false">
      <c r="A2648" s="2" t="s">
        <v>1584</v>
      </c>
      <c r="B2648" s="2" t="s">
        <v>74</v>
      </c>
      <c r="C2648" s="2" t="n">
        <v>150</v>
      </c>
      <c r="D2648" s="2" t="s">
        <v>76</v>
      </c>
      <c r="E2648" s="2" t="s">
        <v>3508</v>
      </c>
      <c r="F2648" s="2" t="n">
        <v>75</v>
      </c>
      <c r="G2648" s="2" t="n">
        <v>225</v>
      </c>
      <c r="H2648" s="2" t="s">
        <v>1689</v>
      </c>
      <c r="I2648" s="2" t="n">
        <v>8</v>
      </c>
    </row>
    <row r="2649" customFormat="false" ht="15" hidden="false" customHeight="false" outlineLevel="0" collapsed="false">
      <c r="A2649" s="2" t="s">
        <v>1584</v>
      </c>
      <c r="B2649" s="2" t="s">
        <v>146</v>
      </c>
      <c r="C2649" s="2" t="n">
        <v>6</v>
      </c>
      <c r="D2649" s="2" t="s">
        <v>54</v>
      </c>
      <c r="E2649" s="2" t="s">
        <v>3518</v>
      </c>
      <c r="F2649" s="2" t="n">
        <v>5</v>
      </c>
      <c r="G2649" s="2" t="n">
        <v>7</v>
      </c>
      <c r="H2649" s="2" t="s">
        <v>1689</v>
      </c>
      <c r="I2649" s="2" t="n">
        <v>9</v>
      </c>
    </row>
    <row r="2650" customFormat="false" ht="15" hidden="false" customHeight="false" outlineLevel="0" collapsed="false">
      <c r="A2650" s="2" t="s">
        <v>1586</v>
      </c>
      <c r="B2650" s="2" t="s">
        <v>52</v>
      </c>
      <c r="C2650" s="2" t="n">
        <v>1</v>
      </c>
      <c r="D2650" s="2" t="s">
        <v>1687</v>
      </c>
      <c r="E2650" s="2" t="s">
        <v>3533</v>
      </c>
      <c r="F2650" s="2"/>
      <c r="G2650" s="2" t="n">
        <v>2</v>
      </c>
      <c r="H2650" s="2" t="s">
        <v>1689</v>
      </c>
      <c r="I2650" s="2" t="n">
        <v>1</v>
      </c>
    </row>
    <row r="2651" customFormat="false" ht="15" hidden="false" customHeight="false" outlineLevel="0" collapsed="false">
      <c r="A2651" s="2" t="s">
        <v>1586</v>
      </c>
      <c r="B2651" s="2" t="s">
        <v>67</v>
      </c>
      <c r="C2651" s="2" t="n">
        <v>30</v>
      </c>
      <c r="D2651" s="2" t="s">
        <v>54</v>
      </c>
      <c r="E2651" s="2" t="s">
        <v>3515</v>
      </c>
      <c r="F2651" s="2" t="n">
        <v>15</v>
      </c>
      <c r="G2651" s="2" t="n">
        <v>45</v>
      </c>
      <c r="H2651" s="2" t="s">
        <v>1693</v>
      </c>
      <c r="I2651" s="2" t="n">
        <v>2</v>
      </c>
    </row>
    <row r="2652" customFormat="false" ht="15" hidden="false" customHeight="false" outlineLevel="0" collapsed="false">
      <c r="A2652" s="2" t="s">
        <v>1586</v>
      </c>
      <c r="B2652" s="2" t="s">
        <v>498</v>
      </c>
      <c r="C2652" s="2" t="n">
        <v>30</v>
      </c>
      <c r="D2652" s="2" t="s">
        <v>54</v>
      </c>
      <c r="E2652" s="2" t="s">
        <v>3530</v>
      </c>
      <c r="F2652" s="2" t="n">
        <v>15</v>
      </c>
      <c r="G2652" s="2" t="n">
        <v>45</v>
      </c>
      <c r="H2652" s="2" t="s">
        <v>1693</v>
      </c>
      <c r="I2652" s="2" t="n">
        <v>3</v>
      </c>
    </row>
    <row r="2653" customFormat="false" ht="15" hidden="false" customHeight="false" outlineLevel="0" collapsed="false">
      <c r="A2653" s="2" t="s">
        <v>1586</v>
      </c>
      <c r="B2653" s="2" t="s">
        <v>77</v>
      </c>
      <c r="C2653" s="2" t="n">
        <v>10</v>
      </c>
      <c r="D2653" s="2" t="s">
        <v>54</v>
      </c>
      <c r="E2653" s="2" t="s">
        <v>3543</v>
      </c>
      <c r="F2653" s="2" t="n">
        <v>5</v>
      </c>
      <c r="G2653" s="2" t="n">
        <v>15</v>
      </c>
      <c r="H2653" s="2" t="s">
        <v>1700</v>
      </c>
      <c r="I2653" s="2" t="n">
        <v>4</v>
      </c>
    </row>
    <row r="2654" customFormat="false" ht="15" hidden="false" customHeight="false" outlineLevel="0" collapsed="false">
      <c r="A2654" s="2" t="s">
        <v>1586</v>
      </c>
      <c r="B2654" s="2" t="s">
        <v>146</v>
      </c>
      <c r="C2654" s="2" t="n">
        <v>6</v>
      </c>
      <c r="D2654" s="2" t="s">
        <v>54</v>
      </c>
      <c r="E2654" s="2" t="s">
        <v>3518</v>
      </c>
      <c r="F2654" s="2" t="n">
        <v>5</v>
      </c>
      <c r="G2654" s="2" t="n">
        <v>7</v>
      </c>
      <c r="H2654" s="2" t="s">
        <v>1689</v>
      </c>
      <c r="I2654" s="2" t="n">
        <v>5</v>
      </c>
    </row>
    <row r="2655" customFormat="false" ht="15" hidden="false" customHeight="false" outlineLevel="0" collapsed="false">
      <c r="A2655" s="2" t="s">
        <v>1586</v>
      </c>
      <c r="B2655" s="2" t="s">
        <v>74</v>
      </c>
      <c r="C2655" s="2" t="n">
        <v>150</v>
      </c>
      <c r="D2655" s="2" t="s">
        <v>76</v>
      </c>
      <c r="E2655" s="2" t="s">
        <v>3508</v>
      </c>
      <c r="F2655" s="2" t="n">
        <v>75</v>
      </c>
      <c r="G2655" s="2" t="n">
        <v>225</v>
      </c>
      <c r="H2655" s="2" t="s">
        <v>1689</v>
      </c>
      <c r="I2655" s="2" t="n">
        <v>6</v>
      </c>
    </row>
    <row r="2656" customFormat="false" ht="15" hidden="false" customHeight="false" outlineLevel="0" collapsed="false">
      <c r="A2656" s="2" t="s">
        <v>1588</v>
      </c>
      <c r="B2656" s="2" t="s">
        <v>74</v>
      </c>
      <c r="C2656" s="2" t="n">
        <v>150</v>
      </c>
      <c r="D2656" s="2" t="s">
        <v>76</v>
      </c>
      <c r="E2656" s="2" t="s">
        <v>3508</v>
      </c>
      <c r="F2656" s="2" t="n">
        <v>75</v>
      </c>
      <c r="G2656" s="2" t="n">
        <v>225</v>
      </c>
      <c r="H2656" s="2" t="s">
        <v>1689</v>
      </c>
      <c r="I2656" s="2" t="n">
        <v>1</v>
      </c>
    </row>
    <row r="2657" customFormat="false" ht="15" hidden="false" customHeight="false" outlineLevel="0" collapsed="false">
      <c r="A2657" s="2" t="s">
        <v>1588</v>
      </c>
      <c r="B2657" s="2" t="s">
        <v>426</v>
      </c>
      <c r="C2657" s="2" t="n">
        <v>1</v>
      </c>
      <c r="D2657" s="2" t="s">
        <v>1687</v>
      </c>
      <c r="E2657" s="2" t="s">
        <v>3549</v>
      </c>
      <c r="F2657" s="2"/>
      <c r="G2657" s="2" t="n">
        <v>2</v>
      </c>
      <c r="H2657" s="2" t="s">
        <v>1689</v>
      </c>
      <c r="I2657" s="2" t="n">
        <v>2</v>
      </c>
    </row>
    <row r="2658" customFormat="false" ht="15" hidden="false" customHeight="false" outlineLevel="0" collapsed="false">
      <c r="A2658" s="2" t="s">
        <v>1588</v>
      </c>
      <c r="B2658" s="2" t="s">
        <v>299</v>
      </c>
      <c r="C2658" s="2" t="n">
        <v>2</v>
      </c>
      <c r="D2658" s="2" t="s">
        <v>54</v>
      </c>
      <c r="E2658" s="2" t="s">
        <v>3550</v>
      </c>
      <c r="F2658" s="2" t="n">
        <v>1</v>
      </c>
      <c r="G2658" s="2" t="n">
        <v>3</v>
      </c>
      <c r="H2658" s="2" t="s">
        <v>1689</v>
      </c>
      <c r="I2658" s="2" t="n">
        <v>3</v>
      </c>
    </row>
    <row r="2659" customFormat="false" ht="15" hidden="false" customHeight="false" outlineLevel="0" collapsed="false">
      <c r="A2659" s="2" t="s">
        <v>1588</v>
      </c>
      <c r="B2659" s="2" t="s">
        <v>91</v>
      </c>
      <c r="C2659" s="2" t="n">
        <v>10</v>
      </c>
      <c r="D2659" s="2" t="s">
        <v>54</v>
      </c>
      <c r="E2659" s="2" t="s">
        <v>3532</v>
      </c>
      <c r="F2659" s="2" t="n">
        <v>5</v>
      </c>
      <c r="G2659" s="2" t="n">
        <v>15</v>
      </c>
      <c r="H2659" s="2" t="s">
        <v>1689</v>
      </c>
      <c r="I2659" s="2" t="n">
        <v>4</v>
      </c>
    </row>
    <row r="2660" customFormat="false" ht="15" hidden="false" customHeight="false" outlineLevel="0" collapsed="false">
      <c r="A2660" s="2" t="s">
        <v>1588</v>
      </c>
      <c r="B2660" s="2" t="s">
        <v>498</v>
      </c>
      <c r="C2660" s="2" t="n">
        <v>30</v>
      </c>
      <c r="D2660" s="2" t="s">
        <v>54</v>
      </c>
      <c r="E2660" s="2" t="s">
        <v>3547</v>
      </c>
      <c r="F2660" s="2" t="n">
        <v>15</v>
      </c>
      <c r="G2660" s="2" t="n">
        <v>45</v>
      </c>
      <c r="H2660" s="2" t="s">
        <v>1693</v>
      </c>
      <c r="I2660" s="2" t="n">
        <v>5</v>
      </c>
    </row>
    <row r="2661" customFormat="false" ht="15" hidden="false" customHeight="false" outlineLevel="0" collapsed="false">
      <c r="A2661" s="2" t="s">
        <v>1588</v>
      </c>
      <c r="B2661" s="2" t="s">
        <v>146</v>
      </c>
      <c r="C2661" s="2" t="n">
        <v>6</v>
      </c>
      <c r="D2661" s="2" t="s">
        <v>54</v>
      </c>
      <c r="E2661" s="2" t="s">
        <v>3518</v>
      </c>
      <c r="F2661" s="2" t="n">
        <v>5</v>
      </c>
      <c r="G2661" s="2" t="n">
        <v>7</v>
      </c>
      <c r="H2661" s="2" t="s">
        <v>1689</v>
      </c>
      <c r="I2661" s="2" t="n">
        <v>6</v>
      </c>
    </row>
    <row r="2662" customFormat="false" ht="15" hidden="false" customHeight="false" outlineLevel="0" collapsed="false">
      <c r="A2662" s="2" t="s">
        <v>1590</v>
      </c>
      <c r="B2662" s="2" t="s">
        <v>450</v>
      </c>
      <c r="C2662" s="2" t="n">
        <v>30</v>
      </c>
      <c r="D2662" s="2" t="s">
        <v>54</v>
      </c>
      <c r="E2662" s="2" t="s">
        <v>3551</v>
      </c>
      <c r="F2662" s="2" t="n">
        <v>15</v>
      </c>
      <c r="G2662" s="2" t="n">
        <v>45</v>
      </c>
      <c r="H2662" s="2" t="s">
        <v>1689</v>
      </c>
      <c r="I2662" s="2" t="n">
        <v>1</v>
      </c>
    </row>
    <row r="2663" customFormat="false" ht="15" hidden="false" customHeight="false" outlineLevel="0" collapsed="false">
      <c r="A2663" s="2" t="s">
        <v>1590</v>
      </c>
      <c r="B2663" s="2" t="s">
        <v>299</v>
      </c>
      <c r="C2663" s="2" t="n">
        <v>2</v>
      </c>
      <c r="D2663" s="2" t="s">
        <v>54</v>
      </c>
      <c r="E2663" s="2" t="s">
        <v>3550</v>
      </c>
      <c r="F2663" s="2" t="n">
        <v>1</v>
      </c>
      <c r="G2663" s="2" t="n">
        <v>3</v>
      </c>
      <c r="H2663" s="2" t="s">
        <v>1689</v>
      </c>
      <c r="I2663" s="2" t="n">
        <v>2</v>
      </c>
    </row>
    <row r="2664" customFormat="false" ht="15" hidden="false" customHeight="false" outlineLevel="0" collapsed="false">
      <c r="A2664" s="2" t="s">
        <v>1590</v>
      </c>
      <c r="B2664" s="2" t="s">
        <v>91</v>
      </c>
      <c r="C2664" s="2" t="n">
        <v>10</v>
      </c>
      <c r="D2664" s="2" t="s">
        <v>54</v>
      </c>
      <c r="E2664" s="2" t="s">
        <v>3532</v>
      </c>
      <c r="F2664" s="2" t="n">
        <v>5</v>
      </c>
      <c r="G2664" s="2" t="n">
        <v>15</v>
      </c>
      <c r="H2664" s="2" t="s">
        <v>1689</v>
      </c>
      <c r="I2664" s="2" t="n">
        <v>3</v>
      </c>
    </row>
    <row r="2665" customFormat="false" ht="15" hidden="false" customHeight="false" outlineLevel="0" collapsed="false">
      <c r="A2665" s="2" t="s">
        <v>1590</v>
      </c>
      <c r="B2665" s="2" t="s">
        <v>143</v>
      </c>
      <c r="C2665" s="2" t="n">
        <v>150</v>
      </c>
      <c r="D2665" s="2" t="s">
        <v>76</v>
      </c>
      <c r="E2665" s="2" t="s">
        <v>3552</v>
      </c>
      <c r="F2665" s="2" t="n">
        <v>75</v>
      </c>
      <c r="G2665" s="2" t="n">
        <v>225</v>
      </c>
      <c r="H2665" s="2" t="s">
        <v>1689</v>
      </c>
      <c r="I2665" s="2" t="n">
        <v>4</v>
      </c>
    </row>
    <row r="2666" customFormat="false" ht="15" hidden="false" customHeight="false" outlineLevel="0" collapsed="false">
      <c r="A2666" s="2" t="s">
        <v>1590</v>
      </c>
      <c r="B2666" s="2" t="s">
        <v>146</v>
      </c>
      <c r="C2666" s="2" t="n">
        <v>6</v>
      </c>
      <c r="D2666" s="2" t="s">
        <v>54</v>
      </c>
      <c r="E2666" s="2" t="s">
        <v>3518</v>
      </c>
      <c r="F2666" s="2" t="n">
        <v>5</v>
      </c>
      <c r="G2666" s="2" t="n">
        <v>7</v>
      </c>
      <c r="H2666" s="2" t="s">
        <v>1689</v>
      </c>
      <c r="I2666" s="2" t="n">
        <v>5</v>
      </c>
    </row>
    <row r="2667" customFormat="false" ht="15" hidden="false" customHeight="false" outlineLevel="0" collapsed="false">
      <c r="A2667" s="2" t="s">
        <v>1593</v>
      </c>
      <c r="B2667" s="2" t="s">
        <v>343</v>
      </c>
      <c r="C2667" s="2" t="n">
        <v>1</v>
      </c>
      <c r="D2667" s="2" t="s">
        <v>1687</v>
      </c>
      <c r="E2667" s="2" t="s">
        <v>3553</v>
      </c>
      <c r="F2667" s="2"/>
      <c r="G2667" s="2" t="n">
        <v>2</v>
      </c>
      <c r="H2667" s="2" t="s">
        <v>1689</v>
      </c>
      <c r="I2667" s="2" t="n">
        <v>1</v>
      </c>
    </row>
    <row r="2668" customFormat="false" ht="15" hidden="false" customHeight="false" outlineLevel="0" collapsed="false">
      <c r="A2668" s="2" t="s">
        <v>1593</v>
      </c>
      <c r="B2668" s="2" t="s">
        <v>71</v>
      </c>
      <c r="C2668" s="2" t="n">
        <v>30</v>
      </c>
      <c r="D2668" s="2" t="s">
        <v>54</v>
      </c>
      <c r="E2668" s="2" t="s">
        <v>3527</v>
      </c>
      <c r="F2668" s="2" t="n">
        <v>15</v>
      </c>
      <c r="G2668" s="2" t="n">
        <v>45</v>
      </c>
      <c r="H2668" s="2" t="s">
        <v>1693</v>
      </c>
      <c r="I2668" s="2" t="n">
        <v>2</v>
      </c>
    </row>
    <row r="2669" customFormat="false" ht="15" hidden="false" customHeight="false" outlineLevel="0" collapsed="false">
      <c r="A2669" s="2" t="s">
        <v>1593</v>
      </c>
      <c r="B2669" s="2" t="s">
        <v>67</v>
      </c>
      <c r="C2669" s="2" t="n">
        <v>15</v>
      </c>
      <c r="D2669" s="2" t="s">
        <v>54</v>
      </c>
      <c r="E2669" s="2" t="s">
        <v>3534</v>
      </c>
      <c r="F2669" s="2" t="n">
        <v>7.5</v>
      </c>
      <c r="G2669" s="2" t="n">
        <v>22.5</v>
      </c>
      <c r="H2669" s="2" t="s">
        <v>1693</v>
      </c>
      <c r="I2669" s="2" t="n">
        <v>3</v>
      </c>
    </row>
    <row r="2670" customFormat="false" ht="15" hidden="false" customHeight="false" outlineLevel="0" collapsed="false">
      <c r="A2670" s="2" t="s">
        <v>1593</v>
      </c>
      <c r="B2670" s="2" t="s">
        <v>510</v>
      </c>
      <c r="C2670" s="2" t="n">
        <v>75</v>
      </c>
      <c r="D2670" s="2" t="s">
        <v>54</v>
      </c>
      <c r="E2670" s="2" t="s">
        <v>3526</v>
      </c>
      <c r="F2670" s="2" t="n">
        <v>37.5</v>
      </c>
      <c r="G2670" s="2" t="n">
        <v>112.5</v>
      </c>
      <c r="H2670" s="2" t="s">
        <v>1689</v>
      </c>
      <c r="I2670" s="2" t="n">
        <v>4</v>
      </c>
    </row>
    <row r="2671" customFormat="false" ht="15" hidden="false" customHeight="false" outlineLevel="0" collapsed="false">
      <c r="A2671" s="2" t="s">
        <v>1593</v>
      </c>
      <c r="B2671" s="2" t="s">
        <v>91</v>
      </c>
      <c r="C2671" s="2" t="n">
        <v>10</v>
      </c>
      <c r="D2671" s="2" t="s">
        <v>54</v>
      </c>
      <c r="E2671" s="2" t="s">
        <v>3532</v>
      </c>
      <c r="F2671" s="2" t="n">
        <v>5</v>
      </c>
      <c r="G2671" s="2" t="n">
        <v>15</v>
      </c>
      <c r="H2671" s="2" t="s">
        <v>1689</v>
      </c>
      <c r="I2671" s="2" t="n">
        <v>5</v>
      </c>
    </row>
    <row r="2672" customFormat="false" ht="15" hidden="false" customHeight="false" outlineLevel="0" collapsed="false">
      <c r="A2672" s="2" t="s">
        <v>1593</v>
      </c>
      <c r="B2672" s="2" t="s">
        <v>146</v>
      </c>
      <c r="C2672" s="2" t="n">
        <v>6</v>
      </c>
      <c r="D2672" s="2" t="s">
        <v>54</v>
      </c>
      <c r="E2672" s="2" t="s">
        <v>3518</v>
      </c>
      <c r="F2672" s="2" t="n">
        <v>5</v>
      </c>
      <c r="G2672" s="2" t="n">
        <v>7</v>
      </c>
      <c r="H2672" s="2" t="s">
        <v>1689</v>
      </c>
      <c r="I2672" s="2" t="n">
        <v>6</v>
      </c>
    </row>
    <row r="2673" customFormat="false" ht="15" hidden="false" customHeight="false" outlineLevel="0" collapsed="false">
      <c r="A2673" s="2" t="s">
        <v>1593</v>
      </c>
      <c r="B2673" s="2" t="s">
        <v>74</v>
      </c>
      <c r="C2673" s="2" t="n">
        <v>150</v>
      </c>
      <c r="D2673" s="2" t="s">
        <v>76</v>
      </c>
      <c r="E2673" s="2" t="s">
        <v>3508</v>
      </c>
      <c r="F2673" s="2" t="n">
        <v>75</v>
      </c>
      <c r="G2673" s="2" t="n">
        <v>225</v>
      </c>
      <c r="H2673" s="2" t="s">
        <v>1689</v>
      </c>
      <c r="I2673" s="2" t="n">
        <v>7</v>
      </c>
    </row>
    <row r="2674" customFormat="false" ht="15" hidden="false" customHeight="false" outlineLevel="0" collapsed="false">
      <c r="A2674" s="2" t="s">
        <v>1595</v>
      </c>
      <c r="B2674" s="2" t="s">
        <v>636</v>
      </c>
      <c r="C2674" s="2" t="n">
        <v>150</v>
      </c>
      <c r="D2674" s="2" t="s">
        <v>76</v>
      </c>
      <c r="E2674" s="2" t="s">
        <v>3554</v>
      </c>
      <c r="F2674" s="2" t="n">
        <v>75</v>
      </c>
      <c r="G2674" s="2" t="n">
        <v>225</v>
      </c>
      <c r="H2674" s="2" t="s">
        <v>1689</v>
      </c>
      <c r="I2674" s="2" t="n">
        <v>1</v>
      </c>
    </row>
    <row r="2675" customFormat="false" ht="15" hidden="false" customHeight="false" outlineLevel="0" collapsed="false">
      <c r="A2675" s="2" t="s">
        <v>1595</v>
      </c>
      <c r="B2675" s="2" t="s">
        <v>67</v>
      </c>
      <c r="C2675" s="2" t="n">
        <v>30</v>
      </c>
      <c r="D2675" s="2" t="s">
        <v>54</v>
      </c>
      <c r="E2675" s="2" t="s">
        <v>3515</v>
      </c>
      <c r="F2675" s="2" t="n">
        <v>15</v>
      </c>
      <c r="G2675" s="2" t="n">
        <v>45</v>
      </c>
      <c r="H2675" s="2" t="s">
        <v>1693</v>
      </c>
      <c r="I2675" s="2" t="n">
        <v>2</v>
      </c>
    </row>
    <row r="2676" customFormat="false" ht="15" hidden="false" customHeight="false" outlineLevel="0" collapsed="false">
      <c r="A2676" s="2" t="s">
        <v>1595</v>
      </c>
      <c r="B2676" s="2" t="s">
        <v>64</v>
      </c>
      <c r="C2676" s="2" t="n">
        <v>45</v>
      </c>
      <c r="D2676" s="2" t="s">
        <v>54</v>
      </c>
      <c r="E2676" s="2" t="s">
        <v>3521</v>
      </c>
      <c r="F2676" s="2" t="n">
        <v>22.5</v>
      </c>
      <c r="G2676" s="2" t="n">
        <v>67.5</v>
      </c>
      <c r="H2676" s="2" t="s">
        <v>1689</v>
      </c>
      <c r="I2676" s="2" t="n">
        <v>3</v>
      </c>
    </row>
    <row r="2677" customFormat="false" ht="15" hidden="false" customHeight="false" outlineLevel="0" collapsed="false">
      <c r="A2677" s="2" t="s">
        <v>1595</v>
      </c>
      <c r="B2677" s="2" t="s">
        <v>52</v>
      </c>
      <c r="C2677" s="2" t="n">
        <v>1</v>
      </c>
      <c r="D2677" s="2" t="s">
        <v>1687</v>
      </c>
      <c r="E2677" s="2" t="s">
        <v>3537</v>
      </c>
      <c r="F2677" s="2"/>
      <c r="G2677" s="2" t="n">
        <v>2</v>
      </c>
      <c r="H2677" s="2" t="s">
        <v>1689</v>
      </c>
      <c r="I2677" s="2" t="n">
        <v>4</v>
      </c>
    </row>
    <row r="2678" customFormat="false" ht="15" hidden="false" customHeight="false" outlineLevel="0" collapsed="false">
      <c r="A2678" s="2" t="s">
        <v>1595</v>
      </c>
      <c r="B2678" s="2" t="s">
        <v>71</v>
      </c>
      <c r="C2678" s="2" t="n">
        <v>30</v>
      </c>
      <c r="D2678" s="2" t="s">
        <v>54</v>
      </c>
      <c r="E2678" s="2" t="s">
        <v>3510</v>
      </c>
      <c r="F2678" s="2" t="n">
        <v>15</v>
      </c>
      <c r="G2678" s="2" t="n">
        <v>45</v>
      </c>
      <c r="H2678" s="2" t="s">
        <v>1693</v>
      </c>
      <c r="I2678" s="2" t="n">
        <v>5</v>
      </c>
    </row>
    <row r="2679" customFormat="false" ht="15" hidden="false" customHeight="false" outlineLevel="0" collapsed="false">
      <c r="A2679" s="2" t="s">
        <v>1597</v>
      </c>
      <c r="B2679" s="2" t="s">
        <v>89</v>
      </c>
      <c r="C2679" s="2" t="n">
        <v>40</v>
      </c>
      <c r="D2679" s="2" t="s">
        <v>54</v>
      </c>
      <c r="E2679" s="2" t="s">
        <v>3555</v>
      </c>
      <c r="F2679" s="2" t="n">
        <v>20</v>
      </c>
      <c r="G2679" s="2" t="n">
        <v>60</v>
      </c>
      <c r="H2679" s="2" t="s">
        <v>1689</v>
      </c>
      <c r="I2679" s="2" t="n">
        <v>1</v>
      </c>
    </row>
    <row r="2680" customFormat="false" ht="15" hidden="false" customHeight="false" outlineLevel="0" collapsed="false">
      <c r="A2680" s="2" t="s">
        <v>1597</v>
      </c>
      <c r="B2680" s="2" t="s">
        <v>536</v>
      </c>
      <c r="C2680" s="2" t="n">
        <v>250</v>
      </c>
      <c r="D2680" s="2" t="s">
        <v>76</v>
      </c>
      <c r="E2680" s="2" t="s">
        <v>3556</v>
      </c>
      <c r="F2680" s="2" t="n">
        <v>125</v>
      </c>
      <c r="G2680" s="2" t="n">
        <v>375</v>
      </c>
      <c r="H2680" s="2" t="s">
        <v>1700</v>
      </c>
      <c r="I2680" s="2" t="n">
        <v>2</v>
      </c>
    </row>
    <row r="2681" customFormat="false" ht="15" hidden="false" customHeight="false" outlineLevel="0" collapsed="false">
      <c r="A2681" s="2" t="s">
        <v>1597</v>
      </c>
      <c r="B2681" s="2" t="s">
        <v>71</v>
      </c>
      <c r="C2681" s="2" t="n">
        <v>25</v>
      </c>
      <c r="D2681" s="2" t="s">
        <v>54</v>
      </c>
      <c r="E2681" s="2" t="s">
        <v>3557</v>
      </c>
      <c r="F2681" s="2" t="n">
        <v>12.5</v>
      </c>
      <c r="G2681" s="2" t="n">
        <v>37.5</v>
      </c>
      <c r="H2681" s="2" t="s">
        <v>1693</v>
      </c>
      <c r="I2681" s="2" t="n">
        <v>3</v>
      </c>
    </row>
    <row r="2682" customFormat="false" ht="15" hidden="false" customHeight="false" outlineLevel="0" collapsed="false">
      <c r="A2682" s="2" t="s">
        <v>1597</v>
      </c>
      <c r="B2682" s="2" t="s">
        <v>99</v>
      </c>
      <c r="C2682" s="2" t="n">
        <v>2.5</v>
      </c>
      <c r="D2682" s="2" t="s">
        <v>54</v>
      </c>
      <c r="E2682" s="2" t="s">
        <v>3558</v>
      </c>
      <c r="F2682" s="2" t="n">
        <v>1.25</v>
      </c>
      <c r="G2682" s="2" t="n">
        <v>3.75</v>
      </c>
      <c r="H2682" s="2" t="s">
        <v>1689</v>
      </c>
      <c r="I2682" s="2" t="n">
        <v>4</v>
      </c>
    </row>
    <row r="2683" customFormat="false" ht="15" hidden="false" customHeight="false" outlineLevel="0" collapsed="false">
      <c r="A2683" s="2" t="s">
        <v>1597</v>
      </c>
      <c r="B2683" s="2" t="s">
        <v>271</v>
      </c>
      <c r="C2683" s="2" t="n">
        <v>1</v>
      </c>
      <c r="D2683" s="2" t="s">
        <v>54</v>
      </c>
      <c r="E2683" s="2" t="s">
        <v>3559</v>
      </c>
      <c r="F2683" s="2" t="n">
        <v>0.5</v>
      </c>
      <c r="G2683" s="2" t="n">
        <v>1.5</v>
      </c>
      <c r="H2683" s="2" t="s">
        <v>1689</v>
      </c>
      <c r="I2683" s="2" t="n">
        <v>5</v>
      </c>
    </row>
    <row r="2684" customFormat="false" ht="15" hidden="false" customHeight="false" outlineLevel="0" collapsed="false">
      <c r="A2684" s="2" t="s">
        <v>1597</v>
      </c>
      <c r="B2684" s="2" t="s">
        <v>295</v>
      </c>
      <c r="C2684" s="2" t="n">
        <v>5</v>
      </c>
      <c r="D2684" s="2" t="s">
        <v>54</v>
      </c>
      <c r="E2684" s="2" t="s">
        <v>3560</v>
      </c>
      <c r="F2684" s="2" t="n">
        <v>2.5</v>
      </c>
      <c r="G2684" s="2" t="n">
        <v>7.5</v>
      </c>
      <c r="H2684" s="2" t="s">
        <v>1700</v>
      </c>
      <c r="I2684" s="2" t="n">
        <v>6</v>
      </c>
    </row>
    <row r="2685" customFormat="false" ht="15" hidden="false" customHeight="false" outlineLevel="0" collapsed="false">
      <c r="A2685" s="2" t="s">
        <v>1600</v>
      </c>
      <c r="B2685" s="2" t="s">
        <v>81</v>
      </c>
      <c r="C2685" s="2" t="n">
        <v>50</v>
      </c>
      <c r="D2685" s="2" t="s">
        <v>54</v>
      </c>
      <c r="E2685" s="2" t="s">
        <v>3561</v>
      </c>
      <c r="F2685" s="2" t="n">
        <v>25</v>
      </c>
      <c r="G2685" s="2" t="n">
        <v>75</v>
      </c>
      <c r="H2685" s="2" t="s">
        <v>1689</v>
      </c>
      <c r="I2685" s="2" t="n">
        <v>1</v>
      </c>
    </row>
    <row r="2686" customFormat="false" ht="15" hidden="false" customHeight="false" outlineLevel="0" collapsed="false">
      <c r="A2686" s="2" t="s">
        <v>1600</v>
      </c>
      <c r="B2686" s="2" t="s">
        <v>536</v>
      </c>
      <c r="C2686" s="2" t="n">
        <v>200</v>
      </c>
      <c r="D2686" s="2" t="s">
        <v>76</v>
      </c>
      <c r="E2686" s="2" t="s">
        <v>3562</v>
      </c>
      <c r="F2686" s="2" t="n">
        <v>100</v>
      </c>
      <c r="G2686" s="2" t="n">
        <v>300</v>
      </c>
      <c r="H2686" s="2" t="s">
        <v>1700</v>
      </c>
      <c r="I2686" s="2" t="n">
        <v>2</v>
      </c>
    </row>
    <row r="2687" customFormat="false" ht="15" hidden="false" customHeight="false" outlineLevel="0" collapsed="false">
      <c r="A2687" s="2" t="s">
        <v>1600</v>
      </c>
      <c r="B2687" s="2" t="s">
        <v>71</v>
      </c>
      <c r="C2687" s="2" t="n">
        <v>25</v>
      </c>
      <c r="D2687" s="2" t="s">
        <v>54</v>
      </c>
      <c r="E2687" s="2" t="s">
        <v>3557</v>
      </c>
      <c r="F2687" s="2" t="n">
        <v>12.5</v>
      </c>
      <c r="G2687" s="2" t="n">
        <v>37.5</v>
      </c>
      <c r="H2687" s="2" t="s">
        <v>1693</v>
      </c>
      <c r="I2687" s="2" t="n">
        <v>3</v>
      </c>
    </row>
    <row r="2688" customFormat="false" ht="15" hidden="false" customHeight="false" outlineLevel="0" collapsed="false">
      <c r="A2688" s="2" t="s">
        <v>1600</v>
      </c>
      <c r="B2688" s="2" t="s">
        <v>89</v>
      </c>
      <c r="C2688" s="2" t="n">
        <v>15</v>
      </c>
      <c r="D2688" s="2" t="s">
        <v>54</v>
      </c>
      <c r="E2688" s="2" t="s">
        <v>3563</v>
      </c>
      <c r="F2688" s="2" t="n">
        <v>7.5</v>
      </c>
      <c r="G2688" s="2" t="n">
        <v>22.5</v>
      </c>
      <c r="H2688" s="2" t="s">
        <v>1689</v>
      </c>
      <c r="I2688" s="2" t="n">
        <v>4</v>
      </c>
    </row>
    <row r="2689" customFormat="false" ht="15" hidden="false" customHeight="false" outlineLevel="0" collapsed="false">
      <c r="A2689" s="2" t="s">
        <v>1600</v>
      </c>
      <c r="B2689" s="2" t="s">
        <v>271</v>
      </c>
      <c r="C2689" s="2" t="n">
        <v>1</v>
      </c>
      <c r="D2689" s="2" t="s">
        <v>54</v>
      </c>
      <c r="E2689" s="2" t="s">
        <v>3564</v>
      </c>
      <c r="F2689" s="2" t="n">
        <v>0.5</v>
      </c>
      <c r="G2689" s="2" t="n">
        <v>1.5</v>
      </c>
      <c r="H2689" s="2" t="s">
        <v>1689</v>
      </c>
      <c r="I2689" s="2" t="n">
        <v>5</v>
      </c>
    </row>
    <row r="2690" customFormat="false" ht="15" hidden="false" customHeight="false" outlineLevel="0" collapsed="false">
      <c r="A2690" s="2" t="s">
        <v>1600</v>
      </c>
      <c r="B2690" s="2" t="s">
        <v>99</v>
      </c>
      <c r="C2690" s="2" t="n">
        <v>2.5</v>
      </c>
      <c r="D2690" s="2" t="s">
        <v>54</v>
      </c>
      <c r="E2690" s="2" t="s">
        <v>3558</v>
      </c>
      <c r="F2690" s="2" t="n">
        <v>1.25</v>
      </c>
      <c r="G2690" s="2" t="n">
        <v>3.75</v>
      </c>
      <c r="H2690" s="2" t="s">
        <v>1689</v>
      </c>
      <c r="I2690" s="2" t="n">
        <v>6</v>
      </c>
    </row>
    <row r="2691" customFormat="false" ht="15" hidden="false" customHeight="false" outlineLevel="0" collapsed="false">
      <c r="A2691" s="2" t="s">
        <v>1600</v>
      </c>
      <c r="B2691" s="2" t="s">
        <v>295</v>
      </c>
      <c r="C2691" s="2" t="n">
        <v>5</v>
      </c>
      <c r="D2691" s="2" t="s">
        <v>54</v>
      </c>
      <c r="E2691" s="2" t="s">
        <v>3565</v>
      </c>
      <c r="F2691" s="2" t="n">
        <v>2.5</v>
      </c>
      <c r="G2691" s="2" t="n">
        <v>7.5</v>
      </c>
      <c r="H2691" s="2" t="s">
        <v>1700</v>
      </c>
      <c r="I2691" s="2" t="n">
        <v>7</v>
      </c>
    </row>
    <row r="2692" customFormat="false" ht="15" hidden="false" customHeight="false" outlineLevel="0" collapsed="false">
      <c r="A2692" s="2" t="s">
        <v>1603</v>
      </c>
      <c r="B2692" s="2" t="s">
        <v>110</v>
      </c>
      <c r="C2692" s="2" t="n">
        <v>4</v>
      </c>
      <c r="D2692" s="2" t="s">
        <v>1687</v>
      </c>
      <c r="E2692" s="2" t="s">
        <v>3566</v>
      </c>
      <c r="F2692" s="2" t="n">
        <v>3</v>
      </c>
      <c r="G2692" s="2" t="n">
        <v>5</v>
      </c>
      <c r="H2692" s="2" t="s">
        <v>1693</v>
      </c>
      <c r="I2692" s="2" t="n">
        <v>1</v>
      </c>
    </row>
    <row r="2693" customFormat="false" ht="15" hidden="false" customHeight="false" outlineLevel="0" collapsed="false">
      <c r="A2693" s="2" t="s">
        <v>1603</v>
      </c>
      <c r="B2693" s="2" t="s">
        <v>536</v>
      </c>
      <c r="C2693" s="2" t="n">
        <v>50</v>
      </c>
      <c r="D2693" s="2" t="s">
        <v>76</v>
      </c>
      <c r="E2693" s="2" t="s">
        <v>3567</v>
      </c>
      <c r="F2693" s="2" t="n">
        <v>25</v>
      </c>
      <c r="G2693" s="2" t="n">
        <v>75</v>
      </c>
      <c r="H2693" s="2" t="s">
        <v>1700</v>
      </c>
      <c r="I2693" s="2" t="n">
        <v>2</v>
      </c>
    </row>
    <row r="2694" customFormat="false" ht="15" hidden="false" customHeight="false" outlineLevel="0" collapsed="false">
      <c r="A2694" s="2" t="s">
        <v>1603</v>
      </c>
      <c r="B2694" s="2" t="s">
        <v>386</v>
      </c>
      <c r="C2694" s="2" t="n">
        <v>30</v>
      </c>
      <c r="D2694" s="2" t="s">
        <v>54</v>
      </c>
      <c r="E2694" s="2" t="s">
        <v>3568</v>
      </c>
      <c r="F2694" s="2" t="n">
        <v>15</v>
      </c>
      <c r="G2694" s="2" t="n">
        <v>45</v>
      </c>
      <c r="H2694" s="2" t="s">
        <v>1700</v>
      </c>
      <c r="I2694" s="2" t="n">
        <v>3</v>
      </c>
    </row>
    <row r="2695" customFormat="false" ht="15" hidden="false" customHeight="false" outlineLevel="0" collapsed="false">
      <c r="A2695" s="2" t="s">
        <v>1603</v>
      </c>
      <c r="B2695" s="2" t="s">
        <v>498</v>
      </c>
      <c r="C2695" s="2" t="n">
        <v>50</v>
      </c>
      <c r="D2695" s="2" t="s">
        <v>54</v>
      </c>
      <c r="E2695" s="2" t="s">
        <v>3569</v>
      </c>
      <c r="F2695" s="2" t="n">
        <v>25</v>
      </c>
      <c r="G2695" s="2" t="n">
        <v>75</v>
      </c>
      <c r="H2695" s="2" t="s">
        <v>1693</v>
      </c>
      <c r="I2695" s="2" t="n">
        <v>4</v>
      </c>
    </row>
    <row r="2696" customFormat="false" ht="15" hidden="false" customHeight="false" outlineLevel="0" collapsed="false">
      <c r="A2696" s="2" t="s">
        <v>1603</v>
      </c>
      <c r="B2696" s="2" t="s">
        <v>480</v>
      </c>
      <c r="C2696" s="2" t="n">
        <v>1</v>
      </c>
      <c r="D2696" s="2" t="s">
        <v>54</v>
      </c>
      <c r="E2696" s="2" t="s">
        <v>3570</v>
      </c>
      <c r="F2696" s="2" t="n">
        <v>0.5</v>
      </c>
      <c r="G2696" s="2" t="n">
        <v>1.5</v>
      </c>
      <c r="H2696" s="2" t="s">
        <v>1689</v>
      </c>
      <c r="I2696" s="2" t="n">
        <v>5</v>
      </c>
    </row>
    <row r="2697" customFormat="false" ht="15" hidden="false" customHeight="false" outlineLevel="0" collapsed="false">
      <c r="A2697" s="2" t="s">
        <v>1603</v>
      </c>
      <c r="B2697" s="2" t="s">
        <v>480</v>
      </c>
      <c r="C2697" s="2" t="n">
        <v>1</v>
      </c>
      <c r="D2697" s="2" t="s">
        <v>54</v>
      </c>
      <c r="E2697" s="2" t="s">
        <v>3571</v>
      </c>
      <c r="F2697" s="2" t="n">
        <v>0.5</v>
      </c>
      <c r="G2697" s="2" t="n">
        <v>1.5</v>
      </c>
      <c r="H2697" s="2" t="s">
        <v>1689</v>
      </c>
      <c r="I2697" s="2" t="n">
        <v>6</v>
      </c>
    </row>
    <row r="2698" customFormat="false" ht="15" hidden="false" customHeight="false" outlineLevel="0" collapsed="false">
      <c r="A2698" s="2" t="s">
        <v>1603</v>
      </c>
      <c r="B2698" s="2" t="s">
        <v>271</v>
      </c>
      <c r="C2698" s="2" t="n">
        <v>1</v>
      </c>
      <c r="D2698" s="2" t="s">
        <v>54</v>
      </c>
      <c r="E2698" s="2" t="s">
        <v>3572</v>
      </c>
      <c r="F2698" s="2" t="n">
        <v>0.5</v>
      </c>
      <c r="G2698" s="2" t="n">
        <v>1.5</v>
      </c>
      <c r="H2698" s="2" t="s">
        <v>1689</v>
      </c>
      <c r="I2698" s="2" t="n">
        <v>7</v>
      </c>
    </row>
    <row r="2699" customFormat="false" ht="15" hidden="false" customHeight="false" outlineLevel="0" collapsed="false">
      <c r="A2699" s="2" t="s">
        <v>1603</v>
      </c>
      <c r="B2699" s="2" t="s">
        <v>377</v>
      </c>
      <c r="C2699" s="2" t="n">
        <v>1</v>
      </c>
      <c r="D2699" s="2" t="s">
        <v>54</v>
      </c>
      <c r="E2699" s="2" t="s">
        <v>3573</v>
      </c>
      <c r="F2699" s="2" t="n">
        <v>0.5</v>
      </c>
      <c r="G2699" s="2" t="n">
        <v>1.5</v>
      </c>
      <c r="H2699" s="2" t="s">
        <v>1700</v>
      </c>
      <c r="I2699" s="2" t="n">
        <v>8</v>
      </c>
    </row>
    <row r="2700" customFormat="false" ht="15" hidden="false" customHeight="false" outlineLevel="0" collapsed="false">
      <c r="A2700" s="2" t="s">
        <v>1607</v>
      </c>
      <c r="B2700" s="2" t="s">
        <v>52</v>
      </c>
      <c r="C2700" s="2" t="n">
        <v>1</v>
      </c>
      <c r="D2700" s="2" t="s">
        <v>1687</v>
      </c>
      <c r="E2700" s="2" t="s">
        <v>3537</v>
      </c>
      <c r="F2700" s="2"/>
      <c r="G2700" s="2" t="n">
        <v>2</v>
      </c>
      <c r="H2700" s="2" t="s">
        <v>1689</v>
      </c>
      <c r="I2700" s="2" t="n">
        <v>1</v>
      </c>
    </row>
    <row r="2701" customFormat="false" ht="15" hidden="false" customHeight="false" outlineLevel="0" collapsed="false">
      <c r="A2701" s="2" t="s">
        <v>1607</v>
      </c>
      <c r="B2701" s="2" t="s">
        <v>110</v>
      </c>
      <c r="C2701" s="2" t="n">
        <v>1</v>
      </c>
      <c r="D2701" s="2" t="s">
        <v>1687</v>
      </c>
      <c r="E2701" s="2" t="s">
        <v>3574</v>
      </c>
      <c r="F2701" s="2"/>
      <c r="G2701" s="2" t="n">
        <v>2</v>
      </c>
      <c r="H2701" s="2" t="s">
        <v>1693</v>
      </c>
      <c r="I2701" s="2" t="n">
        <v>2</v>
      </c>
    </row>
    <row r="2702" customFormat="false" ht="15" hidden="false" customHeight="false" outlineLevel="0" collapsed="false">
      <c r="A2702" s="2" t="s">
        <v>1607</v>
      </c>
      <c r="B2702" s="2" t="s">
        <v>621</v>
      </c>
      <c r="C2702" s="2" t="n">
        <v>60</v>
      </c>
      <c r="D2702" s="2" t="s">
        <v>54</v>
      </c>
      <c r="E2702" s="2" t="s">
        <v>3575</v>
      </c>
      <c r="F2702" s="2" t="n">
        <v>30</v>
      </c>
      <c r="G2702" s="2" t="n">
        <v>90</v>
      </c>
      <c r="H2702" s="2" t="s">
        <v>1689</v>
      </c>
      <c r="I2702" s="2" t="n">
        <v>3</v>
      </c>
    </row>
    <row r="2703" customFormat="false" ht="15" hidden="false" customHeight="false" outlineLevel="0" collapsed="false">
      <c r="A2703" s="2" t="s">
        <v>1607</v>
      </c>
      <c r="B2703" s="2" t="s">
        <v>619</v>
      </c>
      <c r="C2703" s="2" t="n">
        <v>60</v>
      </c>
      <c r="D2703" s="2" t="s">
        <v>54</v>
      </c>
      <c r="E2703" s="2" t="s">
        <v>3576</v>
      </c>
      <c r="F2703" s="2" t="n">
        <v>30</v>
      </c>
      <c r="G2703" s="2" t="n">
        <v>90</v>
      </c>
      <c r="H2703" s="2" t="s">
        <v>1689</v>
      </c>
      <c r="I2703" s="2" t="n">
        <v>4</v>
      </c>
    </row>
    <row r="2704" customFormat="false" ht="15" hidden="false" customHeight="false" outlineLevel="0" collapsed="false">
      <c r="A2704" s="2" t="s">
        <v>1607</v>
      </c>
      <c r="B2704" s="2" t="s">
        <v>440</v>
      </c>
      <c r="C2704" s="2" t="n">
        <v>60</v>
      </c>
      <c r="D2704" s="2" t="s">
        <v>54</v>
      </c>
      <c r="E2704" s="2" t="s">
        <v>3577</v>
      </c>
      <c r="F2704" s="2" t="n">
        <v>30</v>
      </c>
      <c r="G2704" s="2" t="n">
        <v>90</v>
      </c>
      <c r="H2704" s="2" t="s">
        <v>1689</v>
      </c>
      <c r="I2704" s="2" t="n">
        <v>5</v>
      </c>
    </row>
    <row r="2705" customFormat="false" ht="15" hidden="false" customHeight="false" outlineLevel="0" collapsed="false">
      <c r="A2705" s="2" t="s">
        <v>1607</v>
      </c>
      <c r="B2705" s="2" t="s">
        <v>440</v>
      </c>
      <c r="C2705" s="2" t="n">
        <v>60</v>
      </c>
      <c r="D2705" s="2" t="s">
        <v>54</v>
      </c>
      <c r="E2705" s="2" t="s">
        <v>3578</v>
      </c>
      <c r="F2705" s="2" t="n">
        <v>30</v>
      </c>
      <c r="G2705" s="2" t="n">
        <v>90</v>
      </c>
      <c r="H2705" s="2" t="s">
        <v>1689</v>
      </c>
      <c r="I2705" s="2" t="n">
        <v>6</v>
      </c>
    </row>
    <row r="2706" customFormat="false" ht="15" hidden="false" customHeight="false" outlineLevel="0" collapsed="false">
      <c r="A2706" s="2" t="s">
        <v>1607</v>
      </c>
      <c r="B2706" s="2" t="s">
        <v>74</v>
      </c>
      <c r="C2706" s="2" t="n">
        <v>30</v>
      </c>
      <c r="D2706" s="2" t="s">
        <v>76</v>
      </c>
      <c r="E2706" s="2" t="s">
        <v>3579</v>
      </c>
      <c r="F2706" s="2" t="n">
        <v>15</v>
      </c>
      <c r="G2706" s="2" t="n">
        <v>45</v>
      </c>
      <c r="H2706" s="2" t="s">
        <v>1689</v>
      </c>
      <c r="I2706" s="2" t="n">
        <v>7</v>
      </c>
    </row>
    <row r="2707" customFormat="false" ht="15" hidden="false" customHeight="false" outlineLevel="0" collapsed="false">
      <c r="A2707" s="2" t="s">
        <v>1607</v>
      </c>
      <c r="B2707" s="2" t="s">
        <v>99</v>
      </c>
      <c r="C2707" s="2" t="n">
        <v>2.5</v>
      </c>
      <c r="D2707" s="2" t="s">
        <v>54</v>
      </c>
      <c r="E2707" s="2" t="s">
        <v>3558</v>
      </c>
      <c r="F2707" s="2" t="n">
        <v>1.25</v>
      </c>
      <c r="G2707" s="2" t="n">
        <v>3.75</v>
      </c>
      <c r="H2707" s="2" t="s">
        <v>1689</v>
      </c>
      <c r="I2707" s="2" t="n">
        <v>8</v>
      </c>
    </row>
    <row r="2708" customFormat="false" ht="15" hidden="false" customHeight="false" outlineLevel="0" collapsed="false">
      <c r="A2708" s="2" t="s">
        <v>1607</v>
      </c>
      <c r="B2708" s="2" t="s">
        <v>107</v>
      </c>
      <c r="C2708" s="2" t="n">
        <v>10</v>
      </c>
      <c r="D2708" s="2" t="s">
        <v>54</v>
      </c>
      <c r="E2708" s="2" t="s">
        <v>3580</v>
      </c>
      <c r="F2708" s="2" t="n">
        <v>5</v>
      </c>
      <c r="G2708" s="2" t="n">
        <v>15</v>
      </c>
      <c r="H2708" s="2" t="s">
        <v>1689</v>
      </c>
      <c r="I2708" s="2" t="n">
        <v>9</v>
      </c>
    </row>
    <row r="2709" customFormat="false" ht="15" hidden="false" customHeight="false" outlineLevel="0" collapsed="false">
      <c r="A2709" s="2" t="s">
        <v>1607</v>
      </c>
      <c r="B2709" s="2" t="s">
        <v>93</v>
      </c>
      <c r="C2709" s="2" t="n">
        <v>15</v>
      </c>
      <c r="D2709" s="2" t="s">
        <v>54</v>
      </c>
      <c r="E2709" s="2" t="s">
        <v>3581</v>
      </c>
      <c r="F2709" s="2" t="n">
        <v>7.5</v>
      </c>
      <c r="G2709" s="2" t="n">
        <v>22.5</v>
      </c>
      <c r="H2709" s="2" t="s">
        <v>1689</v>
      </c>
      <c r="I2709" s="2" t="n">
        <v>10</v>
      </c>
    </row>
    <row r="2710" customFormat="false" ht="15" hidden="false" customHeight="false" outlineLevel="0" collapsed="false">
      <c r="A2710" s="2" t="s">
        <v>1611</v>
      </c>
      <c r="B2710" s="2" t="s">
        <v>266</v>
      </c>
      <c r="C2710" s="2" t="n">
        <v>1.5</v>
      </c>
      <c r="D2710" s="2" t="s">
        <v>1687</v>
      </c>
      <c r="E2710" s="2" t="s">
        <v>3582</v>
      </c>
      <c r="F2710" s="2" t="n">
        <v>0.5</v>
      </c>
      <c r="G2710" s="2" t="n">
        <v>2.5</v>
      </c>
      <c r="H2710" s="2" t="s">
        <v>1689</v>
      </c>
      <c r="I2710" s="2" t="n">
        <v>1</v>
      </c>
    </row>
    <row r="2711" customFormat="false" ht="15" hidden="false" customHeight="false" outlineLevel="0" collapsed="false">
      <c r="A2711" s="2" t="s">
        <v>1611</v>
      </c>
      <c r="B2711" s="2" t="s">
        <v>52</v>
      </c>
      <c r="C2711" s="2" t="n">
        <v>1</v>
      </c>
      <c r="D2711" s="2" t="s">
        <v>1687</v>
      </c>
      <c r="E2711" s="2" t="s">
        <v>3533</v>
      </c>
      <c r="F2711" s="2"/>
      <c r="G2711" s="2" t="n">
        <v>2</v>
      </c>
      <c r="H2711" s="2" t="s">
        <v>1689</v>
      </c>
      <c r="I2711" s="2" t="n">
        <v>2</v>
      </c>
    </row>
    <row r="2712" customFormat="false" ht="15" hidden="false" customHeight="false" outlineLevel="0" collapsed="false">
      <c r="A2712" s="2" t="s">
        <v>1611</v>
      </c>
      <c r="B2712" s="2" t="s">
        <v>67</v>
      </c>
      <c r="C2712" s="2" t="n">
        <v>45</v>
      </c>
      <c r="D2712" s="2" t="s">
        <v>54</v>
      </c>
      <c r="E2712" s="2" t="s">
        <v>3583</v>
      </c>
      <c r="F2712" s="2" t="n">
        <v>22.5</v>
      </c>
      <c r="G2712" s="2" t="n">
        <v>67.5</v>
      </c>
      <c r="H2712" s="2" t="s">
        <v>1693</v>
      </c>
      <c r="I2712" s="2" t="n">
        <v>3</v>
      </c>
    </row>
    <row r="2713" customFormat="false" ht="15" hidden="false" customHeight="false" outlineLevel="0" collapsed="false">
      <c r="A2713" s="2" t="s">
        <v>1611</v>
      </c>
      <c r="B2713" s="2" t="s">
        <v>91</v>
      </c>
      <c r="C2713" s="2" t="n">
        <v>5</v>
      </c>
      <c r="D2713" s="2" t="s">
        <v>54</v>
      </c>
      <c r="E2713" s="2" t="s">
        <v>3584</v>
      </c>
      <c r="F2713" s="2" t="n">
        <v>2.5</v>
      </c>
      <c r="G2713" s="2" t="n">
        <v>7.5</v>
      </c>
      <c r="H2713" s="2" t="s">
        <v>1689</v>
      </c>
      <c r="I2713" s="2" t="n">
        <v>4</v>
      </c>
    </row>
    <row r="2714" customFormat="false" ht="15" hidden="false" customHeight="false" outlineLevel="0" collapsed="false">
      <c r="A2714" s="2" t="s">
        <v>1614</v>
      </c>
      <c r="B2714" s="2" t="s">
        <v>608</v>
      </c>
      <c r="C2714" s="2" t="n">
        <v>400</v>
      </c>
      <c r="D2714" s="2" t="s">
        <v>54</v>
      </c>
      <c r="E2714" s="2" t="s">
        <v>3585</v>
      </c>
      <c r="F2714" s="2" t="n">
        <v>200</v>
      </c>
      <c r="G2714" s="2" t="n">
        <v>600</v>
      </c>
      <c r="H2714" s="2" t="s">
        <v>1689</v>
      </c>
      <c r="I2714" s="2" t="n">
        <v>1</v>
      </c>
    </row>
    <row r="2715" customFormat="false" ht="15" hidden="false" customHeight="false" outlineLevel="0" collapsed="false">
      <c r="A2715" s="2" t="s">
        <v>1614</v>
      </c>
      <c r="B2715" s="2" t="s">
        <v>264</v>
      </c>
      <c r="C2715" s="2" t="n">
        <v>200</v>
      </c>
      <c r="D2715" s="2" t="s">
        <v>54</v>
      </c>
      <c r="E2715" s="2" t="s">
        <v>3586</v>
      </c>
      <c r="F2715" s="2" t="n">
        <v>100</v>
      </c>
      <c r="G2715" s="2" t="n">
        <v>300</v>
      </c>
      <c r="H2715" s="2" t="s">
        <v>1689</v>
      </c>
      <c r="I2715" s="2" t="n">
        <v>2</v>
      </c>
    </row>
    <row r="2716" customFormat="false" ht="15" hidden="false" customHeight="false" outlineLevel="0" collapsed="false">
      <c r="A2716" s="2" t="s">
        <v>1614</v>
      </c>
      <c r="B2716" s="2" t="s">
        <v>91</v>
      </c>
      <c r="C2716" s="2" t="n">
        <v>150</v>
      </c>
      <c r="D2716" s="2" t="s">
        <v>54</v>
      </c>
      <c r="E2716" s="2" t="s">
        <v>3587</v>
      </c>
      <c r="F2716" s="2" t="n">
        <v>75</v>
      </c>
      <c r="G2716" s="2" t="n">
        <v>225</v>
      </c>
      <c r="H2716" s="2" t="s">
        <v>1689</v>
      </c>
      <c r="I2716" s="2" t="n">
        <v>3</v>
      </c>
    </row>
    <row r="2717" customFormat="false" ht="15" hidden="false" customHeight="false" outlineLevel="0" collapsed="false">
      <c r="A2717" s="2" t="s">
        <v>1614</v>
      </c>
      <c r="B2717" s="2" t="s">
        <v>81</v>
      </c>
      <c r="C2717" s="2" t="n">
        <v>100</v>
      </c>
      <c r="D2717" s="2" t="s">
        <v>54</v>
      </c>
      <c r="E2717" s="2" t="s">
        <v>3588</v>
      </c>
      <c r="F2717" s="2" t="n">
        <v>50</v>
      </c>
      <c r="G2717" s="2" t="n">
        <v>150</v>
      </c>
      <c r="H2717" s="2" t="s">
        <v>1689</v>
      </c>
      <c r="I2717" s="2" t="n">
        <v>4</v>
      </c>
    </row>
    <row r="2718" customFormat="false" ht="15" hidden="false" customHeight="false" outlineLevel="0" collapsed="false">
      <c r="A2718" s="2" t="s">
        <v>1614</v>
      </c>
      <c r="B2718" s="2" t="s">
        <v>204</v>
      </c>
      <c r="C2718" s="2" t="n">
        <v>90</v>
      </c>
      <c r="D2718" s="2" t="s">
        <v>54</v>
      </c>
      <c r="E2718" s="2" t="s">
        <v>3589</v>
      </c>
      <c r="F2718" s="2" t="n">
        <v>45</v>
      </c>
      <c r="G2718" s="2" t="n">
        <v>135</v>
      </c>
      <c r="H2718" s="2" t="s">
        <v>1700</v>
      </c>
      <c r="I2718" s="2" t="n">
        <v>5</v>
      </c>
    </row>
    <row r="2719" customFormat="false" ht="15" hidden="false" customHeight="false" outlineLevel="0" collapsed="false">
      <c r="A2719" s="2" t="s">
        <v>1614</v>
      </c>
      <c r="B2719" s="2" t="s">
        <v>110</v>
      </c>
      <c r="C2719" s="2" t="n">
        <v>3</v>
      </c>
      <c r="D2719" s="2" t="s">
        <v>1687</v>
      </c>
      <c r="E2719" s="2" t="s">
        <v>3590</v>
      </c>
      <c r="F2719" s="2" t="n">
        <v>2</v>
      </c>
      <c r="G2719" s="2" t="n">
        <v>4</v>
      </c>
      <c r="H2719" s="2" t="s">
        <v>1693</v>
      </c>
      <c r="I2719" s="2" t="n">
        <v>6</v>
      </c>
    </row>
    <row r="2720" customFormat="false" ht="15" hidden="false" customHeight="false" outlineLevel="0" collapsed="false">
      <c r="A2720" s="2" t="s">
        <v>1614</v>
      </c>
      <c r="B2720" s="2" t="s">
        <v>97</v>
      </c>
      <c r="C2720" s="2" t="n">
        <v>25</v>
      </c>
      <c r="D2720" s="2" t="s">
        <v>54</v>
      </c>
      <c r="E2720" s="2" t="s">
        <v>3591</v>
      </c>
      <c r="F2720" s="2" t="n">
        <v>12.5</v>
      </c>
      <c r="G2720" s="2" t="n">
        <v>37.5</v>
      </c>
      <c r="H2720" s="2" t="s">
        <v>1689</v>
      </c>
      <c r="I2720" s="2" t="n">
        <v>7</v>
      </c>
    </row>
    <row r="2721" customFormat="false" ht="15" hidden="false" customHeight="false" outlineLevel="0" collapsed="false">
      <c r="A2721" s="2" t="s">
        <v>1614</v>
      </c>
      <c r="B2721" s="2" t="s">
        <v>99</v>
      </c>
      <c r="C2721" s="2" t="n">
        <v>5</v>
      </c>
      <c r="D2721" s="2" t="s">
        <v>54</v>
      </c>
      <c r="E2721" s="2" t="s">
        <v>3592</v>
      </c>
      <c r="F2721" s="2" t="n">
        <v>2.5</v>
      </c>
      <c r="G2721" s="2" t="n">
        <v>7.5</v>
      </c>
      <c r="H2721" s="2" t="s">
        <v>1689</v>
      </c>
      <c r="I2721" s="2" t="n">
        <v>8</v>
      </c>
    </row>
    <row r="2722" customFormat="false" ht="15" hidden="false" customHeight="false" outlineLevel="0" collapsed="false">
      <c r="A2722" s="2" t="s">
        <v>1614</v>
      </c>
      <c r="B2722" s="2" t="s">
        <v>107</v>
      </c>
      <c r="C2722" s="2" t="n">
        <v>2.5</v>
      </c>
      <c r="D2722" s="2" t="s">
        <v>54</v>
      </c>
      <c r="E2722" s="2" t="s">
        <v>3593</v>
      </c>
      <c r="F2722" s="2" t="n">
        <v>1.25</v>
      </c>
      <c r="G2722" s="2" t="n">
        <v>3.75</v>
      </c>
      <c r="H2722" s="2" t="s">
        <v>1689</v>
      </c>
      <c r="I2722" s="2" t="n">
        <v>9</v>
      </c>
    </row>
    <row r="2723" customFormat="false" ht="15" hidden="false" customHeight="false" outlineLevel="0" collapsed="false">
      <c r="A2723" s="2" t="s">
        <v>1617</v>
      </c>
      <c r="B2723" s="2" t="s">
        <v>81</v>
      </c>
      <c r="C2723" s="2" t="n">
        <v>300</v>
      </c>
      <c r="D2723" s="2" t="s">
        <v>54</v>
      </c>
      <c r="E2723" s="2" t="s">
        <v>1803</v>
      </c>
      <c r="F2723" s="2" t="n">
        <v>150</v>
      </c>
      <c r="G2723" s="2" t="n">
        <v>450</v>
      </c>
      <c r="H2723" s="2" t="s">
        <v>1689</v>
      </c>
      <c r="I2723" s="2" t="n">
        <v>1</v>
      </c>
    </row>
    <row r="2724" customFormat="false" ht="15" hidden="false" customHeight="false" outlineLevel="0" collapsed="false">
      <c r="A2724" s="2" t="s">
        <v>1617</v>
      </c>
      <c r="B2724" s="2" t="s">
        <v>67</v>
      </c>
      <c r="C2724" s="2" t="n">
        <v>500</v>
      </c>
      <c r="D2724" s="2" t="s">
        <v>54</v>
      </c>
      <c r="E2724" s="2" t="s">
        <v>3594</v>
      </c>
      <c r="F2724" s="2" t="n">
        <v>250</v>
      </c>
      <c r="G2724" s="2" t="n">
        <v>750</v>
      </c>
      <c r="H2724" s="2" t="s">
        <v>1693</v>
      </c>
      <c r="I2724" s="2" t="n">
        <v>2</v>
      </c>
    </row>
    <row r="2725" customFormat="false" ht="15" hidden="false" customHeight="false" outlineLevel="0" collapsed="false">
      <c r="A2725" s="2" t="s">
        <v>1617</v>
      </c>
      <c r="B2725" s="2" t="s">
        <v>448</v>
      </c>
      <c r="C2725" s="2" t="n">
        <v>60</v>
      </c>
      <c r="D2725" s="2" t="s">
        <v>54</v>
      </c>
      <c r="E2725" s="2" t="s">
        <v>3595</v>
      </c>
      <c r="F2725" s="2" t="n">
        <v>30</v>
      </c>
      <c r="G2725" s="2" t="n">
        <v>90</v>
      </c>
      <c r="H2725" s="2" t="s">
        <v>1700</v>
      </c>
      <c r="I2725" s="2" t="n">
        <v>3</v>
      </c>
    </row>
    <row r="2726" customFormat="false" ht="15" hidden="false" customHeight="false" outlineLevel="0" collapsed="false">
      <c r="A2726" s="2" t="s">
        <v>1617</v>
      </c>
      <c r="B2726" s="2" t="s">
        <v>450</v>
      </c>
      <c r="C2726" s="2" t="n">
        <v>90</v>
      </c>
      <c r="D2726" s="2" t="s">
        <v>54</v>
      </c>
      <c r="E2726" s="2" t="s">
        <v>3596</v>
      </c>
      <c r="F2726" s="2" t="n">
        <v>45</v>
      </c>
      <c r="G2726" s="2" t="n">
        <v>135</v>
      </c>
      <c r="H2726" s="2" t="s">
        <v>1689</v>
      </c>
      <c r="I2726" s="2" t="n">
        <v>4</v>
      </c>
    </row>
    <row r="2727" customFormat="false" ht="15" hidden="false" customHeight="false" outlineLevel="0" collapsed="false">
      <c r="A2727" s="2" t="s">
        <v>1617</v>
      </c>
      <c r="B2727" s="2" t="s">
        <v>271</v>
      </c>
      <c r="C2727" s="2" t="n">
        <v>15</v>
      </c>
      <c r="D2727" s="2" t="s">
        <v>54</v>
      </c>
      <c r="E2727" s="2" t="s">
        <v>3597</v>
      </c>
      <c r="F2727" s="2" t="n">
        <v>7.5</v>
      </c>
      <c r="G2727" s="2" t="n">
        <v>22.5</v>
      </c>
      <c r="H2727" s="2" t="s">
        <v>1689</v>
      </c>
      <c r="I2727" s="2" t="n">
        <v>5</v>
      </c>
    </row>
    <row r="2728" customFormat="false" ht="15" hidden="false" customHeight="false" outlineLevel="0" collapsed="false">
      <c r="A2728" s="2" t="s">
        <v>1617</v>
      </c>
      <c r="B2728" s="2" t="s">
        <v>107</v>
      </c>
      <c r="C2728" s="2" t="n">
        <v>15</v>
      </c>
      <c r="D2728" s="2" t="s">
        <v>54</v>
      </c>
      <c r="E2728" s="2" t="s">
        <v>3598</v>
      </c>
      <c r="F2728" s="2" t="n">
        <v>7.5</v>
      </c>
      <c r="G2728" s="2" t="n">
        <v>22.5</v>
      </c>
      <c r="H2728" s="2" t="s">
        <v>1689</v>
      </c>
      <c r="I2728" s="2" t="n">
        <v>6</v>
      </c>
    </row>
    <row r="2729" customFormat="false" ht="15" hidden="false" customHeight="false" outlineLevel="0" collapsed="false">
      <c r="A2729" s="2" t="s">
        <v>1617</v>
      </c>
      <c r="B2729" s="2" t="s">
        <v>295</v>
      </c>
      <c r="C2729" s="2" t="n">
        <v>15</v>
      </c>
      <c r="D2729" s="2" t="s">
        <v>54</v>
      </c>
      <c r="E2729" s="2" t="s">
        <v>3599</v>
      </c>
      <c r="F2729" s="2" t="n">
        <v>7.5</v>
      </c>
      <c r="G2729" s="2" t="n">
        <v>22.5</v>
      </c>
      <c r="H2729" s="2" t="s">
        <v>1700</v>
      </c>
      <c r="I2729" s="2" t="n">
        <v>7</v>
      </c>
    </row>
    <row r="2730" customFormat="false" ht="15" hidden="false" customHeight="false" outlineLevel="0" collapsed="false">
      <c r="A2730" s="2" t="s">
        <v>1617</v>
      </c>
      <c r="B2730" s="2" t="s">
        <v>480</v>
      </c>
      <c r="C2730" s="2" t="n">
        <v>1</v>
      </c>
      <c r="D2730" s="2" t="s">
        <v>54</v>
      </c>
      <c r="E2730" s="2" t="s">
        <v>3600</v>
      </c>
      <c r="F2730" s="2" t="n">
        <v>0.5</v>
      </c>
      <c r="G2730" s="2" t="n">
        <v>1.5</v>
      </c>
      <c r="H2730" s="2" t="s">
        <v>1689</v>
      </c>
      <c r="I2730" s="2" t="n">
        <v>8</v>
      </c>
    </row>
    <row r="2731" customFormat="false" ht="15" hidden="false" customHeight="false" outlineLevel="0" collapsed="false">
      <c r="A2731" s="2" t="s">
        <v>1620</v>
      </c>
      <c r="B2731" s="2" t="s">
        <v>81</v>
      </c>
      <c r="C2731" s="2" t="n">
        <v>160</v>
      </c>
      <c r="D2731" s="2" t="s">
        <v>54</v>
      </c>
      <c r="E2731" s="2" t="s">
        <v>3364</v>
      </c>
      <c r="F2731" s="2" t="n">
        <v>80</v>
      </c>
      <c r="G2731" s="2" t="n">
        <v>240</v>
      </c>
      <c r="H2731" s="2" t="s">
        <v>1689</v>
      </c>
      <c r="I2731" s="2" t="n">
        <v>1</v>
      </c>
    </row>
    <row r="2732" customFormat="false" ht="15" hidden="false" customHeight="false" outlineLevel="0" collapsed="false">
      <c r="A2732" s="2" t="s">
        <v>1620</v>
      </c>
      <c r="B2732" s="2" t="s">
        <v>89</v>
      </c>
      <c r="C2732" s="2" t="n">
        <v>20</v>
      </c>
      <c r="D2732" s="2" t="s">
        <v>54</v>
      </c>
      <c r="E2732" s="2" t="s">
        <v>3365</v>
      </c>
      <c r="F2732" s="2" t="n">
        <v>10</v>
      </c>
      <c r="G2732" s="2" t="n">
        <v>30</v>
      </c>
      <c r="H2732" s="2" t="s">
        <v>1689</v>
      </c>
      <c r="I2732" s="2" t="n">
        <v>2</v>
      </c>
    </row>
    <row r="2733" customFormat="false" ht="15" hidden="false" customHeight="false" outlineLevel="0" collapsed="false">
      <c r="A2733" s="2" t="s">
        <v>1620</v>
      </c>
      <c r="B2733" s="2" t="s">
        <v>74</v>
      </c>
      <c r="C2733" s="2" t="n">
        <v>250</v>
      </c>
      <c r="D2733" s="2" t="s">
        <v>76</v>
      </c>
      <c r="E2733" s="2" t="s">
        <v>1745</v>
      </c>
      <c r="F2733" s="2" t="n">
        <v>125</v>
      </c>
      <c r="G2733" s="2" t="n">
        <v>375</v>
      </c>
      <c r="H2733" s="2" t="s">
        <v>1689</v>
      </c>
      <c r="I2733" s="2" t="n">
        <v>3</v>
      </c>
    </row>
    <row r="2734" customFormat="false" ht="15" hidden="false" customHeight="false" outlineLevel="0" collapsed="false">
      <c r="A2734" s="2" t="s">
        <v>1620</v>
      </c>
      <c r="B2734" s="2" t="s">
        <v>67</v>
      </c>
      <c r="C2734" s="2" t="n">
        <v>200</v>
      </c>
      <c r="D2734" s="2" t="s">
        <v>54</v>
      </c>
      <c r="E2734" s="2" t="s">
        <v>1798</v>
      </c>
      <c r="F2734" s="2" t="n">
        <v>100</v>
      </c>
      <c r="G2734" s="2" t="n">
        <v>300</v>
      </c>
      <c r="H2734" s="2" t="s">
        <v>1693</v>
      </c>
      <c r="I2734" s="2" t="n">
        <v>4</v>
      </c>
    </row>
    <row r="2735" customFormat="false" ht="15" hidden="false" customHeight="false" outlineLevel="0" collapsed="false">
      <c r="A2735" s="2" t="s">
        <v>1620</v>
      </c>
      <c r="B2735" s="2" t="s">
        <v>271</v>
      </c>
      <c r="C2735" s="2" t="n">
        <v>2.5</v>
      </c>
      <c r="D2735" s="2" t="s">
        <v>54</v>
      </c>
      <c r="E2735" s="2" t="s">
        <v>3601</v>
      </c>
      <c r="F2735" s="2" t="n">
        <v>1.25</v>
      </c>
      <c r="G2735" s="2" t="n">
        <v>3.75</v>
      </c>
      <c r="H2735" s="2" t="s">
        <v>1689</v>
      </c>
      <c r="I2735" s="2" t="n">
        <v>5</v>
      </c>
    </row>
    <row r="2736" customFormat="false" ht="15" hidden="false" customHeight="false" outlineLevel="0" collapsed="false">
      <c r="A2736" s="2" t="s">
        <v>1620</v>
      </c>
      <c r="B2736" s="2" t="s">
        <v>71</v>
      </c>
      <c r="C2736" s="2" t="n">
        <v>60</v>
      </c>
      <c r="D2736" s="2" t="s">
        <v>54</v>
      </c>
      <c r="E2736" s="2" t="s">
        <v>3602</v>
      </c>
      <c r="F2736" s="2" t="n">
        <v>30</v>
      </c>
      <c r="G2736" s="2" t="n">
        <v>90</v>
      </c>
      <c r="H2736" s="2" t="s">
        <v>1693</v>
      </c>
      <c r="I2736" s="2" t="n">
        <v>6</v>
      </c>
    </row>
    <row r="2737" customFormat="false" ht="15" hidden="false" customHeight="false" outlineLevel="0" collapsed="false">
      <c r="A2737" s="2" t="s">
        <v>1620</v>
      </c>
      <c r="B2737" s="2" t="s">
        <v>52</v>
      </c>
      <c r="C2737" s="2" t="n">
        <v>1</v>
      </c>
      <c r="D2737" s="2" t="s">
        <v>1687</v>
      </c>
      <c r="E2737" s="2" t="s">
        <v>3367</v>
      </c>
      <c r="F2737" s="2"/>
      <c r="G2737" s="2" t="n">
        <v>2</v>
      </c>
      <c r="H2737" s="2" t="s">
        <v>1689</v>
      </c>
      <c r="I2737" s="2" t="n">
        <v>7</v>
      </c>
    </row>
    <row r="2738" customFormat="false" ht="15" hidden="false" customHeight="false" outlineLevel="0" collapsed="false">
      <c r="A2738" s="2" t="s">
        <v>1620</v>
      </c>
      <c r="B2738" s="2" t="s">
        <v>59</v>
      </c>
      <c r="C2738" s="2" t="n">
        <v>80</v>
      </c>
      <c r="D2738" s="2" t="s">
        <v>54</v>
      </c>
      <c r="E2738" s="2" t="s">
        <v>3603</v>
      </c>
      <c r="F2738" s="2" t="n">
        <v>40</v>
      </c>
      <c r="G2738" s="2" t="n">
        <v>120</v>
      </c>
      <c r="H2738" s="2" t="s">
        <v>1689</v>
      </c>
      <c r="I2738" s="2" t="n">
        <v>8</v>
      </c>
    </row>
    <row r="2739" customFormat="false" ht="15" hidden="false" customHeight="false" outlineLevel="0" collapsed="false">
      <c r="A2739" s="2" t="s">
        <v>1620</v>
      </c>
      <c r="B2739" s="2" t="s">
        <v>580</v>
      </c>
      <c r="C2739" s="2" t="n">
        <v>24</v>
      </c>
      <c r="D2739" s="2" t="s">
        <v>54</v>
      </c>
      <c r="E2739" s="2" t="s">
        <v>3604</v>
      </c>
      <c r="F2739" s="2" t="n">
        <v>12</v>
      </c>
      <c r="G2739" s="2" t="n">
        <v>36</v>
      </c>
      <c r="H2739" s="2" t="s">
        <v>1689</v>
      </c>
      <c r="I2739" s="2" t="n">
        <v>9</v>
      </c>
    </row>
    <row r="2740" customFormat="false" ht="15" hidden="false" customHeight="false" outlineLevel="0" collapsed="false">
      <c r="A2740" s="2" t="s">
        <v>1623</v>
      </c>
      <c r="B2740" s="2" t="s">
        <v>81</v>
      </c>
      <c r="C2740" s="2" t="n">
        <v>300</v>
      </c>
      <c r="D2740" s="2" t="s">
        <v>54</v>
      </c>
      <c r="E2740" s="2" t="s">
        <v>1803</v>
      </c>
      <c r="F2740" s="2" t="n">
        <v>150</v>
      </c>
      <c r="G2740" s="2" t="n">
        <v>450</v>
      </c>
      <c r="H2740" s="2" t="s">
        <v>1689</v>
      </c>
      <c r="I2740" s="2" t="n">
        <v>1</v>
      </c>
    </row>
    <row r="2741" customFormat="false" ht="15" hidden="false" customHeight="false" outlineLevel="0" collapsed="false">
      <c r="A2741" s="2" t="s">
        <v>1623</v>
      </c>
      <c r="B2741" s="2" t="s">
        <v>110</v>
      </c>
      <c r="C2741" s="2" t="n">
        <v>2</v>
      </c>
      <c r="D2741" s="2" t="s">
        <v>1687</v>
      </c>
      <c r="E2741" s="2" t="s">
        <v>1720</v>
      </c>
      <c r="F2741" s="2" t="n">
        <v>1</v>
      </c>
      <c r="G2741" s="2" t="n">
        <v>3</v>
      </c>
      <c r="H2741" s="2" t="s">
        <v>1693</v>
      </c>
      <c r="I2741" s="2" t="n">
        <v>2</v>
      </c>
    </row>
    <row r="2742" customFormat="false" ht="15" hidden="false" customHeight="false" outlineLevel="0" collapsed="false">
      <c r="A2742" s="2" t="s">
        <v>1623</v>
      </c>
      <c r="B2742" s="2" t="s">
        <v>52</v>
      </c>
      <c r="C2742" s="2" t="n">
        <v>3</v>
      </c>
      <c r="D2742" s="2" t="s">
        <v>1687</v>
      </c>
      <c r="E2742" s="2" t="s">
        <v>3605</v>
      </c>
      <c r="F2742" s="2" t="n">
        <v>2</v>
      </c>
      <c r="G2742" s="2" t="n">
        <v>4</v>
      </c>
      <c r="H2742" s="2" t="s">
        <v>1689</v>
      </c>
      <c r="I2742" s="2" t="n">
        <v>3</v>
      </c>
    </row>
    <row r="2743" customFormat="false" ht="15" hidden="false" customHeight="false" outlineLevel="0" collapsed="false">
      <c r="A2743" s="2" t="s">
        <v>1623</v>
      </c>
      <c r="B2743" s="2" t="s">
        <v>67</v>
      </c>
      <c r="C2743" s="2" t="n">
        <v>60</v>
      </c>
      <c r="D2743" s="2" t="s">
        <v>54</v>
      </c>
      <c r="E2743" s="2" t="s">
        <v>3606</v>
      </c>
      <c r="F2743" s="2" t="n">
        <v>30</v>
      </c>
      <c r="G2743" s="2" t="n">
        <v>90</v>
      </c>
      <c r="H2743" s="2" t="s">
        <v>1693</v>
      </c>
      <c r="I2743" s="2" t="n">
        <v>4</v>
      </c>
    </row>
    <row r="2744" customFormat="false" ht="15" hidden="false" customHeight="false" outlineLevel="0" collapsed="false">
      <c r="A2744" s="2" t="s">
        <v>1623</v>
      </c>
      <c r="B2744" s="2" t="s">
        <v>234</v>
      </c>
      <c r="C2744" s="2" t="n">
        <v>15</v>
      </c>
      <c r="D2744" s="2" t="s">
        <v>54</v>
      </c>
      <c r="E2744" s="2" t="s">
        <v>3607</v>
      </c>
      <c r="F2744" s="2" t="n">
        <v>7.5</v>
      </c>
      <c r="G2744" s="2" t="n">
        <v>22.5</v>
      </c>
      <c r="H2744" s="2" t="s">
        <v>1700</v>
      </c>
      <c r="I2744" s="2" t="n">
        <v>5</v>
      </c>
    </row>
    <row r="2745" customFormat="false" ht="15" hidden="false" customHeight="false" outlineLevel="0" collapsed="false">
      <c r="A2745" s="2" t="s">
        <v>1623</v>
      </c>
      <c r="B2745" s="2" t="s">
        <v>271</v>
      </c>
      <c r="C2745" s="2" t="n">
        <v>15</v>
      </c>
      <c r="D2745" s="2" t="s">
        <v>54</v>
      </c>
      <c r="E2745" s="2" t="s">
        <v>3608</v>
      </c>
      <c r="F2745" s="2" t="n">
        <v>7.5</v>
      </c>
      <c r="G2745" s="2" t="n">
        <v>22.5</v>
      </c>
      <c r="H2745" s="2" t="s">
        <v>1689</v>
      </c>
      <c r="I2745" s="2" t="n">
        <v>6</v>
      </c>
    </row>
    <row r="2746" customFormat="false" ht="15" hidden="false" customHeight="false" outlineLevel="0" collapsed="false">
      <c r="A2746" s="2" t="s">
        <v>1623</v>
      </c>
      <c r="B2746" s="2" t="s">
        <v>91</v>
      </c>
      <c r="C2746" s="2" t="n">
        <v>45</v>
      </c>
      <c r="D2746" s="2" t="s">
        <v>54</v>
      </c>
      <c r="E2746" s="2" t="s">
        <v>3609</v>
      </c>
      <c r="F2746" s="2" t="n">
        <v>22.5</v>
      </c>
      <c r="G2746" s="2" t="n">
        <v>67.5</v>
      </c>
      <c r="H2746" s="2" t="s">
        <v>1689</v>
      </c>
      <c r="I2746" s="2" t="n">
        <v>7</v>
      </c>
    </row>
    <row r="2747" customFormat="false" ht="15" hidden="false" customHeight="false" outlineLevel="0" collapsed="false">
      <c r="A2747" s="2" t="s">
        <v>1623</v>
      </c>
      <c r="B2747" s="2" t="s">
        <v>544</v>
      </c>
      <c r="C2747" s="2" t="n">
        <v>30</v>
      </c>
      <c r="D2747" s="2" t="s">
        <v>54</v>
      </c>
      <c r="E2747" s="2" t="s">
        <v>3610</v>
      </c>
      <c r="F2747" s="2" t="n">
        <v>15</v>
      </c>
      <c r="G2747" s="2" t="n">
        <v>45</v>
      </c>
      <c r="H2747" s="2" t="s">
        <v>1700</v>
      </c>
      <c r="I2747" s="2" t="n">
        <v>8</v>
      </c>
    </row>
    <row r="2748" customFormat="false" ht="15" hidden="false" customHeight="false" outlineLevel="0" collapsed="false">
      <c r="A2748" s="2" t="s">
        <v>1626</v>
      </c>
      <c r="B2748" s="2" t="s">
        <v>159</v>
      </c>
      <c r="C2748" s="2" t="n">
        <v>3.2</v>
      </c>
      <c r="D2748" s="2" t="s">
        <v>1687</v>
      </c>
      <c r="E2748" s="2" t="s">
        <v>3611</v>
      </c>
      <c r="F2748" s="2" t="n">
        <v>399</v>
      </c>
      <c r="G2748" s="2" t="n">
        <v>401</v>
      </c>
      <c r="H2748" s="2" t="s">
        <v>1689</v>
      </c>
      <c r="I2748" s="2" t="n">
        <v>1</v>
      </c>
    </row>
    <row r="2749" customFormat="false" ht="15" hidden="false" customHeight="false" outlineLevel="0" collapsed="false">
      <c r="A2749" s="2" t="s">
        <v>1626</v>
      </c>
      <c r="B2749" s="2" t="s">
        <v>91</v>
      </c>
      <c r="C2749" s="2" t="n">
        <v>10</v>
      </c>
      <c r="D2749" s="2" t="s">
        <v>54</v>
      </c>
      <c r="E2749" s="2" t="s">
        <v>3612</v>
      </c>
      <c r="F2749" s="2" t="n">
        <v>5</v>
      </c>
      <c r="G2749" s="2" t="n">
        <v>15</v>
      </c>
      <c r="H2749" s="2" t="s">
        <v>1689</v>
      </c>
      <c r="I2749" s="2" t="n">
        <v>2</v>
      </c>
    </row>
    <row r="2750" customFormat="false" ht="15" hidden="false" customHeight="false" outlineLevel="0" collapsed="false">
      <c r="A2750" s="2" t="s">
        <v>1626</v>
      </c>
      <c r="B2750" s="2" t="s">
        <v>440</v>
      </c>
      <c r="C2750" s="2" t="n">
        <v>35</v>
      </c>
      <c r="D2750" s="2" t="s">
        <v>54</v>
      </c>
      <c r="E2750" s="2" t="s">
        <v>3613</v>
      </c>
      <c r="F2750" s="2" t="n">
        <v>17.5</v>
      </c>
      <c r="G2750" s="2" t="n">
        <v>52.5</v>
      </c>
      <c r="H2750" s="2" t="s">
        <v>1689</v>
      </c>
      <c r="I2750" s="2" t="n">
        <v>3</v>
      </c>
    </row>
    <row r="2751" customFormat="false" ht="15" hidden="false" customHeight="false" outlineLevel="0" collapsed="false">
      <c r="A2751" s="2" t="s">
        <v>1626</v>
      </c>
      <c r="B2751" s="2" t="s">
        <v>81</v>
      </c>
      <c r="C2751" s="2" t="n">
        <v>35</v>
      </c>
      <c r="D2751" s="2" t="s">
        <v>54</v>
      </c>
      <c r="E2751" s="2" t="s">
        <v>3614</v>
      </c>
      <c r="F2751" s="2" t="n">
        <v>17.5</v>
      </c>
      <c r="G2751" s="2" t="n">
        <v>52.5</v>
      </c>
      <c r="H2751" s="2" t="s">
        <v>1689</v>
      </c>
      <c r="I2751" s="2" t="n">
        <v>4</v>
      </c>
    </row>
    <row r="2752" customFormat="false" ht="15" hidden="false" customHeight="false" outlineLevel="0" collapsed="false">
      <c r="A2752" s="2" t="s">
        <v>1626</v>
      </c>
      <c r="B2752" s="2" t="s">
        <v>197</v>
      </c>
      <c r="C2752" s="2" t="n">
        <v>10</v>
      </c>
      <c r="D2752" s="2" t="s">
        <v>54</v>
      </c>
      <c r="E2752" s="2" t="s">
        <v>3615</v>
      </c>
      <c r="F2752" s="2" t="n">
        <v>5</v>
      </c>
      <c r="G2752" s="2" t="n">
        <v>15</v>
      </c>
      <c r="H2752" s="2" t="s">
        <v>1689</v>
      </c>
      <c r="I2752" s="2" t="n">
        <v>5</v>
      </c>
    </row>
    <row r="2753" customFormat="false" ht="15" hidden="false" customHeight="false" outlineLevel="0" collapsed="false">
      <c r="A2753" s="2" t="s">
        <v>1626</v>
      </c>
      <c r="B2753" s="2" t="s">
        <v>204</v>
      </c>
      <c r="C2753" s="2" t="n">
        <v>35</v>
      </c>
      <c r="D2753" s="2" t="s">
        <v>54</v>
      </c>
      <c r="E2753" s="2" t="s">
        <v>3616</v>
      </c>
      <c r="F2753" s="2" t="n">
        <v>17.5</v>
      </c>
      <c r="G2753" s="2" t="n">
        <v>52.5</v>
      </c>
      <c r="H2753" s="2" t="s">
        <v>1700</v>
      </c>
      <c r="I2753" s="2" t="n">
        <v>6</v>
      </c>
    </row>
    <row r="2754" customFormat="false" ht="15" hidden="false" customHeight="false" outlineLevel="0" collapsed="false">
      <c r="A2754" s="2" t="s">
        <v>1630</v>
      </c>
      <c r="B2754" s="2" t="s">
        <v>221</v>
      </c>
      <c r="C2754" s="2" t="n">
        <v>150</v>
      </c>
      <c r="D2754" s="2" t="s">
        <v>54</v>
      </c>
      <c r="E2754" s="2" t="s">
        <v>3617</v>
      </c>
      <c r="F2754" s="2" t="n">
        <v>75</v>
      </c>
      <c r="G2754" s="2" t="n">
        <v>225</v>
      </c>
      <c r="H2754" s="2" t="s">
        <v>1693</v>
      </c>
      <c r="I2754" s="2" t="n">
        <v>1</v>
      </c>
    </row>
    <row r="2755" customFormat="false" ht="15" hidden="false" customHeight="false" outlineLevel="0" collapsed="false">
      <c r="A2755" s="2" t="s">
        <v>1630</v>
      </c>
      <c r="B2755" s="2" t="s">
        <v>590</v>
      </c>
      <c r="C2755" s="2" t="n">
        <v>50</v>
      </c>
      <c r="D2755" s="2" t="s">
        <v>54</v>
      </c>
      <c r="E2755" s="2" t="s">
        <v>3618</v>
      </c>
      <c r="F2755" s="2" t="n">
        <v>25</v>
      </c>
      <c r="G2755" s="2" t="n">
        <v>75</v>
      </c>
      <c r="H2755" s="2" t="s">
        <v>1689</v>
      </c>
      <c r="I2755" s="2" t="n">
        <v>2</v>
      </c>
    </row>
    <row r="2756" customFormat="false" ht="15" hidden="false" customHeight="false" outlineLevel="0" collapsed="false">
      <c r="A2756" s="2" t="s">
        <v>1630</v>
      </c>
      <c r="B2756" s="2" t="s">
        <v>454</v>
      </c>
      <c r="C2756" s="2" t="n">
        <v>100</v>
      </c>
      <c r="D2756" s="2" t="s">
        <v>54</v>
      </c>
      <c r="E2756" s="2" t="s">
        <v>3619</v>
      </c>
      <c r="F2756" s="2" t="n">
        <v>50</v>
      </c>
      <c r="G2756" s="2" t="n">
        <v>150</v>
      </c>
      <c r="H2756" s="2" t="s">
        <v>1689</v>
      </c>
      <c r="I2756" s="2" t="n">
        <v>3</v>
      </c>
    </row>
    <row r="2757" customFormat="false" ht="15" hidden="false" customHeight="false" outlineLevel="0" collapsed="false">
      <c r="A2757" s="2" t="s">
        <v>1630</v>
      </c>
      <c r="B2757" s="2" t="s">
        <v>312</v>
      </c>
      <c r="C2757" s="2" t="n">
        <v>1</v>
      </c>
      <c r="D2757" s="2" t="s">
        <v>1687</v>
      </c>
      <c r="E2757" s="2" t="s">
        <v>3620</v>
      </c>
      <c r="F2757" s="2"/>
      <c r="G2757" s="2" t="n">
        <v>2</v>
      </c>
      <c r="H2757" s="2" t="s">
        <v>1689</v>
      </c>
      <c r="I2757" s="2" t="n">
        <v>4</v>
      </c>
    </row>
    <row r="2758" customFormat="false" ht="15" hidden="false" customHeight="false" outlineLevel="0" collapsed="false">
      <c r="A2758" s="2" t="s">
        <v>1630</v>
      </c>
      <c r="B2758" s="2" t="s">
        <v>496</v>
      </c>
      <c r="C2758" s="2" t="n">
        <v>15</v>
      </c>
      <c r="D2758" s="2" t="s">
        <v>76</v>
      </c>
      <c r="E2758" s="2" t="s">
        <v>3621</v>
      </c>
      <c r="F2758" s="2" t="n">
        <v>7.5</v>
      </c>
      <c r="G2758" s="2" t="n">
        <v>22.5</v>
      </c>
      <c r="H2758" s="2" t="s">
        <v>1693</v>
      </c>
      <c r="I2758" s="2" t="n">
        <v>5</v>
      </c>
    </row>
    <row r="2759" customFormat="false" ht="15" hidden="false" customHeight="false" outlineLevel="0" collapsed="false">
      <c r="A2759" s="2" t="s">
        <v>1630</v>
      </c>
      <c r="B2759" s="2" t="s">
        <v>486</v>
      </c>
      <c r="C2759" s="2" t="n">
        <v>5</v>
      </c>
      <c r="D2759" s="2" t="s">
        <v>54</v>
      </c>
      <c r="E2759" s="2" t="s">
        <v>3622</v>
      </c>
      <c r="F2759" s="2" t="n">
        <v>2.5</v>
      </c>
      <c r="G2759" s="2" t="n">
        <v>7.5</v>
      </c>
      <c r="H2759" s="2" t="s">
        <v>1700</v>
      </c>
      <c r="I2759" s="2" t="n">
        <v>6</v>
      </c>
    </row>
    <row r="2760" customFormat="false" ht="15" hidden="false" customHeight="false" outlineLevel="0" collapsed="false">
      <c r="A2760" s="2" t="s">
        <v>1630</v>
      </c>
      <c r="B2760" s="2" t="s">
        <v>129</v>
      </c>
      <c r="C2760" s="2" t="n">
        <v>5</v>
      </c>
      <c r="D2760" s="2" t="s">
        <v>54</v>
      </c>
      <c r="E2760" s="2" t="s">
        <v>3623</v>
      </c>
      <c r="F2760" s="2" t="n">
        <v>2.5</v>
      </c>
      <c r="G2760" s="2" t="n">
        <v>7.5</v>
      </c>
      <c r="H2760" s="2" t="s">
        <v>1700</v>
      </c>
      <c r="I2760" s="2" t="n">
        <v>7</v>
      </c>
    </row>
    <row r="2761" customFormat="false" ht="15" hidden="false" customHeight="false" outlineLevel="0" collapsed="false">
      <c r="A2761" s="2" t="s">
        <v>1630</v>
      </c>
      <c r="B2761" s="2" t="s">
        <v>299</v>
      </c>
      <c r="C2761" s="2" t="n">
        <v>1</v>
      </c>
      <c r="D2761" s="2" t="s">
        <v>54</v>
      </c>
      <c r="E2761" s="2" t="s">
        <v>3624</v>
      </c>
      <c r="F2761" s="2"/>
      <c r="G2761" s="2" t="n">
        <v>2</v>
      </c>
      <c r="H2761" s="2" t="s">
        <v>1689</v>
      </c>
      <c r="I2761" s="2" t="n">
        <v>8</v>
      </c>
    </row>
    <row r="2762" customFormat="false" ht="15" hidden="false" customHeight="false" outlineLevel="0" collapsed="false">
      <c r="A2762" s="2" t="s">
        <v>1630</v>
      </c>
      <c r="B2762" s="2" t="s">
        <v>480</v>
      </c>
      <c r="C2762" s="2" t="n">
        <v>1</v>
      </c>
      <c r="D2762" s="2" t="s">
        <v>54</v>
      </c>
      <c r="E2762" s="2" t="s">
        <v>3625</v>
      </c>
      <c r="F2762" s="2" t="n">
        <v>0.5</v>
      </c>
      <c r="G2762" s="2" t="n">
        <v>1.5</v>
      </c>
      <c r="H2762" s="2" t="s">
        <v>1689</v>
      </c>
      <c r="I2762" s="2" t="n">
        <v>9</v>
      </c>
    </row>
    <row r="2763" customFormat="false" ht="15" hidden="false" customHeight="false" outlineLevel="0" collapsed="false">
      <c r="A2763" s="2" t="s">
        <v>1633</v>
      </c>
      <c r="B2763" s="2" t="s">
        <v>129</v>
      </c>
      <c r="C2763" s="2" t="n">
        <v>30</v>
      </c>
      <c r="D2763" s="2" t="s">
        <v>54</v>
      </c>
      <c r="E2763" s="2" t="s">
        <v>3626</v>
      </c>
      <c r="F2763" s="2" t="n">
        <v>15</v>
      </c>
      <c r="G2763" s="2" t="n">
        <v>45</v>
      </c>
      <c r="H2763" s="2" t="s">
        <v>1700</v>
      </c>
      <c r="I2763" s="2" t="n">
        <v>1</v>
      </c>
    </row>
    <row r="2764" customFormat="false" ht="15" hidden="false" customHeight="false" outlineLevel="0" collapsed="false">
      <c r="A2764" s="2" t="s">
        <v>1633</v>
      </c>
      <c r="B2764" s="2" t="s">
        <v>409</v>
      </c>
      <c r="C2764" s="2" t="n">
        <v>100</v>
      </c>
      <c r="D2764" s="2" t="s">
        <v>54</v>
      </c>
      <c r="E2764" s="2" t="s">
        <v>3627</v>
      </c>
      <c r="F2764" s="2" t="n">
        <v>50</v>
      </c>
      <c r="G2764" s="2" t="n">
        <v>150</v>
      </c>
      <c r="H2764" s="2" t="s">
        <v>1689</v>
      </c>
      <c r="I2764" s="2" t="n">
        <v>2</v>
      </c>
    </row>
    <row r="2765" customFormat="false" ht="15" hidden="false" customHeight="false" outlineLevel="0" collapsed="false">
      <c r="A2765" s="2" t="s">
        <v>1633</v>
      </c>
      <c r="B2765" s="2" t="s">
        <v>633</v>
      </c>
      <c r="C2765" s="2" t="n">
        <v>30</v>
      </c>
      <c r="D2765" s="2" t="s">
        <v>54</v>
      </c>
      <c r="E2765" s="2" t="s">
        <v>3628</v>
      </c>
      <c r="F2765" s="2" t="n">
        <v>15</v>
      </c>
      <c r="G2765" s="2" t="n">
        <v>45</v>
      </c>
      <c r="H2765" s="2" t="s">
        <v>1700</v>
      </c>
      <c r="I2765" s="2" t="n">
        <v>3</v>
      </c>
    </row>
    <row r="2766" customFormat="false" ht="15" hidden="false" customHeight="false" outlineLevel="0" collapsed="false">
      <c r="A2766" s="2" t="s">
        <v>1633</v>
      </c>
      <c r="B2766" s="2" t="s">
        <v>312</v>
      </c>
      <c r="C2766" s="2" t="n">
        <v>1</v>
      </c>
      <c r="D2766" s="2" t="s">
        <v>1687</v>
      </c>
      <c r="E2766" s="2" t="s">
        <v>3629</v>
      </c>
      <c r="F2766" s="2"/>
      <c r="G2766" s="2" t="n">
        <v>2</v>
      </c>
      <c r="H2766" s="2" t="s">
        <v>1689</v>
      </c>
      <c r="I2766" s="2" t="n">
        <v>4</v>
      </c>
    </row>
    <row r="2767" customFormat="false" ht="15" hidden="false" customHeight="false" outlineLevel="0" collapsed="false">
      <c r="A2767" s="2" t="s">
        <v>1633</v>
      </c>
      <c r="B2767" s="2" t="s">
        <v>299</v>
      </c>
      <c r="C2767" s="2" t="n">
        <v>2</v>
      </c>
      <c r="D2767" s="2" t="s">
        <v>54</v>
      </c>
      <c r="E2767" s="2" t="s">
        <v>3630</v>
      </c>
      <c r="F2767" s="2" t="n">
        <v>1</v>
      </c>
      <c r="G2767" s="2" t="n">
        <v>3</v>
      </c>
      <c r="H2767" s="2" t="s">
        <v>1689</v>
      </c>
      <c r="I2767" s="2" t="n">
        <v>5</v>
      </c>
    </row>
    <row r="2768" customFormat="false" ht="15" hidden="false" customHeight="false" outlineLevel="0" collapsed="false">
      <c r="A2768" s="2" t="s">
        <v>1633</v>
      </c>
      <c r="B2768" s="2" t="s">
        <v>221</v>
      </c>
      <c r="C2768" s="2" t="n">
        <v>450</v>
      </c>
      <c r="D2768" s="2" t="s">
        <v>54</v>
      </c>
      <c r="E2768" s="2" t="s">
        <v>3631</v>
      </c>
      <c r="F2768" s="2" t="n">
        <v>225</v>
      </c>
      <c r="G2768" s="2" t="n">
        <v>675</v>
      </c>
      <c r="H2768" s="2" t="s">
        <v>1693</v>
      </c>
      <c r="I2768" s="2" t="n">
        <v>6</v>
      </c>
    </row>
    <row r="2769" customFormat="false" ht="15" hidden="false" customHeight="false" outlineLevel="0" collapsed="false">
      <c r="A2769" s="2" t="s">
        <v>1633</v>
      </c>
      <c r="B2769" s="2" t="s">
        <v>67</v>
      </c>
      <c r="C2769" s="2" t="n">
        <v>100</v>
      </c>
      <c r="D2769" s="2" t="s">
        <v>54</v>
      </c>
      <c r="E2769" s="2" t="s">
        <v>3632</v>
      </c>
      <c r="F2769" s="2" t="n">
        <v>50</v>
      </c>
      <c r="G2769" s="2" t="n">
        <v>150</v>
      </c>
      <c r="H2769" s="2" t="s">
        <v>1693</v>
      </c>
      <c r="I2769" s="2" t="n">
        <v>7</v>
      </c>
    </row>
    <row r="2770" customFormat="false" ht="15" hidden="false" customHeight="false" outlineLevel="0" collapsed="false">
      <c r="A2770" s="2" t="s">
        <v>1633</v>
      </c>
      <c r="B2770" s="2" t="s">
        <v>456</v>
      </c>
      <c r="C2770" s="2" t="n">
        <v>1</v>
      </c>
      <c r="D2770" s="2" t="s">
        <v>1687</v>
      </c>
      <c r="E2770" s="2" t="s">
        <v>3633</v>
      </c>
      <c r="F2770" s="2"/>
      <c r="G2770" s="2" t="n">
        <v>2</v>
      </c>
      <c r="H2770" s="2" t="s">
        <v>1689</v>
      </c>
      <c r="I2770" s="2" t="n">
        <v>8</v>
      </c>
    </row>
    <row r="2771" customFormat="false" ht="15" hidden="false" customHeight="false" outlineLevel="0" collapsed="false">
      <c r="A2771" s="2" t="s">
        <v>1633</v>
      </c>
      <c r="B2771" s="2" t="s">
        <v>154</v>
      </c>
      <c r="C2771" s="2" t="n">
        <v>15</v>
      </c>
      <c r="D2771" s="2" t="s">
        <v>54</v>
      </c>
      <c r="E2771" s="2" t="s">
        <v>3634</v>
      </c>
      <c r="F2771" s="2" t="n">
        <v>7.5</v>
      </c>
      <c r="G2771" s="2" t="n">
        <v>22.5</v>
      </c>
      <c r="H2771" s="2" t="s">
        <v>1700</v>
      </c>
      <c r="I2771" s="2" t="n">
        <v>9</v>
      </c>
    </row>
    <row r="2772" customFormat="false" ht="15" hidden="false" customHeight="false" outlineLevel="0" collapsed="false">
      <c r="A2772" s="2" t="s">
        <v>1633</v>
      </c>
      <c r="B2772" s="2" t="s">
        <v>310</v>
      </c>
      <c r="C2772" s="2" t="n">
        <v>50</v>
      </c>
      <c r="D2772" s="2" t="s">
        <v>76</v>
      </c>
      <c r="E2772" s="2" t="s">
        <v>3635</v>
      </c>
      <c r="F2772" s="2" t="n">
        <v>25</v>
      </c>
      <c r="G2772" s="2" t="n">
        <v>75</v>
      </c>
      <c r="H2772" s="2" t="s">
        <v>1700</v>
      </c>
      <c r="I2772" s="2" t="n">
        <v>10</v>
      </c>
    </row>
    <row r="2773" customFormat="false" ht="15" hidden="false" customHeight="false" outlineLevel="0" collapsed="false">
      <c r="A2773" s="2" t="s">
        <v>1633</v>
      </c>
      <c r="B2773" s="2" t="s">
        <v>454</v>
      </c>
      <c r="C2773" s="2" t="n">
        <v>50</v>
      </c>
      <c r="D2773" s="2" t="s">
        <v>54</v>
      </c>
      <c r="E2773" s="2" t="s">
        <v>3636</v>
      </c>
      <c r="F2773" s="2" t="n">
        <v>25</v>
      </c>
      <c r="G2773" s="2" t="n">
        <v>75</v>
      </c>
      <c r="H2773" s="2" t="s">
        <v>1689</v>
      </c>
      <c r="I2773" s="2" t="n">
        <v>11</v>
      </c>
    </row>
    <row r="2774" customFormat="false" ht="15" hidden="false" customHeight="false" outlineLevel="0" collapsed="false">
      <c r="A2774" s="2" t="s">
        <v>1633</v>
      </c>
      <c r="B2774" s="2" t="s">
        <v>498</v>
      </c>
      <c r="C2774" s="2" t="n">
        <v>30</v>
      </c>
      <c r="D2774" s="2" t="s">
        <v>54</v>
      </c>
      <c r="E2774" s="2" t="s">
        <v>3637</v>
      </c>
      <c r="F2774" s="2" t="n">
        <v>15</v>
      </c>
      <c r="G2774" s="2" t="n">
        <v>45</v>
      </c>
      <c r="H2774" s="2" t="s">
        <v>1693</v>
      </c>
      <c r="I2774" s="2" t="n">
        <v>12</v>
      </c>
    </row>
    <row r="2775" customFormat="false" ht="15" hidden="false" customHeight="false" outlineLevel="0" collapsed="false">
      <c r="A2775" s="2" t="s">
        <v>1633</v>
      </c>
      <c r="B2775" s="2" t="s">
        <v>177</v>
      </c>
      <c r="C2775" s="2" t="n">
        <v>170</v>
      </c>
      <c r="D2775" s="2" t="s">
        <v>54</v>
      </c>
      <c r="E2775" s="2" t="s">
        <v>3638</v>
      </c>
      <c r="F2775" s="2" t="n">
        <v>280</v>
      </c>
      <c r="G2775" s="2" t="n">
        <v>840</v>
      </c>
      <c r="H2775" s="2" t="s">
        <v>1689</v>
      </c>
      <c r="I2775" s="2" t="n">
        <v>13</v>
      </c>
    </row>
    <row r="2776" customFormat="false" ht="15" hidden="false" customHeight="false" outlineLevel="0" collapsed="false">
      <c r="A2776" s="2" t="s">
        <v>1637</v>
      </c>
      <c r="B2776" s="2" t="s">
        <v>204</v>
      </c>
      <c r="C2776" s="2" t="n">
        <v>10</v>
      </c>
      <c r="D2776" s="2" t="s">
        <v>54</v>
      </c>
      <c r="E2776" s="2" t="s">
        <v>3639</v>
      </c>
      <c r="F2776" s="2" t="n">
        <v>5</v>
      </c>
      <c r="G2776" s="2" t="n">
        <v>15</v>
      </c>
      <c r="H2776" s="2" t="s">
        <v>1700</v>
      </c>
      <c r="I2776" s="2" t="n">
        <v>1</v>
      </c>
    </row>
    <row r="2777" customFormat="false" ht="15" hidden="false" customHeight="false" outlineLevel="0" collapsed="false">
      <c r="A2777" s="2" t="s">
        <v>1637</v>
      </c>
      <c r="B2777" s="2" t="s">
        <v>456</v>
      </c>
      <c r="C2777" s="2" t="n">
        <v>1</v>
      </c>
      <c r="D2777" s="2" t="s">
        <v>1687</v>
      </c>
      <c r="E2777" s="2" t="s">
        <v>3640</v>
      </c>
      <c r="F2777" s="2"/>
      <c r="G2777" s="2" t="n">
        <v>2</v>
      </c>
      <c r="H2777" s="2" t="s">
        <v>1689</v>
      </c>
      <c r="I2777" s="2" t="n">
        <v>2</v>
      </c>
    </row>
    <row r="2778" customFormat="false" ht="15" hidden="false" customHeight="false" outlineLevel="0" collapsed="false">
      <c r="A2778" s="2" t="s">
        <v>1637</v>
      </c>
      <c r="B2778" s="2" t="s">
        <v>615</v>
      </c>
      <c r="C2778" s="2" t="n">
        <v>30</v>
      </c>
      <c r="D2778" s="2" t="s">
        <v>54</v>
      </c>
      <c r="E2778" s="2" t="s">
        <v>3641</v>
      </c>
      <c r="F2778" s="2" t="n">
        <v>15</v>
      </c>
      <c r="G2778" s="2" t="n">
        <v>45</v>
      </c>
      <c r="H2778" s="2" t="s">
        <v>1700</v>
      </c>
      <c r="I2778" s="2" t="n">
        <v>3</v>
      </c>
    </row>
    <row r="2779" customFormat="false" ht="15" hidden="false" customHeight="false" outlineLevel="0" collapsed="false">
      <c r="A2779" s="2" t="s">
        <v>1637</v>
      </c>
      <c r="B2779" s="2" t="s">
        <v>409</v>
      </c>
      <c r="C2779" s="2" t="n">
        <v>100</v>
      </c>
      <c r="D2779" s="2" t="s">
        <v>54</v>
      </c>
      <c r="E2779" s="2" t="s">
        <v>3642</v>
      </c>
      <c r="F2779" s="2" t="n">
        <v>50</v>
      </c>
      <c r="G2779" s="2" t="n">
        <v>150</v>
      </c>
      <c r="H2779" s="2" t="s">
        <v>1689</v>
      </c>
      <c r="I2779" s="2" t="n">
        <v>4</v>
      </c>
    </row>
    <row r="2780" customFormat="false" ht="15" hidden="false" customHeight="false" outlineLevel="0" collapsed="false">
      <c r="A2780" s="2" t="s">
        <v>1637</v>
      </c>
      <c r="B2780" s="2" t="s">
        <v>312</v>
      </c>
      <c r="C2780" s="2" t="n">
        <v>1</v>
      </c>
      <c r="D2780" s="2" t="s">
        <v>1687</v>
      </c>
      <c r="E2780" s="2" t="s">
        <v>3643</v>
      </c>
      <c r="F2780" s="2"/>
      <c r="G2780" s="2" t="n">
        <v>2</v>
      </c>
      <c r="H2780" s="2" t="s">
        <v>1689</v>
      </c>
      <c r="I2780" s="2" t="n">
        <v>5</v>
      </c>
    </row>
    <row r="2781" customFormat="false" ht="15" hidden="false" customHeight="false" outlineLevel="0" collapsed="false">
      <c r="A2781" s="2" t="s">
        <v>1637</v>
      </c>
      <c r="B2781" s="2" t="s">
        <v>301</v>
      </c>
      <c r="C2781" s="2" t="n">
        <v>2</v>
      </c>
      <c r="D2781" s="2" t="s">
        <v>54</v>
      </c>
      <c r="E2781" s="2" t="s">
        <v>3644</v>
      </c>
      <c r="F2781" s="2" t="n">
        <v>1</v>
      </c>
      <c r="G2781" s="2" t="n">
        <v>3</v>
      </c>
      <c r="H2781" s="2" t="s">
        <v>1689</v>
      </c>
      <c r="I2781" s="2" t="n">
        <v>6</v>
      </c>
    </row>
    <row r="2782" customFormat="false" ht="15" hidden="false" customHeight="false" outlineLevel="0" collapsed="false">
      <c r="A2782" s="2" t="s">
        <v>1637</v>
      </c>
      <c r="B2782" s="2" t="s">
        <v>514</v>
      </c>
      <c r="C2782" s="2" t="n">
        <v>200</v>
      </c>
      <c r="D2782" s="2" t="s">
        <v>54</v>
      </c>
      <c r="E2782" s="2" t="s">
        <v>3645</v>
      </c>
      <c r="F2782" s="2" t="n">
        <v>100</v>
      </c>
      <c r="G2782" s="2" t="n">
        <v>300</v>
      </c>
      <c r="H2782" s="2" t="s">
        <v>1689</v>
      </c>
      <c r="I2782" s="2" t="n">
        <v>7</v>
      </c>
    </row>
    <row r="2783" customFormat="false" ht="15" hidden="false" customHeight="false" outlineLevel="0" collapsed="false">
      <c r="A2783" s="2" t="s">
        <v>1637</v>
      </c>
      <c r="B2783" s="2" t="s">
        <v>221</v>
      </c>
      <c r="C2783" s="2" t="n">
        <v>450</v>
      </c>
      <c r="D2783" s="2" t="s">
        <v>54</v>
      </c>
      <c r="E2783" s="2" t="s">
        <v>3646</v>
      </c>
      <c r="F2783" s="2" t="n">
        <v>225</v>
      </c>
      <c r="G2783" s="2" t="n">
        <v>675</v>
      </c>
      <c r="H2783" s="2" t="s">
        <v>1693</v>
      </c>
      <c r="I2783" s="2" t="n">
        <v>8</v>
      </c>
    </row>
    <row r="2784" customFormat="false" ht="15" hidden="false" customHeight="false" outlineLevel="0" collapsed="false">
      <c r="A2784" s="2" t="s">
        <v>1637</v>
      </c>
      <c r="B2784" s="2" t="s">
        <v>516</v>
      </c>
      <c r="C2784" s="2" t="n">
        <v>250</v>
      </c>
      <c r="D2784" s="2" t="s">
        <v>54</v>
      </c>
      <c r="E2784" s="2" t="s">
        <v>3647</v>
      </c>
      <c r="F2784" s="2" t="n">
        <v>125</v>
      </c>
      <c r="G2784" s="2" t="n">
        <v>375</v>
      </c>
      <c r="H2784" s="2" t="s">
        <v>1689</v>
      </c>
      <c r="I2784" s="2" t="n">
        <v>9</v>
      </c>
    </row>
    <row r="2785" customFormat="false" ht="15" hidden="false" customHeight="false" outlineLevel="0" collapsed="false">
      <c r="A2785" s="2" t="s">
        <v>1637</v>
      </c>
      <c r="B2785" s="2" t="s">
        <v>506</v>
      </c>
      <c r="C2785" s="2" t="n">
        <v>1136</v>
      </c>
      <c r="D2785" s="2" t="s">
        <v>76</v>
      </c>
      <c r="E2785" s="2" t="s">
        <v>3648</v>
      </c>
      <c r="F2785" s="2" t="n">
        <v>568</v>
      </c>
      <c r="G2785" s="2" t="n">
        <v>1704</v>
      </c>
      <c r="H2785" s="2" t="s">
        <v>1693</v>
      </c>
      <c r="I2785" s="2" t="n">
        <v>10</v>
      </c>
    </row>
    <row r="2786" customFormat="false" ht="15" hidden="false" customHeight="false" outlineLevel="0" collapsed="false">
      <c r="A2786" s="2" t="s">
        <v>1637</v>
      </c>
      <c r="B2786" s="2" t="s">
        <v>480</v>
      </c>
      <c r="C2786" s="2" t="n">
        <v>1</v>
      </c>
      <c r="D2786" s="2" t="s">
        <v>54</v>
      </c>
      <c r="E2786" s="2" t="s">
        <v>3649</v>
      </c>
      <c r="F2786" s="2" t="n">
        <v>0.5</v>
      </c>
      <c r="G2786" s="2" t="n">
        <v>1.5</v>
      </c>
      <c r="H2786" s="2" t="s">
        <v>1689</v>
      </c>
      <c r="I2786" s="2" t="n">
        <v>11</v>
      </c>
    </row>
    <row r="2787" customFormat="false" ht="15" hidden="false" customHeight="false" outlineLevel="0" collapsed="false">
      <c r="A2787" s="2" t="s">
        <v>1640</v>
      </c>
      <c r="B2787" s="2" t="s">
        <v>476</v>
      </c>
      <c r="C2787" s="2" t="n">
        <v>150</v>
      </c>
      <c r="D2787" s="2" t="s">
        <v>54</v>
      </c>
      <c r="E2787" s="2" t="s">
        <v>3650</v>
      </c>
      <c r="F2787" s="2" t="n">
        <v>75</v>
      </c>
      <c r="G2787" s="2" t="n">
        <v>225</v>
      </c>
      <c r="H2787" s="2" t="s">
        <v>1693</v>
      </c>
      <c r="I2787" s="2" t="n">
        <v>1</v>
      </c>
    </row>
    <row r="2788" customFormat="false" ht="15" hidden="false" customHeight="false" outlineLevel="0" collapsed="false">
      <c r="A2788" s="2" t="s">
        <v>1640</v>
      </c>
      <c r="B2788" s="2" t="s">
        <v>446</v>
      </c>
      <c r="C2788" s="2" t="n">
        <v>200</v>
      </c>
      <c r="D2788" s="2" t="s">
        <v>54</v>
      </c>
      <c r="E2788" s="2" t="s">
        <v>3651</v>
      </c>
      <c r="F2788" s="2" t="n">
        <v>100</v>
      </c>
      <c r="G2788" s="2" t="n">
        <v>300</v>
      </c>
      <c r="H2788" s="2" t="s">
        <v>1689</v>
      </c>
      <c r="I2788" s="2" t="n">
        <v>2</v>
      </c>
    </row>
    <row r="2789" customFormat="false" ht="15" hidden="false" customHeight="false" outlineLevel="0" collapsed="false">
      <c r="A2789" s="2" t="s">
        <v>1640</v>
      </c>
      <c r="B2789" s="2" t="s">
        <v>308</v>
      </c>
      <c r="C2789" s="2" t="n">
        <v>50</v>
      </c>
      <c r="D2789" s="2" t="s">
        <v>54</v>
      </c>
      <c r="E2789" s="2" t="s">
        <v>3652</v>
      </c>
      <c r="F2789" s="2" t="n">
        <v>25</v>
      </c>
      <c r="G2789" s="2" t="n">
        <v>75</v>
      </c>
      <c r="H2789" s="2" t="s">
        <v>1689</v>
      </c>
      <c r="I2789" s="2" t="n">
        <v>3</v>
      </c>
    </row>
    <row r="2790" customFormat="false" ht="15" hidden="false" customHeight="false" outlineLevel="0" collapsed="false">
      <c r="A2790" s="2" t="s">
        <v>1640</v>
      </c>
      <c r="B2790" s="2" t="s">
        <v>628</v>
      </c>
      <c r="C2790" s="2" t="n">
        <v>50</v>
      </c>
      <c r="D2790" s="2" t="s">
        <v>54</v>
      </c>
      <c r="E2790" s="2" t="s">
        <v>3653</v>
      </c>
      <c r="F2790" s="2" t="n">
        <v>25</v>
      </c>
      <c r="G2790" s="2" t="n">
        <v>75</v>
      </c>
      <c r="H2790" s="2" t="s">
        <v>1689</v>
      </c>
      <c r="I2790" s="2" t="n">
        <v>4</v>
      </c>
    </row>
    <row r="2791" customFormat="false" ht="15" hidden="false" customHeight="false" outlineLevel="0" collapsed="false">
      <c r="A2791" s="2" t="s">
        <v>1640</v>
      </c>
      <c r="B2791" s="2" t="s">
        <v>210</v>
      </c>
      <c r="C2791" s="2" t="n">
        <v>50</v>
      </c>
      <c r="D2791" s="2" t="s">
        <v>54</v>
      </c>
      <c r="E2791" s="2" t="s">
        <v>3654</v>
      </c>
      <c r="F2791" s="2" t="n">
        <v>25</v>
      </c>
      <c r="G2791" s="2" t="n">
        <v>75</v>
      </c>
      <c r="H2791" s="2" t="s">
        <v>1689</v>
      </c>
      <c r="I2791" s="2" t="n">
        <v>5</v>
      </c>
    </row>
    <row r="2792" customFormat="false" ht="15" hidden="false" customHeight="false" outlineLevel="0" collapsed="false">
      <c r="A2792" s="2" t="s">
        <v>1640</v>
      </c>
      <c r="B2792" s="2" t="s">
        <v>91</v>
      </c>
      <c r="C2792" s="2" t="n">
        <v>15</v>
      </c>
      <c r="D2792" s="2" t="s">
        <v>54</v>
      </c>
      <c r="E2792" s="2" t="s">
        <v>3655</v>
      </c>
      <c r="F2792" s="2" t="n">
        <v>7.5</v>
      </c>
      <c r="G2792" s="2" t="n">
        <v>22.5</v>
      </c>
      <c r="H2792" s="2" t="s">
        <v>1689</v>
      </c>
      <c r="I2792" s="2" t="n">
        <v>6</v>
      </c>
    </row>
    <row r="2793" customFormat="false" ht="15" hidden="false" customHeight="false" outlineLevel="0" collapsed="false">
      <c r="A2793" s="2" t="s">
        <v>1640</v>
      </c>
      <c r="B2793" s="2" t="s">
        <v>268</v>
      </c>
      <c r="C2793" s="2" t="n">
        <v>15</v>
      </c>
      <c r="D2793" s="2" t="s">
        <v>54</v>
      </c>
      <c r="E2793" s="2" t="s">
        <v>3656</v>
      </c>
      <c r="F2793" s="2" t="n">
        <v>7.5</v>
      </c>
      <c r="G2793" s="2" t="n">
        <v>22.5</v>
      </c>
      <c r="H2793" s="2" t="s">
        <v>1693</v>
      </c>
      <c r="I2793" s="2" t="n">
        <v>7</v>
      </c>
    </row>
    <row r="2794" customFormat="false" ht="15" hidden="false" customHeight="false" outlineLevel="0" collapsed="false">
      <c r="A2794" s="2" t="s">
        <v>1640</v>
      </c>
      <c r="B2794" s="2" t="s">
        <v>562</v>
      </c>
      <c r="C2794" s="2" t="n">
        <v>15</v>
      </c>
      <c r="D2794" s="2" t="s">
        <v>76</v>
      </c>
      <c r="E2794" s="2" t="s">
        <v>3657</v>
      </c>
      <c r="F2794" s="2" t="n">
        <v>7.5</v>
      </c>
      <c r="G2794" s="2" t="n">
        <v>22.5</v>
      </c>
      <c r="H2794" s="2" t="s">
        <v>1689</v>
      </c>
      <c r="I2794" s="2" t="n">
        <v>8</v>
      </c>
    </row>
    <row r="2795" customFormat="false" ht="15" hidden="false" customHeight="false" outlineLevel="0" collapsed="false">
      <c r="A2795" s="2" t="s">
        <v>1640</v>
      </c>
      <c r="B2795" s="2" t="s">
        <v>232</v>
      </c>
      <c r="C2795" s="2" t="n">
        <v>7.5</v>
      </c>
      <c r="D2795" s="2" t="s">
        <v>76</v>
      </c>
      <c r="E2795" s="2" t="s">
        <v>3658</v>
      </c>
      <c r="F2795" s="2" t="n">
        <v>3.75</v>
      </c>
      <c r="G2795" s="2" t="n">
        <v>11.25</v>
      </c>
      <c r="H2795" s="2" t="s">
        <v>1689</v>
      </c>
      <c r="I2795" s="2" t="n">
        <v>9</v>
      </c>
    </row>
    <row r="2796" customFormat="false" ht="15" hidden="false" customHeight="false" outlineLevel="0" collapsed="false">
      <c r="A2796" s="2" t="s">
        <v>1640</v>
      </c>
      <c r="B2796" s="2" t="s">
        <v>312</v>
      </c>
      <c r="C2796" s="2" t="n">
        <v>1</v>
      </c>
      <c r="D2796" s="2" t="s">
        <v>1687</v>
      </c>
      <c r="E2796" s="2" t="s">
        <v>3643</v>
      </c>
      <c r="F2796" s="2"/>
      <c r="G2796" s="2" t="n">
        <v>2</v>
      </c>
      <c r="H2796" s="2" t="s">
        <v>1689</v>
      </c>
      <c r="I2796" s="2" t="n">
        <v>10</v>
      </c>
    </row>
    <row r="2797" customFormat="false" ht="15" hidden="false" customHeight="false" outlineLevel="0" collapsed="false">
      <c r="A2797" s="2" t="s">
        <v>1640</v>
      </c>
      <c r="B2797" s="2" t="s">
        <v>271</v>
      </c>
      <c r="C2797" s="2" t="n">
        <v>2.5</v>
      </c>
      <c r="D2797" s="2" t="s">
        <v>54</v>
      </c>
      <c r="E2797" s="2" t="s">
        <v>3659</v>
      </c>
      <c r="F2797" s="2" t="n">
        <v>1.25</v>
      </c>
      <c r="G2797" s="2" t="n">
        <v>3.75</v>
      </c>
      <c r="H2797" s="2" t="s">
        <v>1689</v>
      </c>
      <c r="I2797" s="2" t="n">
        <v>11</v>
      </c>
    </row>
    <row r="2798" customFormat="false" ht="15" hidden="false" customHeight="false" outlineLevel="0" collapsed="false">
      <c r="A2798" s="2" t="s">
        <v>1640</v>
      </c>
      <c r="B2798" s="2" t="s">
        <v>129</v>
      </c>
      <c r="C2798" s="2" t="n">
        <v>5</v>
      </c>
      <c r="D2798" s="2" t="s">
        <v>54</v>
      </c>
      <c r="E2798" s="2" t="s">
        <v>3660</v>
      </c>
      <c r="F2798" s="2" t="n">
        <v>2.5</v>
      </c>
      <c r="G2798" s="2" t="n">
        <v>7.5</v>
      </c>
      <c r="H2798" s="2" t="s">
        <v>1700</v>
      </c>
      <c r="I2798" s="2" t="n">
        <v>12</v>
      </c>
    </row>
    <row r="2799" customFormat="false" ht="15" hidden="false" customHeight="false" outlineLevel="0" collapsed="false">
      <c r="A2799" s="2" t="s">
        <v>1640</v>
      </c>
      <c r="B2799" s="2" t="s">
        <v>204</v>
      </c>
      <c r="C2799" s="2" t="n">
        <v>5</v>
      </c>
      <c r="D2799" s="2" t="s">
        <v>54</v>
      </c>
      <c r="E2799" s="2" t="s">
        <v>3661</v>
      </c>
      <c r="F2799" s="2" t="n">
        <v>2.5</v>
      </c>
      <c r="G2799" s="2" t="n">
        <v>7.5</v>
      </c>
      <c r="H2799" s="2" t="s">
        <v>1700</v>
      </c>
      <c r="I2799" s="2" t="n">
        <v>13</v>
      </c>
    </row>
    <row r="2800" customFormat="false" ht="15" hidden="false" customHeight="false" outlineLevel="0" collapsed="false">
      <c r="A2800" s="2" t="s">
        <v>1640</v>
      </c>
      <c r="B2800" s="2" t="s">
        <v>301</v>
      </c>
      <c r="C2800" s="2" t="n">
        <v>3</v>
      </c>
      <c r="D2800" s="2" t="s">
        <v>54</v>
      </c>
      <c r="E2800" s="2" t="s">
        <v>3662</v>
      </c>
      <c r="F2800" s="2" t="n">
        <v>1.5</v>
      </c>
      <c r="G2800" s="2" t="n">
        <v>4.5</v>
      </c>
      <c r="H2800" s="2" t="s">
        <v>1689</v>
      </c>
      <c r="I2800" s="2" t="n">
        <v>14</v>
      </c>
    </row>
    <row r="2801" customFormat="false" ht="15" hidden="false" customHeight="false" outlineLevel="0" collapsed="false">
      <c r="A2801" s="2" t="s">
        <v>1640</v>
      </c>
      <c r="B2801" s="2" t="s">
        <v>271</v>
      </c>
      <c r="C2801" s="2" t="n">
        <v>1</v>
      </c>
      <c r="D2801" s="2" t="s">
        <v>54</v>
      </c>
      <c r="E2801" s="2" t="s">
        <v>3663</v>
      </c>
      <c r="F2801" s="2" t="n">
        <v>0.5</v>
      </c>
      <c r="G2801" s="2" t="n">
        <v>1.5</v>
      </c>
      <c r="H2801" s="2" t="s">
        <v>1689</v>
      </c>
      <c r="I2801" s="2" t="n">
        <v>15</v>
      </c>
    </row>
    <row r="2802" customFormat="false" ht="15" hidden="false" customHeight="false" outlineLevel="0" collapsed="false">
      <c r="A2802" s="2" t="s">
        <v>1640</v>
      </c>
      <c r="B2802" s="2" t="s">
        <v>301</v>
      </c>
      <c r="C2802" s="2" t="n">
        <v>1</v>
      </c>
      <c r="D2802" s="2" t="s">
        <v>54</v>
      </c>
      <c r="E2802" s="2" t="s">
        <v>3664</v>
      </c>
      <c r="F2802" s="2" t="n">
        <v>0.5</v>
      </c>
      <c r="G2802" s="2" t="n">
        <v>1.5</v>
      </c>
      <c r="H2802" s="2" t="s">
        <v>1689</v>
      </c>
      <c r="I2802" s="2" t="n">
        <v>16</v>
      </c>
    </row>
    <row r="2803" customFormat="false" ht="15" hidden="false" customHeight="false" outlineLevel="0" collapsed="false">
      <c r="A2803" s="2" t="s">
        <v>1643</v>
      </c>
      <c r="B2803" s="2" t="s">
        <v>577</v>
      </c>
      <c r="C2803" s="2" t="n">
        <v>75</v>
      </c>
      <c r="D2803" s="2" t="s">
        <v>54</v>
      </c>
      <c r="E2803" s="2" t="s">
        <v>3462</v>
      </c>
      <c r="F2803" s="2" t="n">
        <v>37.5</v>
      </c>
      <c r="G2803" s="2" t="n">
        <v>112.5</v>
      </c>
      <c r="H2803" s="2" t="s">
        <v>1693</v>
      </c>
      <c r="I2803" s="2" t="n">
        <v>1</v>
      </c>
    </row>
    <row r="2804" customFormat="false" ht="15" hidden="false" customHeight="false" outlineLevel="0" collapsed="false">
      <c r="A2804" s="2" t="s">
        <v>1643</v>
      </c>
      <c r="B2804" s="2" t="s">
        <v>532</v>
      </c>
      <c r="C2804" s="2" t="n">
        <v>72</v>
      </c>
      <c r="D2804" s="2" t="s">
        <v>54</v>
      </c>
      <c r="E2804" s="2" t="s">
        <v>3665</v>
      </c>
      <c r="F2804" s="2" t="n">
        <v>36</v>
      </c>
      <c r="G2804" s="2" t="n">
        <v>108</v>
      </c>
      <c r="H2804" s="2" t="s">
        <v>1693</v>
      </c>
      <c r="I2804" s="2" t="n">
        <v>2</v>
      </c>
    </row>
    <row r="2805" customFormat="false" ht="15" hidden="false" customHeight="false" outlineLevel="0" collapsed="false">
      <c r="A2805" s="2" t="s">
        <v>1643</v>
      </c>
      <c r="B2805" s="2" t="s">
        <v>458</v>
      </c>
      <c r="C2805" s="2" t="n">
        <v>50</v>
      </c>
      <c r="D2805" s="2" t="s">
        <v>54</v>
      </c>
      <c r="E2805" s="2" t="s">
        <v>3666</v>
      </c>
      <c r="F2805" s="2" t="n">
        <v>25</v>
      </c>
      <c r="G2805" s="2" t="n">
        <v>75</v>
      </c>
      <c r="H2805" s="2" t="s">
        <v>1689</v>
      </c>
      <c r="I2805" s="2" t="n">
        <v>3</v>
      </c>
    </row>
    <row r="2806" customFormat="false" ht="15" hidden="false" customHeight="false" outlineLevel="0" collapsed="false">
      <c r="A2806" s="2" t="s">
        <v>1643</v>
      </c>
      <c r="B2806" s="2" t="s">
        <v>110</v>
      </c>
      <c r="C2806" s="2" t="n">
        <v>1</v>
      </c>
      <c r="D2806" s="2" t="s">
        <v>1687</v>
      </c>
      <c r="E2806" s="2" t="s">
        <v>3464</v>
      </c>
      <c r="F2806" s="2"/>
      <c r="G2806" s="2" t="n">
        <v>2</v>
      </c>
      <c r="H2806" s="2" t="s">
        <v>1693</v>
      </c>
      <c r="I2806" s="2" t="n">
        <v>4</v>
      </c>
    </row>
    <row r="2807" customFormat="false" ht="15" hidden="false" customHeight="false" outlineLevel="0" collapsed="false">
      <c r="A2807" s="2" t="s">
        <v>1643</v>
      </c>
      <c r="B2807" s="2" t="s">
        <v>630</v>
      </c>
      <c r="C2807" s="2" t="n">
        <v>1</v>
      </c>
      <c r="D2807" s="2" t="s">
        <v>1687</v>
      </c>
      <c r="E2807" s="2" t="s">
        <v>3465</v>
      </c>
      <c r="F2807" s="2"/>
      <c r="G2807" s="2" t="n">
        <v>2</v>
      </c>
      <c r="H2807" s="2" t="s">
        <v>1689</v>
      </c>
      <c r="I2807" s="2" t="n">
        <v>5</v>
      </c>
    </row>
    <row r="2808" customFormat="false" ht="15" hidden="false" customHeight="false" outlineLevel="0" collapsed="false">
      <c r="A2808" s="2" t="s">
        <v>1643</v>
      </c>
      <c r="B2808" s="2" t="s">
        <v>592</v>
      </c>
      <c r="C2808" s="2" t="n">
        <v>7.5</v>
      </c>
      <c r="D2808" s="2" t="s">
        <v>54</v>
      </c>
      <c r="E2808" s="2" t="s">
        <v>3667</v>
      </c>
      <c r="F2808" s="2" t="n">
        <v>3.75</v>
      </c>
      <c r="G2808" s="2" t="n">
        <v>11.25</v>
      </c>
      <c r="H2808" s="2" t="s">
        <v>1693</v>
      </c>
      <c r="I2808" s="2" t="n">
        <v>6</v>
      </c>
    </row>
    <row r="2809" customFormat="false" ht="15" hidden="false" customHeight="false" outlineLevel="0" collapsed="false">
      <c r="A2809" s="2" t="s">
        <v>1643</v>
      </c>
      <c r="B2809" s="2" t="s">
        <v>502</v>
      </c>
      <c r="C2809" s="2" t="n">
        <v>7.5</v>
      </c>
      <c r="D2809" s="2" t="s">
        <v>54</v>
      </c>
      <c r="E2809" s="2" t="s">
        <v>3668</v>
      </c>
      <c r="F2809" s="2" t="n">
        <v>3.75</v>
      </c>
      <c r="G2809" s="2" t="n">
        <v>11.25</v>
      </c>
      <c r="H2809" s="2" t="s">
        <v>1689</v>
      </c>
      <c r="I2809" s="2" t="n">
        <v>7</v>
      </c>
    </row>
    <row r="2810" customFormat="false" ht="15" hidden="false" customHeight="false" outlineLevel="0" collapsed="false">
      <c r="A2810" s="2" t="s">
        <v>1643</v>
      </c>
      <c r="B2810" s="2" t="s">
        <v>540</v>
      </c>
      <c r="C2810" s="2" t="n">
        <v>7.5</v>
      </c>
      <c r="D2810" s="2" t="s">
        <v>54</v>
      </c>
      <c r="E2810" s="2" t="s">
        <v>3669</v>
      </c>
      <c r="F2810" s="2" t="n">
        <v>3.75</v>
      </c>
      <c r="G2810" s="2" t="n">
        <v>11.25</v>
      </c>
      <c r="H2810" s="2" t="s">
        <v>1700</v>
      </c>
      <c r="I2810" s="2" t="n">
        <v>8</v>
      </c>
    </row>
    <row r="2811" customFormat="false" ht="15" hidden="false" customHeight="false" outlineLevel="0" collapsed="false">
      <c r="A2811" s="2" t="s">
        <v>1643</v>
      </c>
      <c r="B2811" s="2" t="s">
        <v>301</v>
      </c>
      <c r="C2811" s="2" t="n">
        <v>15</v>
      </c>
      <c r="D2811" s="2" t="s">
        <v>54</v>
      </c>
      <c r="E2811" s="2" t="s">
        <v>3670</v>
      </c>
      <c r="F2811" s="2" t="n">
        <v>7.5</v>
      </c>
      <c r="G2811" s="2" t="n">
        <v>22.5</v>
      </c>
      <c r="H2811" s="2" t="s">
        <v>1689</v>
      </c>
      <c r="I2811" s="2" t="n">
        <v>9</v>
      </c>
    </row>
    <row r="2812" customFormat="false" ht="15" hidden="false" customHeight="false" outlineLevel="0" collapsed="false">
      <c r="A2812" s="2" t="s">
        <v>1643</v>
      </c>
      <c r="B2812" s="2" t="s">
        <v>268</v>
      </c>
      <c r="C2812" s="2" t="n">
        <v>2.5</v>
      </c>
      <c r="D2812" s="2" t="s">
        <v>54</v>
      </c>
      <c r="E2812" s="2" t="s">
        <v>3671</v>
      </c>
      <c r="F2812" s="2" t="n">
        <v>1.25</v>
      </c>
      <c r="G2812" s="2" t="n">
        <v>3.75</v>
      </c>
      <c r="H2812" s="2" t="s">
        <v>1693</v>
      </c>
      <c r="I2812" s="2" t="n">
        <v>10</v>
      </c>
    </row>
    <row r="2813" customFormat="false" ht="15" hidden="false" customHeight="false" outlineLevel="0" collapsed="false">
      <c r="A2813" s="2" t="s">
        <v>1643</v>
      </c>
      <c r="B2813" s="2" t="s">
        <v>480</v>
      </c>
      <c r="C2813" s="2" t="n">
        <v>1</v>
      </c>
      <c r="D2813" s="2" t="s">
        <v>54</v>
      </c>
      <c r="E2813" s="2" t="s">
        <v>3471</v>
      </c>
      <c r="F2813" s="2" t="n">
        <v>0.5</v>
      </c>
      <c r="G2813" s="2" t="n">
        <v>1.5</v>
      </c>
      <c r="H2813" s="2" t="s">
        <v>1689</v>
      </c>
      <c r="I2813" s="2" t="n">
        <v>11</v>
      </c>
    </row>
    <row r="2814" customFormat="false" ht="15" hidden="false" customHeight="false" outlineLevel="0" collapsed="false">
      <c r="A2814" s="2" t="s">
        <v>1643</v>
      </c>
      <c r="B2814" s="2" t="s">
        <v>394</v>
      </c>
      <c r="C2814" s="2" t="n">
        <v>50</v>
      </c>
      <c r="D2814" s="2" t="s">
        <v>54</v>
      </c>
      <c r="E2814" s="2" t="s">
        <v>3472</v>
      </c>
      <c r="F2814" s="2" t="n">
        <v>25</v>
      </c>
      <c r="G2814" s="2" t="n">
        <v>75</v>
      </c>
      <c r="H2814" s="2" t="s">
        <v>1689</v>
      </c>
      <c r="I2814" s="2" t="n">
        <v>12</v>
      </c>
    </row>
    <row r="2815" customFormat="false" ht="15" hidden="false" customHeight="false" outlineLevel="0" collapsed="false">
      <c r="A2815" s="2" t="s">
        <v>1647</v>
      </c>
      <c r="B2815" s="2" t="s">
        <v>110</v>
      </c>
      <c r="C2815" s="2" t="n">
        <v>3</v>
      </c>
      <c r="D2815" s="2" t="s">
        <v>1687</v>
      </c>
      <c r="E2815" s="2" t="s">
        <v>1810</v>
      </c>
      <c r="F2815" s="2" t="n">
        <v>2</v>
      </c>
      <c r="G2815" s="2" t="n">
        <v>4</v>
      </c>
      <c r="H2815" s="2" t="s">
        <v>1693</v>
      </c>
      <c r="I2815" s="2" t="n">
        <v>1</v>
      </c>
    </row>
    <row r="2816" customFormat="false" ht="15" hidden="false" customHeight="false" outlineLevel="0" collapsed="false">
      <c r="A2816" s="2" t="s">
        <v>1647</v>
      </c>
      <c r="B2816" s="2" t="s">
        <v>617</v>
      </c>
      <c r="C2816" s="2" t="n">
        <v>60</v>
      </c>
      <c r="D2816" s="2" t="s">
        <v>54</v>
      </c>
      <c r="E2816" s="2" t="s">
        <v>3672</v>
      </c>
      <c r="F2816" s="2" t="n">
        <v>30</v>
      </c>
      <c r="G2816" s="2" t="n">
        <v>90</v>
      </c>
      <c r="H2816" s="2" t="s">
        <v>1693</v>
      </c>
      <c r="I2816" s="2" t="n">
        <v>2</v>
      </c>
    </row>
    <row r="2817" customFormat="false" ht="15" hidden="false" customHeight="false" outlineLevel="0" collapsed="false">
      <c r="A2817" s="2" t="s">
        <v>1647</v>
      </c>
      <c r="B2817" s="2" t="s">
        <v>219</v>
      </c>
      <c r="C2817" s="2" t="n">
        <v>40</v>
      </c>
      <c r="D2817" s="2" t="s">
        <v>54</v>
      </c>
      <c r="E2817" s="2" t="s">
        <v>1936</v>
      </c>
      <c r="F2817" s="2" t="n">
        <v>20</v>
      </c>
      <c r="G2817" s="2" t="n">
        <v>60</v>
      </c>
      <c r="H2817" s="2" t="s">
        <v>1689</v>
      </c>
      <c r="I2817" s="2" t="n">
        <v>3</v>
      </c>
    </row>
    <row r="2818" customFormat="false" ht="15" hidden="false" customHeight="false" outlineLevel="0" collapsed="false">
      <c r="A2818" s="2" t="s">
        <v>1647</v>
      </c>
      <c r="B2818" s="2" t="s">
        <v>464</v>
      </c>
      <c r="C2818" s="2" t="n">
        <v>30</v>
      </c>
      <c r="D2818" s="2" t="s">
        <v>54</v>
      </c>
      <c r="E2818" s="2" t="s">
        <v>3673</v>
      </c>
      <c r="F2818" s="2" t="n">
        <v>15</v>
      </c>
      <c r="G2818" s="2" t="n">
        <v>45</v>
      </c>
      <c r="H2818" s="2" t="s">
        <v>1693</v>
      </c>
      <c r="I2818" s="2" t="n">
        <v>4</v>
      </c>
    </row>
    <row r="2819" customFormat="false" ht="15" hidden="false" customHeight="false" outlineLevel="0" collapsed="false">
      <c r="A2819" s="2" t="s">
        <v>1647</v>
      </c>
      <c r="B2819" s="2" t="s">
        <v>454</v>
      </c>
      <c r="C2819" s="2" t="n">
        <v>50</v>
      </c>
      <c r="D2819" s="2" t="s">
        <v>54</v>
      </c>
      <c r="E2819" s="2" t="s">
        <v>3674</v>
      </c>
      <c r="F2819" s="2" t="n">
        <v>25</v>
      </c>
      <c r="G2819" s="2" t="n">
        <v>75</v>
      </c>
      <c r="H2819" s="2" t="s">
        <v>1689</v>
      </c>
      <c r="I2819" s="2" t="n">
        <v>5</v>
      </c>
    </row>
    <row r="2820" customFormat="false" ht="15" hidden="false" customHeight="false" outlineLevel="0" collapsed="false">
      <c r="A2820" s="2" t="s">
        <v>1647</v>
      </c>
      <c r="B2820" s="2" t="s">
        <v>409</v>
      </c>
      <c r="C2820" s="2" t="n">
        <v>25</v>
      </c>
      <c r="D2820" s="2" t="s">
        <v>54</v>
      </c>
      <c r="E2820" s="2" t="s">
        <v>3675</v>
      </c>
      <c r="F2820" s="2" t="n">
        <v>12.5</v>
      </c>
      <c r="G2820" s="2" t="n">
        <v>37.5</v>
      </c>
      <c r="H2820" s="2" t="s">
        <v>1689</v>
      </c>
      <c r="I2820" s="2" t="n">
        <v>6</v>
      </c>
    </row>
    <row r="2821" customFormat="false" ht="15" hidden="false" customHeight="false" outlineLevel="0" collapsed="false">
      <c r="A2821" s="2" t="s">
        <v>1647</v>
      </c>
      <c r="B2821" s="2" t="s">
        <v>297</v>
      </c>
      <c r="C2821" s="2" t="n">
        <v>1</v>
      </c>
      <c r="D2821" s="2" t="s">
        <v>1687</v>
      </c>
      <c r="E2821" s="2" t="s">
        <v>3676</v>
      </c>
      <c r="F2821" s="2"/>
      <c r="G2821" s="2" t="n">
        <v>2</v>
      </c>
      <c r="H2821" s="2" t="s">
        <v>1689</v>
      </c>
      <c r="I2821" s="2" t="n">
        <v>7</v>
      </c>
    </row>
    <row r="2822" customFormat="false" ht="15" hidden="false" customHeight="false" outlineLevel="0" collapsed="false">
      <c r="A2822" s="2" t="s">
        <v>1647</v>
      </c>
      <c r="B2822" s="2" t="s">
        <v>74</v>
      </c>
      <c r="C2822" s="2" t="n">
        <v>20</v>
      </c>
      <c r="D2822" s="2" t="s">
        <v>76</v>
      </c>
      <c r="E2822" s="2" t="s">
        <v>3677</v>
      </c>
      <c r="F2822" s="2" t="n">
        <v>10</v>
      </c>
      <c r="G2822" s="2" t="n">
        <v>30</v>
      </c>
      <c r="H2822" s="2" t="s">
        <v>1689</v>
      </c>
      <c r="I2822" s="2" t="n">
        <v>8</v>
      </c>
    </row>
    <row r="2823" customFormat="false" ht="15" hidden="false" customHeight="false" outlineLevel="0" collapsed="false">
      <c r="A2823" s="2" t="s">
        <v>1647</v>
      </c>
      <c r="B2823" s="2" t="s">
        <v>129</v>
      </c>
      <c r="C2823" s="2" t="n">
        <v>5</v>
      </c>
      <c r="D2823" s="2" t="s">
        <v>54</v>
      </c>
      <c r="E2823" s="2" t="s">
        <v>3678</v>
      </c>
      <c r="F2823" s="2" t="n">
        <v>2.5</v>
      </c>
      <c r="G2823" s="2" t="n">
        <v>7.5</v>
      </c>
      <c r="H2823" s="2" t="s">
        <v>1700</v>
      </c>
      <c r="I2823" s="2" t="n">
        <v>9</v>
      </c>
    </row>
    <row r="2824" customFormat="false" ht="15" hidden="false" customHeight="false" outlineLevel="0" collapsed="false">
      <c r="A2824" s="2" t="s">
        <v>1647</v>
      </c>
      <c r="B2824" s="2" t="s">
        <v>480</v>
      </c>
      <c r="C2824" s="2" t="n">
        <v>1</v>
      </c>
      <c r="D2824" s="2" t="s">
        <v>54</v>
      </c>
      <c r="E2824" s="2" t="s">
        <v>3679</v>
      </c>
      <c r="F2824" s="2" t="n">
        <v>0.5</v>
      </c>
      <c r="G2824" s="2" t="n">
        <v>1.5</v>
      </c>
      <c r="H2824" s="2" t="s">
        <v>1689</v>
      </c>
      <c r="I2824" s="2" t="n">
        <v>10</v>
      </c>
    </row>
    <row r="2825" customFormat="false" ht="15" hidden="false" customHeight="false" outlineLevel="0" collapsed="false">
      <c r="A2825" s="2" t="s">
        <v>1647</v>
      </c>
      <c r="B2825" s="2" t="s">
        <v>480</v>
      </c>
      <c r="C2825" s="2" t="n">
        <v>1</v>
      </c>
      <c r="D2825" s="2" t="s">
        <v>54</v>
      </c>
      <c r="E2825" s="2" t="s">
        <v>3680</v>
      </c>
      <c r="F2825" s="2" t="n">
        <v>0.5</v>
      </c>
      <c r="G2825" s="2" t="n">
        <v>1.5</v>
      </c>
      <c r="H2825" s="2" t="s">
        <v>1689</v>
      </c>
      <c r="I2825" s="2" t="n">
        <v>11</v>
      </c>
    </row>
    <row r="2826" customFormat="false" ht="15" hidden="false" customHeight="false" outlineLevel="0" collapsed="false">
      <c r="A2826" s="2" t="s">
        <v>1650</v>
      </c>
      <c r="B2826" s="2" t="s">
        <v>177</v>
      </c>
      <c r="C2826" s="2" t="n">
        <v>100</v>
      </c>
      <c r="D2826" s="2" t="s">
        <v>54</v>
      </c>
      <c r="E2826" s="2" t="s">
        <v>3681</v>
      </c>
      <c r="F2826" s="2" t="n">
        <v>50</v>
      </c>
      <c r="G2826" s="2" t="n">
        <v>150</v>
      </c>
      <c r="H2826" s="2" t="s">
        <v>1689</v>
      </c>
      <c r="I2826" s="2" t="n">
        <v>1</v>
      </c>
    </row>
    <row r="2827" customFormat="false" ht="15" hidden="false" customHeight="false" outlineLevel="0" collapsed="false">
      <c r="A2827" s="2" t="s">
        <v>1650</v>
      </c>
      <c r="B2827" s="2" t="s">
        <v>234</v>
      </c>
      <c r="C2827" s="2" t="n">
        <v>10</v>
      </c>
      <c r="D2827" s="2" t="s">
        <v>54</v>
      </c>
      <c r="E2827" s="2" t="s">
        <v>3682</v>
      </c>
      <c r="F2827" s="2" t="n">
        <v>5</v>
      </c>
      <c r="G2827" s="2" t="n">
        <v>15</v>
      </c>
      <c r="H2827" s="2" t="s">
        <v>1700</v>
      </c>
      <c r="I2827" s="2" t="n">
        <v>2</v>
      </c>
    </row>
    <row r="2828" customFormat="false" ht="15" hidden="false" customHeight="false" outlineLevel="0" collapsed="false">
      <c r="A2828" s="2" t="s">
        <v>1650</v>
      </c>
      <c r="B2828" s="2" t="s">
        <v>355</v>
      </c>
      <c r="C2828" s="2" t="n">
        <v>500</v>
      </c>
      <c r="D2828" s="2" t="s">
        <v>54</v>
      </c>
      <c r="E2828" s="2" t="s">
        <v>3683</v>
      </c>
      <c r="F2828" s="2" t="n">
        <v>250</v>
      </c>
      <c r="G2828" s="2" t="n">
        <v>750</v>
      </c>
      <c r="H2828" s="2" t="s">
        <v>1693</v>
      </c>
      <c r="I2828" s="2" t="n">
        <v>3</v>
      </c>
    </row>
    <row r="2829" customFormat="false" ht="15" hidden="false" customHeight="false" outlineLevel="0" collapsed="false">
      <c r="A2829" s="2" t="s">
        <v>1650</v>
      </c>
      <c r="B2829" s="2" t="s">
        <v>480</v>
      </c>
      <c r="C2829" s="2" t="n">
        <v>2</v>
      </c>
      <c r="D2829" s="2" t="s">
        <v>54</v>
      </c>
      <c r="E2829" s="2" t="s">
        <v>3684</v>
      </c>
      <c r="F2829" s="2" t="n">
        <v>1</v>
      </c>
      <c r="G2829" s="2" t="n">
        <v>3</v>
      </c>
      <c r="H2829" s="2" t="s">
        <v>1689</v>
      </c>
      <c r="I2829" s="2" t="n">
        <v>4</v>
      </c>
    </row>
    <row r="2830" customFormat="false" ht="15" hidden="false" customHeight="false" outlineLevel="0" collapsed="false">
      <c r="A2830" s="2" t="s">
        <v>1650</v>
      </c>
      <c r="B2830" s="2" t="s">
        <v>312</v>
      </c>
      <c r="C2830" s="2" t="n">
        <v>1</v>
      </c>
      <c r="D2830" s="2" t="s">
        <v>1687</v>
      </c>
      <c r="E2830" s="2" t="s">
        <v>3685</v>
      </c>
      <c r="F2830" s="2"/>
      <c r="G2830" s="2" t="n">
        <v>2</v>
      </c>
      <c r="H2830" s="2" t="s">
        <v>1689</v>
      </c>
      <c r="I2830" s="2" t="n">
        <v>5</v>
      </c>
    </row>
    <row r="2831" customFormat="false" ht="15" hidden="false" customHeight="false" outlineLevel="0" collapsed="false">
      <c r="A2831" s="2" t="s">
        <v>1650</v>
      </c>
      <c r="B2831" s="2" t="s">
        <v>456</v>
      </c>
      <c r="C2831" s="2" t="n">
        <v>1</v>
      </c>
      <c r="D2831" s="2" t="s">
        <v>1687</v>
      </c>
      <c r="E2831" s="2" t="s">
        <v>3686</v>
      </c>
      <c r="F2831" s="2"/>
      <c r="G2831" s="2" t="n">
        <v>2</v>
      </c>
      <c r="H2831" s="2" t="s">
        <v>1689</v>
      </c>
      <c r="I2831" s="2" t="n">
        <v>6</v>
      </c>
    </row>
    <row r="2832" customFormat="false" ht="15" hidden="false" customHeight="false" outlineLevel="0" collapsed="false">
      <c r="A2832" s="2" t="s">
        <v>1650</v>
      </c>
      <c r="B2832" s="2" t="s">
        <v>500</v>
      </c>
      <c r="C2832" s="2" t="n">
        <v>3</v>
      </c>
      <c r="D2832" s="2" t="s">
        <v>1687</v>
      </c>
      <c r="E2832" s="2" t="s">
        <v>3687</v>
      </c>
      <c r="F2832" s="2" t="n">
        <v>2</v>
      </c>
      <c r="G2832" s="2" t="n">
        <v>4</v>
      </c>
      <c r="H2832" s="2" t="s">
        <v>1689</v>
      </c>
      <c r="I2832" s="2" t="n">
        <v>7</v>
      </c>
    </row>
    <row r="2833" customFormat="false" ht="15" hidden="false" customHeight="false" outlineLevel="0" collapsed="false">
      <c r="A2833" s="2" t="s">
        <v>1650</v>
      </c>
      <c r="B2833" s="2" t="s">
        <v>195</v>
      </c>
      <c r="C2833" s="2" t="n">
        <v>100</v>
      </c>
      <c r="D2833" s="2" t="s">
        <v>54</v>
      </c>
      <c r="E2833" s="2" t="s">
        <v>3688</v>
      </c>
      <c r="F2833" s="2" t="n">
        <v>50</v>
      </c>
      <c r="G2833" s="2" t="n">
        <v>150</v>
      </c>
      <c r="H2833" s="2" t="s">
        <v>1693</v>
      </c>
      <c r="I2833" s="2" t="n">
        <v>8</v>
      </c>
    </row>
    <row r="2834" customFormat="false" ht="15" hidden="false" customHeight="false" outlineLevel="0" collapsed="false">
      <c r="A2834" s="2" t="s">
        <v>1650</v>
      </c>
      <c r="B2834" s="2" t="s">
        <v>415</v>
      </c>
      <c r="C2834" s="2" t="n">
        <v>45</v>
      </c>
      <c r="D2834" s="2" t="s">
        <v>54</v>
      </c>
      <c r="E2834" s="2" t="s">
        <v>3689</v>
      </c>
      <c r="F2834" s="2" t="n">
        <v>22.5</v>
      </c>
      <c r="G2834" s="2" t="n">
        <v>67.5</v>
      </c>
      <c r="H2834" s="2" t="s">
        <v>1689</v>
      </c>
      <c r="I2834" s="2" t="n">
        <v>9</v>
      </c>
    </row>
    <row r="2835" customFormat="false" ht="15" hidden="false" customHeight="false" outlineLevel="0" collapsed="false">
      <c r="A2835" s="2" t="s">
        <v>1650</v>
      </c>
      <c r="B2835" s="2" t="s">
        <v>91</v>
      </c>
      <c r="C2835" s="2" t="n">
        <v>5</v>
      </c>
      <c r="D2835" s="2" t="s">
        <v>54</v>
      </c>
      <c r="E2835" s="2" t="s">
        <v>3584</v>
      </c>
      <c r="F2835" s="2" t="n">
        <v>2.5</v>
      </c>
      <c r="G2835" s="2" t="n">
        <v>7.5</v>
      </c>
      <c r="H2835" s="2" t="s">
        <v>1689</v>
      </c>
      <c r="I2835" s="2" t="n">
        <v>10</v>
      </c>
    </row>
    <row r="2836" customFormat="false" ht="15" hidden="false" customHeight="false" outlineLevel="0" collapsed="false">
      <c r="A2836" s="2" t="s">
        <v>1650</v>
      </c>
      <c r="B2836" s="2" t="s">
        <v>301</v>
      </c>
      <c r="C2836" s="2" t="n">
        <v>10</v>
      </c>
      <c r="D2836" s="2" t="s">
        <v>54</v>
      </c>
      <c r="E2836" s="2" t="s">
        <v>3690</v>
      </c>
      <c r="F2836" s="2" t="n">
        <v>5</v>
      </c>
      <c r="G2836" s="2" t="n">
        <v>15</v>
      </c>
      <c r="H2836" s="2" t="s">
        <v>1689</v>
      </c>
      <c r="I2836" s="2" t="n">
        <v>11</v>
      </c>
    </row>
    <row r="2837" customFormat="false" ht="15" hidden="false" customHeight="false" outlineLevel="0" collapsed="false">
      <c r="A2837" s="2" t="s">
        <v>1654</v>
      </c>
      <c r="B2837" s="2" t="s">
        <v>552</v>
      </c>
      <c r="C2837" s="2" t="n">
        <v>85</v>
      </c>
      <c r="D2837" s="2" t="s">
        <v>54</v>
      </c>
      <c r="E2837" s="2" t="s">
        <v>3691</v>
      </c>
      <c r="F2837" s="2" t="n">
        <v>42.5</v>
      </c>
      <c r="G2837" s="2" t="n">
        <v>127.5</v>
      </c>
      <c r="H2837" s="2" t="s">
        <v>1693</v>
      </c>
      <c r="I2837" s="2" t="n">
        <v>1</v>
      </c>
    </row>
    <row r="2838" customFormat="false" ht="15" hidden="false" customHeight="false" outlineLevel="0" collapsed="false">
      <c r="A2838" s="2" t="s">
        <v>1654</v>
      </c>
      <c r="B2838" s="2" t="s">
        <v>506</v>
      </c>
      <c r="C2838" s="2" t="n">
        <v>120</v>
      </c>
      <c r="D2838" s="2" t="s">
        <v>76</v>
      </c>
      <c r="E2838" s="2" t="s">
        <v>3692</v>
      </c>
      <c r="F2838" s="2" t="n">
        <v>60</v>
      </c>
      <c r="G2838" s="2" t="n">
        <v>180</v>
      </c>
      <c r="H2838" s="2" t="s">
        <v>1693</v>
      </c>
      <c r="I2838" s="2" t="n">
        <v>2</v>
      </c>
    </row>
    <row r="2839" customFormat="false" ht="15" hidden="false" customHeight="false" outlineLevel="0" collapsed="false">
      <c r="A2839" s="2" t="s">
        <v>1654</v>
      </c>
      <c r="B2839" s="2" t="s">
        <v>367</v>
      </c>
      <c r="C2839" s="2" t="n">
        <v>15</v>
      </c>
      <c r="D2839" s="2" t="s">
        <v>76</v>
      </c>
      <c r="E2839" s="2" t="s">
        <v>3693</v>
      </c>
      <c r="F2839" s="2" t="n">
        <v>14</v>
      </c>
      <c r="G2839" s="2" t="n">
        <v>16</v>
      </c>
      <c r="H2839" s="2" t="s">
        <v>1689</v>
      </c>
      <c r="I2839" s="2" t="n">
        <v>3</v>
      </c>
    </row>
    <row r="2840" customFormat="false" ht="15" hidden="false" customHeight="false" outlineLevel="0" collapsed="false">
      <c r="A2840" s="2" t="s">
        <v>1654</v>
      </c>
      <c r="B2840" s="2" t="s">
        <v>480</v>
      </c>
      <c r="C2840" s="2" t="n">
        <v>1</v>
      </c>
      <c r="D2840" s="2" t="s">
        <v>54</v>
      </c>
      <c r="E2840" s="2" t="s">
        <v>3694</v>
      </c>
      <c r="F2840" s="2" t="n">
        <v>0.5</v>
      </c>
      <c r="G2840" s="2" t="n">
        <v>1.5</v>
      </c>
      <c r="H2840" s="2" t="s">
        <v>1689</v>
      </c>
      <c r="I2840" s="2" t="n">
        <v>4</v>
      </c>
    </row>
    <row r="2841" customFormat="false" ht="15" hidden="false" customHeight="false" outlineLevel="0" collapsed="false">
      <c r="A2841" s="2" t="s">
        <v>1654</v>
      </c>
      <c r="B2841" s="2" t="s">
        <v>480</v>
      </c>
      <c r="C2841" s="2" t="n">
        <v>1</v>
      </c>
      <c r="D2841" s="2" t="s">
        <v>54</v>
      </c>
      <c r="E2841" s="2" t="s">
        <v>3695</v>
      </c>
      <c r="F2841" s="2" t="n">
        <v>0.5</v>
      </c>
      <c r="G2841" s="2" t="n">
        <v>1.5</v>
      </c>
      <c r="H2841" s="2" t="s">
        <v>1689</v>
      </c>
      <c r="I2841" s="2" t="n">
        <v>5</v>
      </c>
    </row>
    <row r="2842" customFormat="false" ht="15" hidden="false" customHeight="false" outlineLevel="0" collapsed="false">
      <c r="A2842" s="2" t="s">
        <v>1654</v>
      </c>
      <c r="B2842" s="2" t="s">
        <v>301</v>
      </c>
      <c r="C2842" s="2" t="n">
        <v>1</v>
      </c>
      <c r="D2842" s="2" t="s">
        <v>54</v>
      </c>
      <c r="E2842" s="2" t="s">
        <v>3696</v>
      </c>
      <c r="F2842" s="2" t="n">
        <v>0.5</v>
      </c>
      <c r="G2842" s="2" t="n">
        <v>1.5</v>
      </c>
      <c r="H2842" s="2" t="s">
        <v>1689</v>
      </c>
      <c r="I2842" s="2" t="n">
        <v>6</v>
      </c>
    </row>
    <row r="2843" customFormat="false" ht="15" hidden="false" customHeight="false" outlineLevel="0" collapsed="false">
      <c r="A2843" s="2" t="s">
        <v>1654</v>
      </c>
      <c r="B2843" s="2" t="s">
        <v>446</v>
      </c>
      <c r="C2843" s="2" t="n">
        <v>150</v>
      </c>
      <c r="D2843" s="2" t="s">
        <v>54</v>
      </c>
      <c r="E2843" s="2" t="s">
        <v>3697</v>
      </c>
      <c r="F2843" s="2" t="n">
        <v>75</v>
      </c>
      <c r="G2843" s="2" t="n">
        <v>225</v>
      </c>
      <c r="H2843" s="2" t="s">
        <v>1689</v>
      </c>
      <c r="I2843" s="2" t="n">
        <v>7</v>
      </c>
    </row>
    <row r="2844" customFormat="false" ht="15" hidden="false" customHeight="false" outlineLevel="0" collapsed="false">
      <c r="A2844" s="2" t="s">
        <v>1654</v>
      </c>
      <c r="B2844" s="2" t="s">
        <v>129</v>
      </c>
      <c r="C2844" s="2" t="n">
        <v>7.5</v>
      </c>
      <c r="D2844" s="2" t="s">
        <v>54</v>
      </c>
      <c r="E2844" s="2" t="s">
        <v>3698</v>
      </c>
      <c r="F2844" s="2" t="n">
        <v>3.75</v>
      </c>
      <c r="G2844" s="2" t="n">
        <v>11.25</v>
      </c>
      <c r="H2844" s="2" t="s">
        <v>1700</v>
      </c>
      <c r="I2844" s="2" t="n">
        <v>8</v>
      </c>
    </row>
    <row r="2845" customFormat="false" ht="15" hidden="false" customHeight="false" outlineLevel="0" collapsed="false">
      <c r="A2845" s="2" t="s">
        <v>1654</v>
      </c>
      <c r="B2845" s="2" t="s">
        <v>210</v>
      </c>
      <c r="C2845" s="2" t="n">
        <v>30</v>
      </c>
      <c r="D2845" s="2" t="s">
        <v>54</v>
      </c>
      <c r="E2845" s="2" t="s">
        <v>3699</v>
      </c>
      <c r="F2845" s="2" t="n">
        <v>15</v>
      </c>
      <c r="G2845" s="2" t="n">
        <v>45</v>
      </c>
      <c r="H2845" s="2" t="s">
        <v>1689</v>
      </c>
      <c r="I2845" s="2" t="n">
        <v>9</v>
      </c>
    </row>
    <row r="2846" customFormat="false" ht="15" hidden="false" customHeight="false" outlineLevel="0" collapsed="false">
      <c r="A2846" s="2" t="s">
        <v>1654</v>
      </c>
      <c r="B2846" s="2" t="s">
        <v>251</v>
      </c>
      <c r="C2846" s="2" t="n">
        <v>30</v>
      </c>
      <c r="D2846" s="2" t="s">
        <v>54</v>
      </c>
      <c r="E2846" s="2" t="s">
        <v>3700</v>
      </c>
      <c r="F2846" s="2" t="n">
        <v>15</v>
      </c>
      <c r="G2846" s="2" t="n">
        <v>45</v>
      </c>
      <c r="H2846" s="2" t="s">
        <v>1689</v>
      </c>
      <c r="I2846" s="2" t="n">
        <v>10</v>
      </c>
    </row>
    <row r="2847" customFormat="false" ht="15" hidden="false" customHeight="false" outlineLevel="0" collapsed="false">
      <c r="A2847" s="2" t="s">
        <v>1654</v>
      </c>
      <c r="B2847" s="2" t="s">
        <v>204</v>
      </c>
      <c r="C2847" s="2" t="n">
        <v>5</v>
      </c>
      <c r="D2847" s="2" t="s">
        <v>54</v>
      </c>
      <c r="E2847" s="2" t="s">
        <v>3661</v>
      </c>
      <c r="F2847" s="2" t="n">
        <v>2.5</v>
      </c>
      <c r="G2847" s="2" t="n">
        <v>7.5</v>
      </c>
      <c r="H2847" s="2" t="s">
        <v>1700</v>
      </c>
      <c r="I2847" s="2" t="n">
        <v>11</v>
      </c>
    </row>
    <row r="2848" customFormat="false" ht="15" hidden="false" customHeight="false" outlineLevel="0" collapsed="false">
      <c r="A2848" s="2" t="s">
        <v>1658</v>
      </c>
      <c r="B2848" s="2" t="s">
        <v>612</v>
      </c>
      <c r="C2848" s="2" t="n">
        <v>40</v>
      </c>
      <c r="D2848" s="2" t="s">
        <v>54</v>
      </c>
      <c r="E2848" s="2" t="s">
        <v>3701</v>
      </c>
      <c r="F2848" s="2" t="n">
        <v>20</v>
      </c>
      <c r="G2848" s="2" t="n">
        <v>60</v>
      </c>
      <c r="H2848" s="2" t="s">
        <v>1693</v>
      </c>
      <c r="I2848" s="2" t="n">
        <v>1</v>
      </c>
    </row>
    <row r="2849" customFormat="false" ht="15" hidden="false" customHeight="false" outlineLevel="0" collapsed="false">
      <c r="A2849" s="2" t="s">
        <v>1658</v>
      </c>
      <c r="B2849" s="2" t="s">
        <v>114</v>
      </c>
      <c r="C2849" s="2" t="n">
        <v>2</v>
      </c>
      <c r="D2849" s="2" t="s">
        <v>1687</v>
      </c>
      <c r="E2849" s="2" t="s">
        <v>3702</v>
      </c>
      <c r="F2849" s="2" t="n">
        <v>1</v>
      </c>
      <c r="G2849" s="2" t="n">
        <v>3</v>
      </c>
      <c r="H2849" s="2" t="s">
        <v>1693</v>
      </c>
      <c r="I2849" s="2" t="n">
        <v>2</v>
      </c>
    </row>
    <row r="2850" customFormat="false" ht="15" hidden="false" customHeight="false" outlineLevel="0" collapsed="false">
      <c r="A2850" s="2" t="s">
        <v>1658</v>
      </c>
      <c r="B2850" s="2" t="s">
        <v>110</v>
      </c>
      <c r="C2850" s="2" t="n">
        <v>1</v>
      </c>
      <c r="D2850" s="2" t="s">
        <v>1687</v>
      </c>
      <c r="E2850" s="2" t="s">
        <v>3703</v>
      </c>
      <c r="F2850" s="2"/>
      <c r="G2850" s="2" t="n">
        <v>2</v>
      </c>
      <c r="H2850" s="2" t="s">
        <v>1693</v>
      </c>
      <c r="I2850" s="2" t="n">
        <v>3</v>
      </c>
    </row>
    <row r="2851" customFormat="false" ht="15" hidden="false" customHeight="false" outlineLevel="0" collapsed="false">
      <c r="A2851" s="2" t="s">
        <v>1658</v>
      </c>
      <c r="B2851" s="2" t="s">
        <v>67</v>
      </c>
      <c r="C2851" s="2" t="n">
        <v>45</v>
      </c>
      <c r="D2851" s="2" t="s">
        <v>54</v>
      </c>
      <c r="E2851" s="2" t="s">
        <v>3704</v>
      </c>
      <c r="F2851" s="2" t="n">
        <v>22.5</v>
      </c>
      <c r="G2851" s="2" t="n">
        <v>67.5</v>
      </c>
      <c r="H2851" s="2" t="s">
        <v>1693</v>
      </c>
      <c r="I2851" s="2" t="n">
        <v>4</v>
      </c>
    </row>
    <row r="2852" customFormat="false" ht="15" hidden="false" customHeight="false" outlineLevel="0" collapsed="false">
      <c r="A2852" s="2" t="s">
        <v>1658</v>
      </c>
      <c r="B2852" s="2" t="s">
        <v>208</v>
      </c>
      <c r="C2852" s="2" t="n">
        <v>15</v>
      </c>
      <c r="D2852" s="2" t="s">
        <v>54</v>
      </c>
      <c r="E2852" s="2" t="s">
        <v>3705</v>
      </c>
      <c r="F2852" s="2" t="n">
        <v>7.5</v>
      </c>
      <c r="G2852" s="2" t="n">
        <v>22.5</v>
      </c>
      <c r="H2852" s="2" t="s">
        <v>1689</v>
      </c>
      <c r="I2852" s="2" t="n">
        <v>5</v>
      </c>
    </row>
    <row r="2853" customFormat="false" ht="15" hidden="false" customHeight="false" outlineLevel="0" collapsed="false">
      <c r="A2853" s="2" t="s">
        <v>1658</v>
      </c>
      <c r="B2853" s="2" t="s">
        <v>301</v>
      </c>
      <c r="C2853" s="2" t="n">
        <v>1</v>
      </c>
      <c r="D2853" s="2" t="s">
        <v>54</v>
      </c>
      <c r="E2853" s="2" t="s">
        <v>3706</v>
      </c>
      <c r="F2853" s="2" t="n">
        <v>0.5</v>
      </c>
      <c r="G2853" s="2" t="n">
        <v>1.5</v>
      </c>
      <c r="H2853" s="2" t="s">
        <v>1689</v>
      </c>
      <c r="I2853" s="2" t="n">
        <v>6</v>
      </c>
    </row>
    <row r="2854" customFormat="false" ht="15" hidden="false" customHeight="false" outlineLevel="0" collapsed="false">
      <c r="A2854" s="2" t="s">
        <v>1658</v>
      </c>
      <c r="B2854" s="2" t="s">
        <v>480</v>
      </c>
      <c r="C2854" s="2" t="n">
        <v>1</v>
      </c>
      <c r="D2854" s="2" t="s">
        <v>54</v>
      </c>
      <c r="E2854" s="2" t="s">
        <v>3625</v>
      </c>
      <c r="F2854" s="2" t="n">
        <v>0.5</v>
      </c>
      <c r="G2854" s="2" t="n">
        <v>1.5</v>
      </c>
      <c r="H2854" s="2" t="s">
        <v>1689</v>
      </c>
      <c r="I2854" s="2" t="n">
        <v>7</v>
      </c>
    </row>
    <row r="2855" customFormat="false" ht="15" hidden="false" customHeight="false" outlineLevel="0" collapsed="false">
      <c r="A2855" s="2" t="s">
        <v>1662</v>
      </c>
      <c r="B2855" s="2" t="s">
        <v>221</v>
      </c>
      <c r="C2855" s="2" t="n">
        <v>150</v>
      </c>
      <c r="D2855" s="2" t="s">
        <v>54</v>
      </c>
      <c r="E2855" s="2" t="s">
        <v>3707</v>
      </c>
      <c r="F2855" s="2" t="n">
        <v>75</v>
      </c>
      <c r="G2855" s="2" t="n">
        <v>225</v>
      </c>
      <c r="H2855" s="2" t="s">
        <v>1693</v>
      </c>
      <c r="I2855" s="2" t="n">
        <v>1</v>
      </c>
    </row>
    <row r="2856" customFormat="false" ht="15" hidden="false" customHeight="false" outlineLevel="0" collapsed="false">
      <c r="A2856" s="2" t="s">
        <v>1662</v>
      </c>
      <c r="B2856" s="2" t="s">
        <v>177</v>
      </c>
      <c r="C2856" s="2" t="n">
        <v>90</v>
      </c>
      <c r="D2856" s="2" t="s">
        <v>54</v>
      </c>
      <c r="E2856" s="2" t="s">
        <v>3708</v>
      </c>
      <c r="F2856" s="2" t="n">
        <v>45</v>
      </c>
      <c r="G2856" s="2" t="n">
        <v>135</v>
      </c>
      <c r="H2856" s="2" t="s">
        <v>1689</v>
      </c>
      <c r="I2856" s="2" t="n">
        <v>2</v>
      </c>
    </row>
    <row r="2857" customFormat="false" ht="15" hidden="false" customHeight="false" outlineLevel="0" collapsed="false">
      <c r="A2857" s="2" t="s">
        <v>1662</v>
      </c>
      <c r="B2857" s="2" t="s">
        <v>496</v>
      </c>
      <c r="C2857" s="2" t="n">
        <v>15</v>
      </c>
      <c r="D2857" s="2" t="s">
        <v>76</v>
      </c>
      <c r="E2857" s="2" t="s">
        <v>3709</v>
      </c>
      <c r="F2857" s="2" t="n">
        <v>7.5</v>
      </c>
      <c r="G2857" s="2" t="n">
        <v>22.5</v>
      </c>
      <c r="H2857" s="2" t="s">
        <v>1693</v>
      </c>
      <c r="I2857" s="2" t="n">
        <v>3</v>
      </c>
    </row>
    <row r="2858" customFormat="false" ht="15" hidden="false" customHeight="false" outlineLevel="0" collapsed="false">
      <c r="A2858" s="2" t="s">
        <v>1662</v>
      </c>
      <c r="B2858" s="2" t="s">
        <v>299</v>
      </c>
      <c r="C2858" s="2" t="n">
        <v>1</v>
      </c>
      <c r="D2858" s="2" t="s">
        <v>54</v>
      </c>
      <c r="E2858" s="2" t="s">
        <v>3710</v>
      </c>
      <c r="F2858" s="2"/>
      <c r="G2858" s="2" t="n">
        <v>2</v>
      </c>
      <c r="H2858" s="2" t="s">
        <v>1689</v>
      </c>
      <c r="I2858" s="2" t="n">
        <v>4</v>
      </c>
    </row>
    <row r="2859" customFormat="false" ht="15" hidden="false" customHeight="false" outlineLevel="0" collapsed="false">
      <c r="A2859" s="2" t="s">
        <v>1662</v>
      </c>
      <c r="B2859" s="2" t="s">
        <v>204</v>
      </c>
      <c r="C2859" s="2" t="n">
        <v>15</v>
      </c>
      <c r="D2859" s="2" t="s">
        <v>54</v>
      </c>
      <c r="E2859" s="2" t="s">
        <v>3711</v>
      </c>
      <c r="F2859" s="2" t="n">
        <v>7.5</v>
      </c>
      <c r="G2859" s="2" t="n">
        <v>22.5</v>
      </c>
      <c r="H2859" s="2" t="s">
        <v>1700</v>
      </c>
      <c r="I2859" s="2" t="n">
        <v>5</v>
      </c>
    </row>
    <row r="2860" customFormat="false" ht="15" hidden="false" customHeight="false" outlineLevel="0" collapsed="false">
      <c r="A2860" s="2" t="s">
        <v>1662</v>
      </c>
      <c r="B2860" s="2" t="s">
        <v>210</v>
      </c>
      <c r="C2860" s="2" t="n">
        <v>30</v>
      </c>
      <c r="D2860" s="2" t="s">
        <v>54</v>
      </c>
      <c r="E2860" s="2" t="s">
        <v>3712</v>
      </c>
      <c r="F2860" s="2" t="n">
        <v>15</v>
      </c>
      <c r="G2860" s="2" t="n">
        <v>45</v>
      </c>
      <c r="H2860" s="2" t="s">
        <v>1689</v>
      </c>
      <c r="I2860" s="2" t="n">
        <v>6</v>
      </c>
    </row>
    <row r="2861" customFormat="false" ht="15" hidden="false" customHeight="false" outlineLevel="0" collapsed="false">
      <c r="A2861" s="2" t="s">
        <v>1662</v>
      </c>
      <c r="B2861" s="2" t="s">
        <v>251</v>
      </c>
      <c r="C2861" s="2" t="n">
        <v>30</v>
      </c>
      <c r="D2861" s="2" t="s">
        <v>54</v>
      </c>
      <c r="E2861" s="2" t="s">
        <v>3713</v>
      </c>
      <c r="F2861" s="2" t="n">
        <v>15</v>
      </c>
      <c r="G2861" s="2" t="n">
        <v>45</v>
      </c>
      <c r="H2861" s="2" t="s">
        <v>1689</v>
      </c>
      <c r="I2861" s="2" t="n">
        <v>7</v>
      </c>
    </row>
    <row r="2862" customFormat="false" ht="15" hidden="false" customHeight="false" outlineLevel="0" collapsed="false">
      <c r="A2862" s="2" t="s">
        <v>1662</v>
      </c>
      <c r="B2862" s="2" t="s">
        <v>91</v>
      </c>
      <c r="C2862" s="2" t="n">
        <v>15</v>
      </c>
      <c r="D2862" s="2" t="s">
        <v>54</v>
      </c>
      <c r="E2862" s="2" t="s">
        <v>3714</v>
      </c>
      <c r="F2862" s="2" t="n">
        <v>7.5</v>
      </c>
      <c r="G2862" s="2" t="n">
        <v>22.5</v>
      </c>
      <c r="H2862" s="2" t="s">
        <v>1689</v>
      </c>
      <c r="I2862" s="2" t="n">
        <v>8</v>
      </c>
    </row>
    <row r="2863" customFormat="false" ht="15" hidden="false" customHeight="false" outlineLevel="0" collapsed="false">
      <c r="A2863" s="2" t="s">
        <v>1662</v>
      </c>
      <c r="B2863" s="2" t="s">
        <v>480</v>
      </c>
      <c r="C2863" s="2" t="n">
        <v>1</v>
      </c>
      <c r="D2863" s="2" t="s">
        <v>54</v>
      </c>
      <c r="E2863" s="2" t="s">
        <v>3715</v>
      </c>
      <c r="F2863" s="2" t="n">
        <v>0.5</v>
      </c>
      <c r="G2863" s="2" t="n">
        <v>1.5</v>
      </c>
      <c r="H2863" s="2" t="s">
        <v>1689</v>
      </c>
      <c r="I2863" s="2" t="n">
        <v>9</v>
      </c>
    </row>
    <row r="2864" customFormat="false" ht="15" hidden="false" customHeight="false" outlineLevel="0" collapsed="false">
      <c r="A2864" s="2" t="s">
        <v>1666</v>
      </c>
      <c r="B2864" s="2" t="s">
        <v>532</v>
      </c>
      <c r="C2864" s="2" t="n">
        <v>145</v>
      </c>
      <c r="D2864" s="2" t="s">
        <v>54</v>
      </c>
      <c r="E2864" s="2" t="s">
        <v>3716</v>
      </c>
      <c r="F2864" s="2" t="n">
        <v>72.5</v>
      </c>
      <c r="G2864" s="2" t="n">
        <v>217.5</v>
      </c>
      <c r="H2864" s="2" t="s">
        <v>1693</v>
      </c>
      <c r="I2864" s="2" t="n">
        <v>1</v>
      </c>
    </row>
    <row r="2865" customFormat="false" ht="15" hidden="false" customHeight="false" outlineLevel="0" collapsed="false">
      <c r="A2865" s="2" t="s">
        <v>1666</v>
      </c>
      <c r="B2865" s="2" t="s">
        <v>394</v>
      </c>
      <c r="C2865" s="2" t="n">
        <v>30</v>
      </c>
      <c r="D2865" s="2" t="s">
        <v>54</v>
      </c>
      <c r="E2865" s="2" t="s">
        <v>3717</v>
      </c>
      <c r="F2865" s="2" t="n">
        <v>15</v>
      </c>
      <c r="G2865" s="2" t="n">
        <v>45</v>
      </c>
      <c r="H2865" s="2" t="s">
        <v>1689</v>
      </c>
      <c r="I2865" s="2" t="n">
        <v>2</v>
      </c>
    </row>
    <row r="2866" customFormat="false" ht="15" hidden="false" customHeight="false" outlineLevel="0" collapsed="false">
      <c r="A2866" s="2" t="s">
        <v>1666</v>
      </c>
      <c r="B2866" s="2" t="s">
        <v>67</v>
      </c>
      <c r="C2866" s="2" t="n">
        <v>15</v>
      </c>
      <c r="D2866" s="2" t="s">
        <v>54</v>
      </c>
      <c r="E2866" s="2" t="s">
        <v>3718</v>
      </c>
      <c r="F2866" s="2" t="n">
        <v>7.5</v>
      </c>
      <c r="G2866" s="2" t="n">
        <v>22.5</v>
      </c>
      <c r="H2866" s="2" t="s">
        <v>1693</v>
      </c>
      <c r="I2866" s="2" t="n">
        <v>3</v>
      </c>
    </row>
    <row r="2867" customFormat="false" ht="15" hidden="false" customHeight="false" outlineLevel="0" collapsed="false">
      <c r="A2867" s="2" t="s">
        <v>1666</v>
      </c>
      <c r="B2867" s="2" t="s">
        <v>458</v>
      </c>
      <c r="C2867" s="2" t="n">
        <v>15</v>
      </c>
      <c r="D2867" s="2" t="s">
        <v>54</v>
      </c>
      <c r="E2867" s="2" t="s">
        <v>3719</v>
      </c>
      <c r="F2867" s="2" t="n">
        <v>7.5</v>
      </c>
      <c r="G2867" s="2" t="n">
        <v>22.5</v>
      </c>
      <c r="H2867" s="2" t="s">
        <v>1689</v>
      </c>
      <c r="I2867" s="2" t="n">
        <v>4</v>
      </c>
    </row>
    <row r="2868" customFormat="false" ht="15" hidden="false" customHeight="false" outlineLevel="0" collapsed="false">
      <c r="A2868" s="2" t="s">
        <v>1666</v>
      </c>
      <c r="B2868" s="2" t="s">
        <v>216</v>
      </c>
      <c r="C2868" s="2" t="n">
        <v>15</v>
      </c>
      <c r="D2868" s="2" t="s">
        <v>54</v>
      </c>
      <c r="E2868" s="2" t="s">
        <v>3720</v>
      </c>
      <c r="F2868" s="2" t="n">
        <v>7.5</v>
      </c>
      <c r="G2868" s="2" t="n">
        <v>22.5</v>
      </c>
      <c r="H2868" s="2" t="s">
        <v>1689</v>
      </c>
      <c r="I2868" s="2" t="n">
        <v>5</v>
      </c>
    </row>
    <row r="2869" customFormat="false" ht="15" hidden="false" customHeight="false" outlineLevel="0" collapsed="false">
      <c r="A2869" s="2" t="s">
        <v>1666</v>
      </c>
      <c r="B2869" s="2" t="s">
        <v>301</v>
      </c>
      <c r="C2869" s="2" t="n">
        <v>3</v>
      </c>
      <c r="D2869" s="2" t="s">
        <v>54</v>
      </c>
      <c r="E2869" s="2" t="s">
        <v>3721</v>
      </c>
      <c r="F2869" s="2" t="n">
        <v>1.5</v>
      </c>
      <c r="G2869" s="2" t="n">
        <v>4.5</v>
      </c>
      <c r="H2869" s="2" t="s">
        <v>1689</v>
      </c>
      <c r="I2869" s="2" t="n">
        <v>6</v>
      </c>
    </row>
    <row r="2870" customFormat="false" ht="15" hidden="false" customHeight="false" outlineLevel="0" collapsed="false">
      <c r="A2870" s="2" t="s">
        <v>1666</v>
      </c>
      <c r="B2870" s="2" t="s">
        <v>268</v>
      </c>
      <c r="C2870" s="2" t="n">
        <v>5</v>
      </c>
      <c r="D2870" s="2" t="s">
        <v>54</v>
      </c>
      <c r="E2870" s="2" t="s">
        <v>3722</v>
      </c>
      <c r="F2870" s="2" t="n">
        <v>2.5</v>
      </c>
      <c r="G2870" s="2" t="n">
        <v>7.5</v>
      </c>
      <c r="H2870" s="2" t="s">
        <v>1693</v>
      </c>
      <c r="I2870" s="2" t="n">
        <v>7</v>
      </c>
    </row>
    <row r="2871" customFormat="false" ht="15" hidden="false" customHeight="false" outlineLevel="0" collapsed="false">
      <c r="A2871" s="2" t="s">
        <v>1666</v>
      </c>
      <c r="B2871" s="2" t="s">
        <v>480</v>
      </c>
      <c r="C2871" s="2" t="n">
        <v>1</v>
      </c>
      <c r="D2871" s="2" t="s">
        <v>54</v>
      </c>
      <c r="E2871" s="2" t="s">
        <v>3625</v>
      </c>
      <c r="F2871" s="2" t="n">
        <v>0.5</v>
      </c>
      <c r="G2871" s="2" t="n">
        <v>1.5</v>
      </c>
      <c r="H2871" s="2" t="s">
        <v>1689</v>
      </c>
      <c r="I2871" s="2" t="n">
        <v>8</v>
      </c>
    </row>
    <row r="2872" customFormat="false" ht="15" hidden="false" customHeight="false" outlineLevel="0" collapsed="false">
      <c r="A2872" s="2" t="s">
        <v>1669</v>
      </c>
      <c r="B2872" s="2" t="s">
        <v>363</v>
      </c>
      <c r="C2872" s="2" t="n">
        <v>450</v>
      </c>
      <c r="D2872" s="2" t="s">
        <v>54</v>
      </c>
      <c r="E2872" s="2" t="s">
        <v>3723</v>
      </c>
      <c r="F2872" s="2" t="n">
        <v>225</v>
      </c>
      <c r="G2872" s="2" t="n">
        <v>675</v>
      </c>
      <c r="H2872" s="2" t="s">
        <v>1693</v>
      </c>
      <c r="I2872" s="2" t="n">
        <v>1</v>
      </c>
    </row>
    <row r="2873" customFormat="false" ht="15" hidden="false" customHeight="false" outlineLevel="0" collapsed="false">
      <c r="A2873" s="2" t="s">
        <v>1669</v>
      </c>
      <c r="B2873" s="2" t="s">
        <v>193</v>
      </c>
      <c r="C2873" s="2" t="n">
        <v>30</v>
      </c>
      <c r="D2873" s="2" t="s">
        <v>54</v>
      </c>
      <c r="E2873" s="2" t="s">
        <v>3724</v>
      </c>
      <c r="F2873" s="2" t="n">
        <v>15</v>
      </c>
      <c r="G2873" s="2" t="n">
        <v>45</v>
      </c>
      <c r="H2873" s="2" t="s">
        <v>1689</v>
      </c>
      <c r="I2873" s="2" t="n">
        <v>2</v>
      </c>
    </row>
    <row r="2874" customFormat="false" ht="15" hidden="false" customHeight="false" outlineLevel="0" collapsed="false">
      <c r="A2874" s="2" t="s">
        <v>1669</v>
      </c>
      <c r="B2874" s="2" t="s">
        <v>409</v>
      </c>
      <c r="C2874" s="2" t="n">
        <v>30</v>
      </c>
      <c r="D2874" s="2" t="s">
        <v>54</v>
      </c>
      <c r="E2874" s="2" t="s">
        <v>3725</v>
      </c>
      <c r="F2874" s="2" t="n">
        <v>15</v>
      </c>
      <c r="G2874" s="2" t="n">
        <v>45</v>
      </c>
      <c r="H2874" s="2" t="s">
        <v>1689</v>
      </c>
      <c r="I2874" s="2" t="n">
        <v>3</v>
      </c>
    </row>
    <row r="2875" customFormat="false" ht="15" hidden="false" customHeight="false" outlineLevel="0" collapsed="false">
      <c r="A2875" s="2" t="s">
        <v>1669</v>
      </c>
      <c r="B2875" s="2" t="s">
        <v>301</v>
      </c>
      <c r="C2875" s="2" t="n">
        <v>6</v>
      </c>
      <c r="D2875" s="2" t="s">
        <v>54</v>
      </c>
      <c r="E2875" s="2" t="s">
        <v>3726</v>
      </c>
      <c r="F2875" s="2" t="n">
        <v>3</v>
      </c>
      <c r="G2875" s="2" t="n">
        <v>9</v>
      </c>
      <c r="H2875" s="2" t="s">
        <v>1689</v>
      </c>
      <c r="I2875" s="2" t="n">
        <v>4</v>
      </c>
    </row>
    <row r="2876" customFormat="false" ht="15" hidden="false" customHeight="false" outlineLevel="0" collapsed="false">
      <c r="A2876" s="2" t="s">
        <v>1669</v>
      </c>
      <c r="B2876" s="2" t="s">
        <v>562</v>
      </c>
      <c r="C2876" s="2" t="n">
        <v>22.5</v>
      </c>
      <c r="D2876" s="2" t="s">
        <v>76</v>
      </c>
      <c r="E2876" s="2" t="s">
        <v>3727</v>
      </c>
      <c r="F2876" s="2" t="n">
        <v>11.25</v>
      </c>
      <c r="G2876" s="2" t="n">
        <v>33.75</v>
      </c>
      <c r="H2876" s="2" t="s">
        <v>1689</v>
      </c>
      <c r="I2876" s="2" t="n">
        <v>5</v>
      </c>
    </row>
    <row r="2877" customFormat="false" ht="15" hidden="false" customHeight="false" outlineLevel="0" collapsed="false">
      <c r="A2877" s="2" t="s">
        <v>1669</v>
      </c>
      <c r="B2877" s="2" t="s">
        <v>502</v>
      </c>
      <c r="C2877" s="2" t="n">
        <v>5</v>
      </c>
      <c r="D2877" s="2" t="s">
        <v>54</v>
      </c>
      <c r="E2877" s="2" t="s">
        <v>3728</v>
      </c>
      <c r="F2877" s="2" t="n">
        <v>2.5</v>
      </c>
      <c r="G2877" s="2" t="n">
        <v>7.5</v>
      </c>
      <c r="H2877" s="2" t="s">
        <v>1689</v>
      </c>
      <c r="I2877" s="2" t="n">
        <v>6</v>
      </c>
    </row>
    <row r="2878" customFormat="false" ht="15" hidden="false" customHeight="false" outlineLevel="0" collapsed="false">
      <c r="A2878" s="2" t="s">
        <v>1669</v>
      </c>
      <c r="B2878" s="2" t="s">
        <v>201</v>
      </c>
      <c r="C2878" s="2" t="n">
        <v>4</v>
      </c>
      <c r="D2878" s="2" t="s">
        <v>1687</v>
      </c>
      <c r="E2878" s="2" t="s">
        <v>3729</v>
      </c>
      <c r="F2878" s="2" t="n">
        <v>3</v>
      </c>
      <c r="G2878" s="2" t="n">
        <v>5</v>
      </c>
      <c r="H2878" s="2" t="s">
        <v>1689</v>
      </c>
      <c r="I2878" s="2" t="n">
        <v>7</v>
      </c>
    </row>
    <row r="2879" customFormat="false" ht="15" hidden="false" customHeight="false" outlineLevel="0" collapsed="false">
      <c r="A2879" s="2" t="s">
        <v>1669</v>
      </c>
      <c r="B2879" s="2" t="s">
        <v>524</v>
      </c>
      <c r="C2879" s="2" t="n">
        <v>60</v>
      </c>
      <c r="D2879" s="2" t="s">
        <v>54</v>
      </c>
      <c r="E2879" s="2" t="s">
        <v>3730</v>
      </c>
      <c r="F2879" s="2" t="n">
        <v>30</v>
      </c>
      <c r="G2879" s="2" t="n">
        <v>90</v>
      </c>
      <c r="H2879" s="2" t="s">
        <v>1689</v>
      </c>
      <c r="I2879" s="2" t="n">
        <v>8</v>
      </c>
    </row>
    <row r="2880" customFormat="false" ht="15" hidden="false" customHeight="false" outlineLevel="0" collapsed="false">
      <c r="A2880" s="2" t="s">
        <v>1669</v>
      </c>
      <c r="B2880" s="2" t="s">
        <v>458</v>
      </c>
      <c r="C2880" s="2" t="n">
        <v>40</v>
      </c>
      <c r="D2880" s="2" t="s">
        <v>54</v>
      </c>
      <c r="E2880" s="2" t="s">
        <v>3731</v>
      </c>
      <c r="F2880" s="2" t="n">
        <v>20</v>
      </c>
      <c r="G2880" s="2" t="n">
        <v>60</v>
      </c>
      <c r="H2880" s="2" t="s">
        <v>1689</v>
      </c>
      <c r="I2880" s="2" t="n">
        <v>9</v>
      </c>
    </row>
    <row r="2881" customFormat="false" ht="15" hidden="false" customHeight="false" outlineLevel="0" collapsed="false">
      <c r="A2881" s="2" t="s">
        <v>1669</v>
      </c>
      <c r="B2881" s="2" t="s">
        <v>394</v>
      </c>
      <c r="C2881" s="2" t="n">
        <v>20</v>
      </c>
      <c r="D2881" s="2" t="s">
        <v>54</v>
      </c>
      <c r="E2881" s="2" t="s">
        <v>3732</v>
      </c>
      <c r="F2881" s="2" t="n">
        <v>10</v>
      </c>
      <c r="G2881" s="2" t="n">
        <v>30</v>
      </c>
      <c r="H2881" s="2" t="s">
        <v>1689</v>
      </c>
      <c r="I2881" s="2" t="n">
        <v>10</v>
      </c>
    </row>
    <row r="2882" customFormat="false" ht="15" hidden="false" customHeight="false" outlineLevel="0" collapsed="false">
      <c r="A2882" s="2" t="s">
        <v>1669</v>
      </c>
      <c r="B2882" s="2" t="s">
        <v>526</v>
      </c>
      <c r="C2882" s="2" t="n">
        <v>60</v>
      </c>
      <c r="D2882" s="2" t="s">
        <v>54</v>
      </c>
      <c r="E2882" s="2" t="s">
        <v>3733</v>
      </c>
      <c r="F2882" s="2" t="n">
        <v>30</v>
      </c>
      <c r="G2882" s="2" t="n">
        <v>90</v>
      </c>
      <c r="H2882" s="2" t="s">
        <v>1689</v>
      </c>
      <c r="I2882" s="2" t="n">
        <v>11</v>
      </c>
    </row>
    <row r="2883" customFormat="false" ht="15" hidden="false" customHeight="false" outlineLevel="0" collapsed="false">
      <c r="A2883" s="2" t="s">
        <v>1669</v>
      </c>
      <c r="B2883" s="2" t="s">
        <v>514</v>
      </c>
      <c r="C2883" s="2" t="n">
        <v>800</v>
      </c>
      <c r="D2883" s="2" t="s">
        <v>54</v>
      </c>
      <c r="E2883" s="2" t="s">
        <v>3734</v>
      </c>
      <c r="F2883" s="2" t="n">
        <v>400</v>
      </c>
      <c r="G2883" s="2" t="n">
        <v>1200</v>
      </c>
      <c r="H2883" s="2" t="s">
        <v>1689</v>
      </c>
      <c r="I2883" s="2" t="n">
        <v>12</v>
      </c>
    </row>
    <row r="2884" customFormat="false" ht="15" hidden="false" customHeight="false" outlineLevel="0" collapsed="false">
      <c r="A2884" s="2" t="s">
        <v>1672</v>
      </c>
      <c r="B2884" s="2" t="s">
        <v>623</v>
      </c>
      <c r="C2884" s="2" t="n">
        <v>100</v>
      </c>
      <c r="D2884" s="2" t="s">
        <v>54</v>
      </c>
      <c r="E2884" s="2" t="s">
        <v>3735</v>
      </c>
      <c r="F2884" s="2" t="n">
        <v>50</v>
      </c>
      <c r="G2884" s="2" t="n">
        <v>150</v>
      </c>
      <c r="H2884" s="2" t="s">
        <v>1693</v>
      </c>
      <c r="I2884" s="2" t="n">
        <v>1</v>
      </c>
    </row>
    <row r="2885" customFormat="false" ht="15" hidden="false" customHeight="false" outlineLevel="0" collapsed="false">
      <c r="A2885" s="2" t="s">
        <v>1672</v>
      </c>
      <c r="B2885" s="2" t="s">
        <v>110</v>
      </c>
      <c r="C2885" s="2" t="n">
        <v>2</v>
      </c>
      <c r="D2885" s="2" t="s">
        <v>1687</v>
      </c>
      <c r="E2885" s="2" t="s">
        <v>3736</v>
      </c>
      <c r="F2885" s="2" t="n">
        <v>1</v>
      </c>
      <c r="G2885" s="2" t="n">
        <v>3</v>
      </c>
      <c r="H2885" s="2" t="s">
        <v>1693</v>
      </c>
      <c r="I2885" s="2" t="n">
        <v>2</v>
      </c>
    </row>
    <row r="2886" customFormat="false" ht="15" hidden="false" customHeight="false" outlineLevel="0" collapsed="false">
      <c r="A2886" s="2" t="s">
        <v>1672</v>
      </c>
      <c r="B2886" s="2" t="s">
        <v>600</v>
      </c>
      <c r="C2886" s="2" t="n">
        <v>50</v>
      </c>
      <c r="D2886" s="2" t="s">
        <v>54</v>
      </c>
      <c r="E2886" s="2" t="s">
        <v>3737</v>
      </c>
      <c r="F2886" s="2" t="n">
        <v>25</v>
      </c>
      <c r="G2886" s="2" t="n">
        <v>75</v>
      </c>
      <c r="H2886" s="2" t="s">
        <v>1689</v>
      </c>
      <c r="I2886" s="2" t="n">
        <v>3</v>
      </c>
    </row>
    <row r="2887" customFormat="false" ht="15" hidden="false" customHeight="false" outlineLevel="0" collapsed="false">
      <c r="A2887" s="2" t="s">
        <v>1672</v>
      </c>
      <c r="B2887" s="2" t="s">
        <v>454</v>
      </c>
      <c r="C2887" s="2" t="n">
        <v>100</v>
      </c>
      <c r="D2887" s="2" t="s">
        <v>54</v>
      </c>
      <c r="E2887" s="2" t="s">
        <v>3738</v>
      </c>
      <c r="F2887" s="2" t="n">
        <v>50</v>
      </c>
      <c r="G2887" s="2" t="n">
        <v>150</v>
      </c>
      <c r="H2887" s="2" t="s">
        <v>1689</v>
      </c>
      <c r="I2887" s="2" t="n">
        <v>4</v>
      </c>
    </row>
    <row r="2888" customFormat="false" ht="15" hidden="false" customHeight="false" outlineLevel="0" collapsed="false">
      <c r="A2888" s="2" t="s">
        <v>1672</v>
      </c>
      <c r="B2888" s="2" t="s">
        <v>312</v>
      </c>
      <c r="C2888" s="2" t="n">
        <v>2</v>
      </c>
      <c r="D2888" s="2" t="s">
        <v>1687</v>
      </c>
      <c r="E2888" s="2" t="s">
        <v>3739</v>
      </c>
      <c r="F2888" s="2" t="n">
        <v>1</v>
      </c>
      <c r="G2888" s="2" t="n">
        <v>3</v>
      </c>
      <c r="H2888" s="2" t="s">
        <v>1689</v>
      </c>
      <c r="I2888" s="2" t="n">
        <v>5</v>
      </c>
    </row>
    <row r="2889" customFormat="false" ht="15" hidden="false" customHeight="false" outlineLevel="0" collapsed="false">
      <c r="A2889" s="2" t="s">
        <v>1672</v>
      </c>
      <c r="B2889" s="2" t="s">
        <v>496</v>
      </c>
      <c r="C2889" s="2" t="n">
        <v>30</v>
      </c>
      <c r="D2889" s="2" t="s">
        <v>76</v>
      </c>
      <c r="E2889" s="2" t="s">
        <v>3740</v>
      </c>
      <c r="F2889" s="2" t="n">
        <v>15</v>
      </c>
      <c r="G2889" s="2" t="n">
        <v>45</v>
      </c>
      <c r="H2889" s="2" t="s">
        <v>1693</v>
      </c>
      <c r="I2889" s="2" t="n">
        <v>6</v>
      </c>
    </row>
    <row r="2890" customFormat="false" ht="15" hidden="false" customHeight="false" outlineLevel="0" collapsed="false">
      <c r="A2890" s="2" t="s">
        <v>1672</v>
      </c>
      <c r="B2890" s="2" t="s">
        <v>415</v>
      </c>
      <c r="C2890" s="2" t="n">
        <v>15</v>
      </c>
      <c r="D2890" s="2" t="s">
        <v>54</v>
      </c>
      <c r="E2890" s="2" t="s">
        <v>3741</v>
      </c>
      <c r="F2890" s="2" t="n">
        <v>7.5</v>
      </c>
      <c r="G2890" s="2" t="n">
        <v>22.5</v>
      </c>
      <c r="H2890" s="2" t="s">
        <v>1689</v>
      </c>
      <c r="I2890" s="2" t="n">
        <v>7</v>
      </c>
    </row>
    <row r="2891" customFormat="false" ht="15" hidden="false" customHeight="false" outlineLevel="0" collapsed="false">
      <c r="A2891" s="2" t="s">
        <v>1672</v>
      </c>
      <c r="B2891" s="2" t="s">
        <v>486</v>
      </c>
      <c r="C2891" s="2" t="n">
        <v>15</v>
      </c>
      <c r="D2891" s="2" t="s">
        <v>54</v>
      </c>
      <c r="E2891" s="2" t="s">
        <v>3742</v>
      </c>
      <c r="F2891" s="2" t="n">
        <v>7.5</v>
      </c>
      <c r="G2891" s="2" t="n">
        <v>22.5</v>
      </c>
      <c r="H2891" s="2" t="s">
        <v>1700</v>
      </c>
      <c r="I2891" s="2" t="n">
        <v>8</v>
      </c>
    </row>
    <row r="2892" customFormat="false" ht="15" hidden="false" customHeight="false" outlineLevel="0" collapsed="false">
      <c r="A2892" s="2" t="s">
        <v>1672</v>
      </c>
      <c r="B2892" s="2" t="s">
        <v>129</v>
      </c>
      <c r="C2892" s="2" t="n">
        <v>15</v>
      </c>
      <c r="D2892" s="2" t="s">
        <v>54</v>
      </c>
      <c r="E2892" s="2" t="s">
        <v>3743</v>
      </c>
      <c r="F2892" s="2" t="n">
        <v>7.5</v>
      </c>
      <c r="G2892" s="2" t="n">
        <v>22.5</v>
      </c>
      <c r="H2892" s="2" t="s">
        <v>1700</v>
      </c>
      <c r="I2892" s="2" t="n">
        <v>9</v>
      </c>
    </row>
    <row r="2893" customFormat="false" ht="15" hidden="false" customHeight="false" outlineLevel="0" collapsed="false">
      <c r="A2893" s="2" t="s">
        <v>1672</v>
      </c>
      <c r="B2893" s="2" t="s">
        <v>480</v>
      </c>
      <c r="C2893" s="2" t="n">
        <v>1</v>
      </c>
      <c r="D2893" s="2" t="s">
        <v>54</v>
      </c>
      <c r="E2893" s="2" t="s">
        <v>3625</v>
      </c>
      <c r="F2893" s="2" t="n">
        <v>0.5</v>
      </c>
      <c r="G2893" s="2" t="n">
        <v>1.5</v>
      </c>
      <c r="H2893" s="2" t="s">
        <v>1689</v>
      </c>
      <c r="I2893" s="2" t="n">
        <v>10</v>
      </c>
    </row>
    <row r="2894" customFormat="false" ht="15" hidden="false" customHeight="false" outlineLevel="0" collapsed="false">
      <c r="A2894" s="2" t="s">
        <v>1672</v>
      </c>
      <c r="B2894" s="2" t="s">
        <v>271</v>
      </c>
      <c r="C2894" s="2" t="n">
        <v>1</v>
      </c>
      <c r="D2894" s="2" t="s">
        <v>54</v>
      </c>
      <c r="E2894" s="2" t="s">
        <v>3744</v>
      </c>
      <c r="F2894" s="2" t="n">
        <v>0.5</v>
      </c>
      <c r="G2894" s="2" t="n">
        <v>1.5</v>
      </c>
      <c r="H2894" s="2" t="s">
        <v>1689</v>
      </c>
      <c r="I2894" s="2" t="n">
        <v>11</v>
      </c>
    </row>
    <row r="2895" customFormat="false" ht="15" hidden="false" customHeight="false" outlineLevel="0" collapsed="false">
      <c r="A2895" s="2" t="s">
        <v>1675</v>
      </c>
      <c r="B2895" s="2" t="s">
        <v>110</v>
      </c>
      <c r="C2895" s="2" t="n">
        <v>2</v>
      </c>
      <c r="D2895" s="2" t="s">
        <v>1687</v>
      </c>
      <c r="E2895" s="2" t="s">
        <v>1720</v>
      </c>
      <c r="F2895" s="2" t="n">
        <v>1</v>
      </c>
      <c r="G2895" s="2" t="n">
        <v>3</v>
      </c>
      <c r="H2895" s="2" t="s">
        <v>1693</v>
      </c>
      <c r="I2895" s="2" t="n">
        <v>1</v>
      </c>
    </row>
    <row r="2896" customFormat="false" ht="15" hidden="false" customHeight="false" outlineLevel="0" collapsed="false">
      <c r="A2896" s="2" t="s">
        <v>1675</v>
      </c>
      <c r="B2896" s="2" t="s">
        <v>52</v>
      </c>
      <c r="C2896" s="2" t="n">
        <v>1</v>
      </c>
      <c r="D2896" s="2" t="s">
        <v>1687</v>
      </c>
      <c r="E2896" s="2" t="s">
        <v>1809</v>
      </c>
      <c r="F2896" s="2"/>
      <c r="G2896" s="2" t="n">
        <v>2</v>
      </c>
      <c r="H2896" s="2" t="s">
        <v>1689</v>
      </c>
      <c r="I2896" s="2" t="n">
        <v>2</v>
      </c>
    </row>
    <row r="2897" customFormat="false" ht="15" hidden="false" customHeight="false" outlineLevel="0" collapsed="false">
      <c r="A2897" s="2" t="s">
        <v>1675</v>
      </c>
      <c r="B2897" s="2" t="s">
        <v>71</v>
      </c>
      <c r="C2897" s="2" t="n">
        <v>30</v>
      </c>
      <c r="D2897" s="2" t="s">
        <v>54</v>
      </c>
      <c r="E2897" s="2" t="s">
        <v>3745</v>
      </c>
      <c r="F2897" s="2" t="n">
        <v>15</v>
      </c>
      <c r="G2897" s="2" t="n">
        <v>45</v>
      </c>
      <c r="H2897" s="2" t="s">
        <v>1693</v>
      </c>
      <c r="I2897" s="2" t="n">
        <v>3</v>
      </c>
    </row>
    <row r="2898" customFormat="false" ht="15" hidden="false" customHeight="false" outlineLevel="0" collapsed="false">
      <c r="A2898" s="2" t="s">
        <v>1675</v>
      </c>
      <c r="B2898" s="2" t="s">
        <v>392</v>
      </c>
      <c r="C2898" s="2" t="n">
        <v>30</v>
      </c>
      <c r="D2898" s="2" t="s">
        <v>54</v>
      </c>
      <c r="E2898" s="2" t="s">
        <v>3746</v>
      </c>
      <c r="F2898" s="2" t="n">
        <v>15</v>
      </c>
      <c r="G2898" s="2" t="n">
        <v>45</v>
      </c>
      <c r="H2898" s="2" t="s">
        <v>1689</v>
      </c>
      <c r="I2898" s="2" t="n">
        <v>4</v>
      </c>
    </row>
    <row r="2899" customFormat="false" ht="15" hidden="false" customHeight="false" outlineLevel="0" collapsed="false">
      <c r="A2899" s="2" t="s">
        <v>1675</v>
      </c>
      <c r="B2899" s="2" t="s">
        <v>67</v>
      </c>
      <c r="C2899" s="2" t="n">
        <v>30</v>
      </c>
      <c r="D2899" s="2" t="s">
        <v>54</v>
      </c>
      <c r="E2899" s="2" t="s">
        <v>3747</v>
      </c>
      <c r="F2899" s="2" t="n">
        <v>15</v>
      </c>
      <c r="G2899" s="2" t="n">
        <v>45</v>
      </c>
      <c r="H2899" s="2" t="s">
        <v>1693</v>
      </c>
      <c r="I2899" s="2" t="n">
        <v>5</v>
      </c>
    </row>
    <row r="2900" customFormat="false" ht="15" hidden="false" customHeight="false" outlineLevel="0" collapsed="false">
      <c r="A2900" s="2" t="s">
        <v>1675</v>
      </c>
      <c r="B2900" s="2" t="s">
        <v>234</v>
      </c>
      <c r="C2900" s="2" t="n">
        <v>5</v>
      </c>
      <c r="D2900" s="2" t="s">
        <v>54</v>
      </c>
      <c r="E2900" s="2" t="s">
        <v>3748</v>
      </c>
      <c r="F2900" s="2" t="n">
        <v>2.5</v>
      </c>
      <c r="G2900" s="2" t="n">
        <v>7.5</v>
      </c>
      <c r="H2900" s="2" t="s">
        <v>1700</v>
      </c>
      <c r="I2900" s="2" t="n">
        <v>6</v>
      </c>
    </row>
    <row r="2901" customFormat="false" ht="15" hidden="false" customHeight="false" outlineLevel="0" collapsed="false">
      <c r="A2901" s="2" t="s">
        <v>1572</v>
      </c>
      <c r="B2901" s="2" t="s">
        <v>74</v>
      </c>
      <c r="C2901" s="2" t="n">
        <v>150</v>
      </c>
      <c r="D2901" s="2" t="s">
        <v>76</v>
      </c>
      <c r="E2901" s="2" t="s">
        <v>1841</v>
      </c>
      <c r="F2901" s="2" t="n">
        <v>75</v>
      </c>
      <c r="G2901" s="2" t="n">
        <v>225</v>
      </c>
      <c r="H2901" s="2" t="s">
        <v>1689</v>
      </c>
      <c r="I2901" s="2" t="n">
        <v>8</v>
      </c>
    </row>
    <row r="2902" customFormat="false" ht="15" hidden="false" customHeight="false" outlineLevel="0" collapsed="false">
      <c r="A2902" s="2" t="s">
        <v>1572</v>
      </c>
      <c r="B2902" s="2" t="s">
        <v>71</v>
      </c>
      <c r="C2902" s="2" t="n">
        <v>30</v>
      </c>
      <c r="D2902" s="2" t="s">
        <v>54</v>
      </c>
      <c r="E2902" s="2" t="s">
        <v>3749</v>
      </c>
      <c r="F2902" s="2" t="n">
        <v>15</v>
      </c>
      <c r="G2902" s="2" t="n">
        <v>45</v>
      </c>
      <c r="H2902" s="2" t="s">
        <v>1693</v>
      </c>
      <c r="I2902" s="2"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3"/>
    <col collapsed="false" customWidth="true" hidden="false" outlineLevel="0" max="4" min="4" style="0" width="9"/>
    <col collapsed="false" customWidth="true" hidden="false" outlineLevel="0" max="5" min="5" style="0" width="14"/>
    <col collapsed="false" customWidth="true" hidden="false" outlineLevel="0" max="6" min="6" style="0" width="20"/>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10"/>
    <col collapsed="false" customWidth="true" hidden="false" outlineLevel="0" max="11" min="11" style="0" width="9"/>
    <col collapsed="false" customWidth="true" hidden="false" outlineLevel="0" max="12" min="12" style="0" width="17"/>
    <col collapsed="false" customWidth="true" hidden="false" outlineLevel="0" max="13" min="13" style="0" width="40"/>
    <col collapsed="false" customWidth="true" hidden="false" outlineLevel="0" max="14" min="14" style="0" width="26"/>
    <col collapsed="false" customWidth="true" hidden="false" outlineLevel="0" max="15" min="15" style="0" width="30"/>
  </cols>
  <sheetData>
    <row r="1" customFormat="false" ht="26.85" hidden="false" customHeight="false" outlineLevel="0" collapsed="false">
      <c r="A1" s="7" t="s">
        <v>37</v>
      </c>
      <c r="B1" s="7" t="s">
        <v>3750</v>
      </c>
      <c r="C1" s="7" t="s">
        <v>3751</v>
      </c>
      <c r="D1" s="7" t="s">
        <v>3752</v>
      </c>
      <c r="E1" s="7" t="s">
        <v>3753</v>
      </c>
      <c r="F1" s="7" t="s">
        <v>3754</v>
      </c>
      <c r="G1" s="7" t="s">
        <v>3755</v>
      </c>
      <c r="H1" s="7" t="s">
        <v>3756</v>
      </c>
      <c r="I1" s="7" t="s">
        <v>3757</v>
      </c>
      <c r="J1" s="7" t="s">
        <v>3758</v>
      </c>
      <c r="K1" s="7" t="s">
        <v>3759</v>
      </c>
      <c r="L1" s="7" t="s">
        <v>3760</v>
      </c>
      <c r="M1" s="7" t="s">
        <v>3761</v>
      </c>
      <c r="N1" s="7" t="s">
        <v>3762</v>
      </c>
      <c r="O1" s="7" t="s">
        <v>3763</v>
      </c>
    </row>
    <row r="2" customFormat="false" ht="15" hidden="false" customHeight="false" outlineLevel="0" collapsed="false">
      <c r="A2" s="2" t="s">
        <v>751</v>
      </c>
      <c r="B2" s="2" t="s">
        <v>752</v>
      </c>
      <c r="C2" s="2" t="s">
        <v>736</v>
      </c>
      <c r="D2" s="2" t="n">
        <v>1</v>
      </c>
      <c r="E2" s="8" t="n">
        <v>592</v>
      </c>
      <c r="F2" s="8" t="n">
        <v>1069.5</v>
      </c>
      <c r="G2" s="8" t="n">
        <f aca="false">IF(E2="","",F2-E2)</f>
        <v>477.5</v>
      </c>
      <c r="H2" s="9" t="n">
        <f aca="false">IF(E2="","",(F2-E2)/E2)</f>
        <v>0.806587837837838</v>
      </c>
      <c r="I2" s="2" t="n">
        <v>53.5</v>
      </c>
      <c r="J2" s="2" t="n">
        <v>148.3</v>
      </c>
      <c r="K2" s="2" t="n">
        <v>29.1</v>
      </c>
      <c r="L2" s="2" t="str">
        <f aca="false">IF(E2="","no published figure",IF(ABS(H2)&gt;0.25,"1 - check first",IF(ABS(H2)&gt;0.15,"2 - check","3 - close enough")))</f>
        <v>1 - check first</v>
      </c>
      <c r="M2" s="2" t="s">
        <v>754</v>
      </c>
      <c r="N2" s="10"/>
      <c r="O2" s="10"/>
    </row>
    <row r="3" customFormat="false" ht="15" hidden="false" customHeight="false" outlineLevel="0" collapsed="false">
      <c r="A3" s="2" t="s">
        <v>758</v>
      </c>
      <c r="B3" s="2" t="s">
        <v>759</v>
      </c>
      <c r="C3" s="2" t="s">
        <v>736</v>
      </c>
      <c r="D3" s="2" t="n">
        <v>1</v>
      </c>
      <c r="E3" s="8" t="n">
        <v>784</v>
      </c>
      <c r="F3" s="8" t="n">
        <v>1261.7</v>
      </c>
      <c r="G3" s="8" t="n">
        <f aca="false">IF(E3="","",F3-E3)</f>
        <v>477.7</v>
      </c>
      <c r="H3" s="9" t="n">
        <f aca="false">IF(E3="","",(F3-E3)/E3)</f>
        <v>0.609311224489796</v>
      </c>
      <c r="I3" s="2" t="n">
        <v>139.4</v>
      </c>
      <c r="J3" s="2" t="n">
        <v>117.9</v>
      </c>
      <c r="K3" s="2" t="n">
        <v>25.8</v>
      </c>
      <c r="L3" s="2" t="str">
        <f aca="false">IF(E3="","no published figure",IF(ABS(H3)&gt;0.25,"1 - check first",IF(ABS(H3)&gt;0.15,"2 - check","3 - close enough")))</f>
        <v>1 - check first</v>
      </c>
      <c r="M3" s="2" t="s">
        <v>761</v>
      </c>
      <c r="N3" s="10"/>
      <c r="O3" s="10"/>
    </row>
    <row r="4" customFormat="false" ht="15" hidden="false" customHeight="false" outlineLevel="0" collapsed="false">
      <c r="A4" s="2" t="s">
        <v>741</v>
      </c>
      <c r="B4" s="2" t="s">
        <v>742</v>
      </c>
      <c r="C4" s="2" t="s">
        <v>736</v>
      </c>
      <c r="D4" s="2" t="n">
        <v>2</v>
      </c>
      <c r="E4" s="8" t="n">
        <v>660</v>
      </c>
      <c r="F4" s="8" t="n">
        <v>292.2</v>
      </c>
      <c r="G4" s="8" t="n">
        <f aca="false">IF(E4="","",F4-E4)</f>
        <v>-367.8</v>
      </c>
      <c r="H4" s="9" t="n">
        <f aca="false">IF(E4="","",(F4-E4)/E4)</f>
        <v>-0.557272727272727</v>
      </c>
      <c r="I4" s="2" t="n">
        <v>39.4</v>
      </c>
      <c r="J4" s="2" t="n">
        <v>22.3</v>
      </c>
      <c r="K4" s="2" t="n">
        <v>5.1</v>
      </c>
      <c r="L4" s="2" t="str">
        <f aca="false">IF(E4="","no published figure",IF(ABS(H4)&gt;0.25,"1 - check first",IF(ABS(H4)&gt;0.15,"2 - check","3 - close enough")))</f>
        <v>1 - check first</v>
      </c>
      <c r="M4" s="2" t="s">
        <v>744</v>
      </c>
      <c r="N4" s="10"/>
      <c r="O4" s="10"/>
    </row>
    <row r="5" customFormat="false" ht="15" hidden="false" customHeight="false" outlineLevel="0" collapsed="false">
      <c r="A5" s="2" t="s">
        <v>825</v>
      </c>
      <c r="B5" s="2" t="s">
        <v>826</v>
      </c>
      <c r="C5" s="2" t="s">
        <v>736</v>
      </c>
      <c r="D5" s="2" t="n">
        <v>1</v>
      </c>
      <c r="E5" s="8" t="n">
        <v>863</v>
      </c>
      <c r="F5" s="8" t="n">
        <v>1323.2</v>
      </c>
      <c r="G5" s="8" t="n">
        <f aca="false">IF(E5="","",F5-E5)</f>
        <v>460.2</v>
      </c>
      <c r="H5" s="9" t="n">
        <f aca="false">IF(E5="","",(F5-E5)/E5)</f>
        <v>0.533256083429896</v>
      </c>
      <c r="I5" s="2" t="n">
        <v>74.8</v>
      </c>
      <c r="J5" s="2" t="n">
        <v>175.8</v>
      </c>
      <c r="K5" s="2" t="n">
        <v>35.6</v>
      </c>
      <c r="L5" s="2" t="str">
        <f aca="false">IF(E5="","no published figure",IF(ABS(H5)&gt;0.25,"1 - check first",IF(ABS(H5)&gt;0.15,"2 - check","3 - close enough")))</f>
        <v>1 - check first</v>
      </c>
      <c r="M5" s="2" t="s">
        <v>828</v>
      </c>
      <c r="N5" s="10"/>
      <c r="O5" s="10"/>
    </row>
    <row r="6" customFormat="false" ht="15" hidden="false" customHeight="false" outlineLevel="0" collapsed="false">
      <c r="A6" s="2" t="s">
        <v>1315</v>
      </c>
      <c r="B6" s="2" t="s">
        <v>1316</v>
      </c>
      <c r="C6" s="2" t="s">
        <v>736</v>
      </c>
      <c r="D6" s="2" t="n">
        <v>1</v>
      </c>
      <c r="E6" s="8" t="n">
        <v>60</v>
      </c>
      <c r="F6" s="8" t="n">
        <v>89.1</v>
      </c>
      <c r="G6" s="8" t="n">
        <f aca="false">IF(E6="","",F6-E6)</f>
        <v>29.1</v>
      </c>
      <c r="H6" s="9" t="n">
        <f aca="false">IF(E6="","",(F6-E6)/E6)</f>
        <v>0.485</v>
      </c>
      <c r="I6" s="2" t="n">
        <v>7.1</v>
      </c>
      <c r="J6" s="2" t="n">
        <v>7.3</v>
      </c>
      <c r="K6" s="2" t="n">
        <v>3.5</v>
      </c>
      <c r="L6" s="2" t="str">
        <f aca="false">IF(E6="","no published figure",IF(ABS(H6)&gt;0.25,"1 - check first",IF(ABS(H6)&gt;0.15,"2 - check","3 - close enough")))</f>
        <v>1 - check first</v>
      </c>
      <c r="M6" s="2"/>
      <c r="N6" s="10"/>
      <c r="O6" s="10"/>
    </row>
    <row r="7" customFormat="false" ht="15" hidden="false" customHeight="false" outlineLevel="0" collapsed="false">
      <c r="A7" s="2" t="s">
        <v>1584</v>
      </c>
      <c r="B7" s="2" t="s">
        <v>1585</v>
      </c>
      <c r="C7" s="2" t="s">
        <v>648</v>
      </c>
      <c r="D7" s="2" t="n">
        <v>1</v>
      </c>
      <c r="E7" s="8" t="n">
        <v>494</v>
      </c>
      <c r="F7" s="8" t="n">
        <v>275.5</v>
      </c>
      <c r="G7" s="8" t="n">
        <f aca="false">IF(E7="","",F7-E7)</f>
        <v>-218.5</v>
      </c>
      <c r="H7" s="9" t="n">
        <f aca="false">IF(E7="","",(F7-E7)/E7)</f>
        <v>-0.442307692307692</v>
      </c>
      <c r="I7" s="2" t="n">
        <v>32.8</v>
      </c>
      <c r="J7" s="2" t="n">
        <v>25.5</v>
      </c>
      <c r="K7" s="2" t="n">
        <v>4.7</v>
      </c>
      <c r="L7" s="2" t="str">
        <f aca="false">IF(E7="","no published figure",IF(ABS(H7)&gt;0.25,"1 - check first",IF(ABS(H7)&gt;0.15,"2 - check","3 - close enough")))</f>
        <v>1 - check first</v>
      </c>
      <c r="M7" s="2"/>
      <c r="N7" s="10"/>
      <c r="O7" s="10"/>
    </row>
    <row r="8" customFormat="false" ht="15" hidden="false" customHeight="false" outlineLevel="0" collapsed="false">
      <c r="A8" s="2" t="s">
        <v>1473</v>
      </c>
      <c r="B8" s="2" t="s">
        <v>1474</v>
      </c>
      <c r="C8" s="2" t="s">
        <v>736</v>
      </c>
      <c r="D8" s="2" t="n">
        <v>1</v>
      </c>
      <c r="E8" s="8" t="n">
        <v>633</v>
      </c>
      <c r="F8" s="8" t="n">
        <v>891.9</v>
      </c>
      <c r="G8" s="8" t="n">
        <f aca="false">IF(E8="","",F8-E8)</f>
        <v>258.9</v>
      </c>
      <c r="H8" s="9" t="n">
        <f aca="false">IF(E8="","",(F8-E8)/E8)</f>
        <v>0.409004739336493</v>
      </c>
      <c r="I8" s="2" t="n">
        <v>55.4</v>
      </c>
      <c r="J8" s="2" t="n">
        <v>103</v>
      </c>
      <c r="K8" s="2" t="n">
        <v>28.7</v>
      </c>
      <c r="L8" s="2" t="str">
        <f aca="false">IF(E8="","no published figure",IF(ABS(H8)&gt;0.25,"1 - check first",IF(ABS(H8)&gt;0.15,"2 - check","3 - close enough")))</f>
        <v>1 - check first</v>
      </c>
      <c r="M8" s="2"/>
      <c r="N8" s="10"/>
      <c r="O8" s="10"/>
    </row>
    <row r="9" customFormat="false" ht="15" hidden="false" customHeight="false" outlineLevel="0" collapsed="false">
      <c r="A9" s="2" t="s">
        <v>765</v>
      </c>
      <c r="B9" s="2" t="s">
        <v>766</v>
      </c>
      <c r="C9" s="2" t="s">
        <v>736</v>
      </c>
      <c r="D9" s="2" t="n">
        <v>1</v>
      </c>
      <c r="E9" s="8" t="n">
        <v>763</v>
      </c>
      <c r="F9" s="8" t="n">
        <v>1069.1</v>
      </c>
      <c r="G9" s="8" t="n">
        <f aca="false">IF(E9="","",F9-E9)</f>
        <v>306.1</v>
      </c>
      <c r="H9" s="9" t="n">
        <f aca="false">IF(E9="","",(F9-E9)/E9)</f>
        <v>0.401179554390563</v>
      </c>
      <c r="I9" s="2" t="n">
        <v>75.1</v>
      </c>
      <c r="J9" s="2" t="n">
        <v>94.9</v>
      </c>
      <c r="K9" s="2" t="n">
        <v>43.2</v>
      </c>
      <c r="L9" s="2" t="str">
        <f aca="false">IF(E9="","no published figure",IF(ABS(H9)&gt;0.25,"1 - check first",IF(ABS(H9)&gt;0.15,"2 - check","3 - close enough")))</f>
        <v>1 - check first</v>
      </c>
      <c r="M9" s="2"/>
      <c r="N9" s="10"/>
      <c r="O9" s="10"/>
    </row>
    <row r="10" customFormat="false" ht="15" hidden="false" customHeight="false" outlineLevel="0" collapsed="false">
      <c r="A10" s="2" t="s">
        <v>886</v>
      </c>
      <c r="B10" s="2" t="s">
        <v>887</v>
      </c>
      <c r="C10" s="2" t="s">
        <v>888</v>
      </c>
      <c r="D10" s="2" t="n">
        <v>1</v>
      </c>
      <c r="E10" s="8" t="n">
        <v>460</v>
      </c>
      <c r="F10" s="8" t="n">
        <v>642.2</v>
      </c>
      <c r="G10" s="8" t="n">
        <f aca="false">IF(E10="","",F10-E10)</f>
        <v>182.2</v>
      </c>
      <c r="H10" s="9" t="n">
        <f aca="false">IF(E10="","",(F10-E10)/E10)</f>
        <v>0.396086956521739</v>
      </c>
      <c r="I10" s="2" t="n">
        <v>55.6</v>
      </c>
      <c r="J10" s="2" t="n">
        <v>46.1</v>
      </c>
      <c r="K10" s="2" t="n">
        <v>26.2</v>
      </c>
      <c r="L10" s="2" t="str">
        <f aca="false">IF(E10="","no published figure",IF(ABS(H10)&gt;0.25,"1 - check first",IF(ABS(H10)&gt;0.15,"2 - check","3 - close enough")))</f>
        <v>1 - check first</v>
      </c>
      <c r="M10" s="2"/>
      <c r="N10" s="10"/>
      <c r="O10" s="10"/>
    </row>
    <row r="11" customFormat="false" ht="15" hidden="false" customHeight="false" outlineLevel="0" collapsed="false">
      <c r="A11" s="2" t="s">
        <v>1327</v>
      </c>
      <c r="B11" s="2" t="s">
        <v>1328</v>
      </c>
      <c r="C11" s="2" t="s">
        <v>736</v>
      </c>
      <c r="D11" s="2" t="n">
        <v>1</v>
      </c>
      <c r="E11" s="8" t="n">
        <v>35</v>
      </c>
      <c r="F11" s="8" t="n">
        <v>48.6</v>
      </c>
      <c r="G11" s="8" t="n">
        <f aca="false">IF(E11="","",F11-E11)</f>
        <v>13.6</v>
      </c>
      <c r="H11" s="9" t="n">
        <f aca="false">IF(E11="","",(F11-E11)/E11)</f>
        <v>0.388571428571429</v>
      </c>
      <c r="I11" s="2" t="n">
        <v>1.9</v>
      </c>
      <c r="J11" s="2" t="n">
        <v>9.2</v>
      </c>
      <c r="K11" s="2" t="n">
        <v>0.5</v>
      </c>
      <c r="L11" s="2" t="str">
        <f aca="false">IF(E11="","no published figure",IF(ABS(H11)&gt;0.25,"1 - check first",IF(ABS(H11)&gt;0.15,"2 - check","3 - close enough")))</f>
        <v>1 - check first</v>
      </c>
      <c r="M11" s="2"/>
      <c r="N11" s="10"/>
      <c r="O11" s="10"/>
    </row>
    <row r="12" customFormat="false" ht="15" hidden="false" customHeight="false" outlineLevel="0" collapsed="false">
      <c r="A12" s="2" t="s">
        <v>1375</v>
      </c>
      <c r="B12" s="2" t="s">
        <v>1376</v>
      </c>
      <c r="C12" s="2" t="s">
        <v>736</v>
      </c>
      <c r="D12" s="2" t="n">
        <v>1</v>
      </c>
      <c r="E12" s="8" t="n">
        <v>497</v>
      </c>
      <c r="F12" s="8" t="n">
        <v>681.4</v>
      </c>
      <c r="G12" s="8" t="n">
        <f aca="false">IF(E12="","",F12-E12)</f>
        <v>184.4</v>
      </c>
      <c r="H12" s="9" t="n">
        <f aca="false">IF(E12="","",(F12-E12)/E12)</f>
        <v>0.37102615694165</v>
      </c>
      <c r="I12" s="2" t="n">
        <v>38.4</v>
      </c>
      <c r="J12" s="2" t="n">
        <v>73.3</v>
      </c>
      <c r="K12" s="2" t="n">
        <v>26.1</v>
      </c>
      <c r="L12" s="2" t="str">
        <f aca="false">IF(E12="","no published figure",IF(ABS(H12)&gt;0.25,"1 - check first",IF(ABS(H12)&gt;0.15,"2 - check","3 - close enough")))</f>
        <v>1 - check first</v>
      </c>
      <c r="M12" s="2"/>
      <c r="N12" s="10"/>
      <c r="O12" s="10"/>
    </row>
    <row r="13" customFormat="false" ht="15" hidden="false" customHeight="false" outlineLevel="0" collapsed="false">
      <c r="A13" s="2" t="s">
        <v>948</v>
      </c>
      <c r="B13" s="2" t="s">
        <v>949</v>
      </c>
      <c r="C13" s="2" t="s">
        <v>736</v>
      </c>
      <c r="D13" s="2" t="n">
        <v>1</v>
      </c>
      <c r="E13" s="8" t="n">
        <v>465</v>
      </c>
      <c r="F13" s="8" t="n">
        <v>632.5</v>
      </c>
      <c r="G13" s="8" t="n">
        <f aca="false">IF(E13="","",F13-E13)</f>
        <v>167.5</v>
      </c>
      <c r="H13" s="9" t="n">
        <f aca="false">IF(E13="","",(F13-E13)/E13)</f>
        <v>0.360215053763441</v>
      </c>
      <c r="I13" s="2" t="n">
        <v>55.3</v>
      </c>
      <c r="J13" s="2" t="n">
        <v>83.2</v>
      </c>
      <c r="K13" s="2" t="n">
        <v>8.8</v>
      </c>
      <c r="L13" s="2" t="str">
        <f aca="false">IF(E13="","no published figure",IF(ABS(H13)&gt;0.25,"1 - check first",IF(ABS(H13)&gt;0.15,"2 - check","3 - close enough")))</f>
        <v>1 - check first</v>
      </c>
      <c r="M13" s="2"/>
      <c r="N13" s="10"/>
      <c r="O13" s="10"/>
    </row>
    <row r="14" customFormat="false" ht="15" hidden="false" customHeight="false" outlineLevel="0" collapsed="false">
      <c r="A14" s="2" t="s">
        <v>745</v>
      </c>
      <c r="B14" s="2" t="s">
        <v>746</v>
      </c>
      <c r="C14" s="2" t="s">
        <v>736</v>
      </c>
      <c r="D14" s="2" t="n">
        <v>1</v>
      </c>
      <c r="E14" s="8" t="n">
        <v>501</v>
      </c>
      <c r="F14" s="8" t="n">
        <v>681.2</v>
      </c>
      <c r="G14" s="8" t="n">
        <f aca="false">IF(E14="","",F14-E14)</f>
        <v>180.2</v>
      </c>
      <c r="H14" s="9" t="n">
        <f aca="false">IF(E14="","",(F14-E14)/E14)</f>
        <v>0.359680638722555</v>
      </c>
      <c r="I14" s="2" t="n">
        <v>43.7</v>
      </c>
      <c r="J14" s="2" t="n">
        <v>78.1</v>
      </c>
      <c r="K14" s="2" t="n">
        <v>21.6</v>
      </c>
      <c r="L14" s="2" t="str">
        <f aca="false">IF(E14="","no published figure",IF(ABS(H14)&gt;0.25,"1 - check first",IF(ABS(H14)&gt;0.15,"2 - check","3 - close enough")))</f>
        <v>1 - check first</v>
      </c>
      <c r="M14" s="2"/>
      <c r="N14" s="10"/>
      <c r="O14" s="10"/>
    </row>
    <row r="15" customFormat="false" ht="15" hidden="false" customHeight="false" outlineLevel="0" collapsed="false">
      <c r="A15" s="2" t="s">
        <v>1067</v>
      </c>
      <c r="B15" s="2" t="s">
        <v>1068</v>
      </c>
      <c r="C15" s="2" t="s">
        <v>736</v>
      </c>
      <c r="D15" s="2" t="n">
        <v>1</v>
      </c>
      <c r="E15" s="8" t="n">
        <v>505</v>
      </c>
      <c r="F15" s="8" t="n">
        <v>683.2</v>
      </c>
      <c r="G15" s="8" t="n">
        <f aca="false">IF(E15="","",F15-E15)</f>
        <v>178.2</v>
      </c>
      <c r="H15" s="9" t="n">
        <f aca="false">IF(E15="","",(F15-E15)/E15)</f>
        <v>0.352871287128713</v>
      </c>
      <c r="I15" s="2" t="n">
        <v>51</v>
      </c>
      <c r="J15" s="2" t="n">
        <v>72</v>
      </c>
      <c r="K15" s="2" t="n">
        <v>21.3</v>
      </c>
      <c r="L15" s="2" t="str">
        <f aca="false">IF(E15="","no published figure",IF(ABS(H15)&gt;0.25,"1 - check first",IF(ABS(H15)&gt;0.15,"2 - check","3 - close enough")))</f>
        <v>1 - check first</v>
      </c>
      <c r="M15" s="2"/>
      <c r="N15" s="10"/>
      <c r="O15" s="10"/>
    </row>
    <row r="16" customFormat="false" ht="15" hidden="false" customHeight="false" outlineLevel="0" collapsed="false">
      <c r="A16" s="2" t="s">
        <v>917</v>
      </c>
      <c r="B16" s="2" t="s">
        <v>918</v>
      </c>
      <c r="C16" s="2" t="s">
        <v>736</v>
      </c>
      <c r="D16" s="2" t="n">
        <v>1</v>
      </c>
      <c r="E16" s="8" t="n">
        <v>325</v>
      </c>
      <c r="F16" s="8" t="n">
        <v>437.7</v>
      </c>
      <c r="G16" s="8" t="n">
        <f aca="false">IF(E16="","",F16-E16)</f>
        <v>112.7</v>
      </c>
      <c r="H16" s="9" t="n">
        <f aca="false">IF(E16="","",(F16-E16)/E16)</f>
        <v>0.346769230769231</v>
      </c>
      <c r="I16" s="2" t="n">
        <v>20.2</v>
      </c>
      <c r="J16" s="2" t="n">
        <v>41.8</v>
      </c>
      <c r="K16" s="2" t="n">
        <v>21.1</v>
      </c>
      <c r="L16" s="2" t="str">
        <f aca="false">IF(E16="","no published figure",IF(ABS(H16)&gt;0.25,"1 - check first",IF(ABS(H16)&gt;0.15,"2 - check","3 - close enough")))</f>
        <v>1 - check first</v>
      </c>
      <c r="M16" s="2"/>
      <c r="N16" s="10"/>
      <c r="O16" s="10"/>
    </row>
    <row r="17" customFormat="false" ht="15" hidden="false" customHeight="false" outlineLevel="0" collapsed="false">
      <c r="A17" s="2" t="s">
        <v>1565</v>
      </c>
      <c r="B17" s="2" t="s">
        <v>1566</v>
      </c>
      <c r="C17" s="2" t="s">
        <v>648</v>
      </c>
      <c r="D17" s="2" t="n">
        <v>1</v>
      </c>
      <c r="E17" s="8" t="n">
        <v>270</v>
      </c>
      <c r="F17" s="8" t="n">
        <v>362.4</v>
      </c>
      <c r="G17" s="8" t="n">
        <f aca="false">IF(E17="","",F17-E17)</f>
        <v>92.4</v>
      </c>
      <c r="H17" s="9" t="n">
        <f aca="false">IF(E17="","",(F17-E17)/E17)</f>
        <v>0.342222222222222</v>
      </c>
      <c r="I17" s="2" t="n">
        <v>34.2</v>
      </c>
      <c r="J17" s="2" t="n">
        <v>34.5</v>
      </c>
      <c r="K17" s="2" t="n">
        <v>9.8</v>
      </c>
      <c r="L17" s="2" t="str">
        <f aca="false">IF(E17="","no published figure",IF(ABS(H17)&gt;0.25,"1 - check first",IF(ABS(H17)&gt;0.15,"2 - check","3 - close enough")))</f>
        <v>1 - check first</v>
      </c>
      <c r="M17" s="2"/>
      <c r="N17" s="10"/>
      <c r="O17" s="10"/>
    </row>
    <row r="18" customFormat="false" ht="15" hidden="false" customHeight="false" outlineLevel="0" collapsed="false">
      <c r="A18" s="2" t="s">
        <v>909</v>
      </c>
      <c r="B18" s="2" t="s">
        <v>910</v>
      </c>
      <c r="C18" s="2" t="s">
        <v>736</v>
      </c>
      <c r="D18" s="2" t="n">
        <v>1</v>
      </c>
      <c r="E18" s="8" t="n">
        <v>295</v>
      </c>
      <c r="F18" s="8" t="n">
        <v>394.6</v>
      </c>
      <c r="G18" s="8" t="n">
        <f aca="false">IF(E18="","",F18-E18)</f>
        <v>99.6</v>
      </c>
      <c r="H18" s="9" t="n">
        <f aca="false">IF(E18="","",(F18-E18)/E18)</f>
        <v>0.337627118644068</v>
      </c>
      <c r="I18" s="2" t="n">
        <v>30</v>
      </c>
      <c r="J18" s="2" t="n">
        <v>39.5</v>
      </c>
      <c r="K18" s="2" t="n">
        <v>12.9</v>
      </c>
      <c r="L18" s="2" t="str">
        <f aca="false">IF(E18="","no published figure",IF(ABS(H18)&gt;0.25,"1 - check first",IF(ABS(H18)&gt;0.15,"2 - check","3 - close enough")))</f>
        <v>1 - check first</v>
      </c>
      <c r="M18" s="2"/>
      <c r="N18" s="10"/>
      <c r="O18" s="10"/>
    </row>
    <row r="19" customFormat="false" ht="15" hidden="false" customHeight="false" outlineLevel="0" collapsed="false">
      <c r="A19" s="2" t="s">
        <v>1496</v>
      </c>
      <c r="B19" s="2" t="s">
        <v>790</v>
      </c>
      <c r="C19" s="2" t="s">
        <v>736</v>
      </c>
      <c r="D19" s="2" t="n">
        <v>1</v>
      </c>
      <c r="E19" s="8" t="n">
        <v>460</v>
      </c>
      <c r="F19" s="8" t="n">
        <v>614.9</v>
      </c>
      <c r="G19" s="8" t="n">
        <f aca="false">IF(E19="","",F19-E19)</f>
        <v>154.9</v>
      </c>
      <c r="H19" s="9" t="n">
        <f aca="false">IF(E19="","",(F19-E19)/E19)</f>
        <v>0.336739130434783</v>
      </c>
      <c r="I19" s="2" t="n">
        <v>48</v>
      </c>
      <c r="J19" s="2" t="n">
        <v>54.5</v>
      </c>
      <c r="K19" s="2" t="n">
        <v>22.8</v>
      </c>
      <c r="L19" s="2" t="str">
        <f aca="false">IF(E19="","no published figure",IF(ABS(H19)&gt;0.25,"1 - check first",IF(ABS(H19)&gt;0.15,"2 - check","3 - close enough")))</f>
        <v>1 - check first</v>
      </c>
      <c r="M19" s="2"/>
      <c r="N19" s="10"/>
      <c r="O19" s="10"/>
    </row>
    <row r="20" customFormat="false" ht="15" hidden="false" customHeight="false" outlineLevel="0" collapsed="false">
      <c r="A20" s="2" t="s">
        <v>738</v>
      </c>
      <c r="B20" s="2" t="s">
        <v>739</v>
      </c>
      <c r="C20" s="2" t="s">
        <v>736</v>
      </c>
      <c r="D20" s="2" t="n">
        <v>1</v>
      </c>
      <c r="E20" s="8" t="n">
        <v>637</v>
      </c>
      <c r="F20" s="8" t="n">
        <v>850.8</v>
      </c>
      <c r="G20" s="8" t="n">
        <f aca="false">IF(E20="","",F20-E20)</f>
        <v>213.8</v>
      </c>
      <c r="H20" s="9" t="n">
        <f aca="false">IF(E20="","",(F20-E20)/E20)</f>
        <v>0.33563579277865</v>
      </c>
      <c r="I20" s="2" t="n">
        <v>49</v>
      </c>
      <c r="J20" s="2" t="n">
        <v>56.3</v>
      </c>
      <c r="K20" s="2" t="n">
        <v>47.8</v>
      </c>
      <c r="L20" s="2" t="str">
        <f aca="false">IF(E20="","no published figure",IF(ABS(H20)&gt;0.25,"1 - check first",IF(ABS(H20)&gt;0.15,"2 - check","3 - close enough")))</f>
        <v>1 - check first</v>
      </c>
      <c r="M20" s="2"/>
      <c r="N20" s="10"/>
      <c r="O20" s="10"/>
    </row>
    <row r="21" customFormat="false" ht="15" hidden="false" customHeight="false" outlineLevel="0" collapsed="false">
      <c r="A21" s="2" t="s">
        <v>1620</v>
      </c>
      <c r="B21" s="2" t="s">
        <v>1621</v>
      </c>
      <c r="C21" s="2" t="s">
        <v>663</v>
      </c>
      <c r="D21" s="2" t="n">
        <v>10</v>
      </c>
      <c r="E21" s="8" t="n">
        <v>204</v>
      </c>
      <c r="F21" s="8" t="n">
        <v>137.9</v>
      </c>
      <c r="G21" s="8" t="n">
        <f aca="false">IF(E21="","",F21-E21)</f>
        <v>-66.1</v>
      </c>
      <c r="H21" s="9" t="n">
        <f aca="false">IF(E21="","",(F21-E21)/E21)</f>
        <v>-0.324019607843137</v>
      </c>
      <c r="I21" s="2" t="n">
        <v>10.2</v>
      </c>
      <c r="J21" s="2" t="n">
        <v>18.4</v>
      </c>
      <c r="K21" s="2" t="n">
        <v>2.6</v>
      </c>
      <c r="L21" s="2" t="str">
        <f aca="false">IF(E21="","no published figure",IF(ABS(H21)&gt;0.25,"1 - check first",IF(ABS(H21)&gt;0.15,"2 - check","3 - close enough")))</f>
        <v>1 - check first</v>
      </c>
      <c r="M21" s="2"/>
      <c r="N21" s="10"/>
      <c r="O21" s="10"/>
    </row>
    <row r="22" customFormat="false" ht="15" hidden="false" customHeight="false" outlineLevel="0" collapsed="false">
      <c r="A22" s="2" t="s">
        <v>652</v>
      </c>
      <c r="B22" s="2" t="s">
        <v>653</v>
      </c>
      <c r="C22" s="2" t="s">
        <v>648</v>
      </c>
      <c r="D22" s="2" t="n">
        <v>1</v>
      </c>
      <c r="E22" s="8" t="n">
        <v>302</v>
      </c>
      <c r="F22" s="8" t="n">
        <v>211.6</v>
      </c>
      <c r="G22" s="8" t="n">
        <f aca="false">IF(E22="","",F22-E22)</f>
        <v>-90.4</v>
      </c>
      <c r="H22" s="9" t="n">
        <f aca="false">IF(E22="","",(F22-E22)/E22)</f>
        <v>-0.299337748344371</v>
      </c>
      <c r="I22" s="2" t="n">
        <v>25.3</v>
      </c>
      <c r="J22" s="2" t="n">
        <v>22.7</v>
      </c>
      <c r="K22" s="2" t="n">
        <v>2.2</v>
      </c>
      <c r="L22" s="2" t="str">
        <f aca="false">IF(E22="","no published figure",IF(ABS(H22)&gt;0.25,"1 - check first",IF(ABS(H22)&gt;0.15,"2 - check","3 - close enough")))</f>
        <v>1 - check first</v>
      </c>
      <c r="M22" s="2"/>
      <c r="N22" s="10"/>
      <c r="O22" s="10"/>
    </row>
    <row r="23" customFormat="false" ht="15" hidden="false" customHeight="false" outlineLevel="0" collapsed="false">
      <c r="A23" s="2" t="s">
        <v>1174</v>
      </c>
      <c r="B23" s="2" t="s">
        <v>1175</v>
      </c>
      <c r="C23" s="2" t="s">
        <v>736</v>
      </c>
      <c r="D23" s="2" t="n">
        <v>1</v>
      </c>
      <c r="E23" s="8" t="n">
        <v>150</v>
      </c>
      <c r="F23" s="8" t="n">
        <v>194.6</v>
      </c>
      <c r="G23" s="8" t="n">
        <f aca="false">IF(E23="","",F23-E23)</f>
        <v>44.6</v>
      </c>
      <c r="H23" s="9" t="n">
        <f aca="false">IF(E23="","",(F23-E23)/E23)</f>
        <v>0.297333333333333</v>
      </c>
      <c r="I23" s="2" t="n">
        <v>7.4</v>
      </c>
      <c r="J23" s="2" t="n">
        <v>27.9</v>
      </c>
      <c r="K23" s="2" t="n">
        <v>5.9</v>
      </c>
      <c r="L23" s="2" t="str">
        <f aca="false">IF(E23="","no published figure",IF(ABS(H23)&gt;0.25,"1 - check first",IF(ABS(H23)&gt;0.15,"2 - check","3 - close enough")))</f>
        <v>1 - check first</v>
      </c>
      <c r="M23" s="2"/>
      <c r="N23" s="10"/>
      <c r="O23" s="10"/>
    </row>
    <row r="24" customFormat="false" ht="15" hidden="false" customHeight="false" outlineLevel="0" collapsed="false">
      <c r="A24" s="2" t="s">
        <v>1071</v>
      </c>
      <c r="B24" s="2" t="s">
        <v>1072</v>
      </c>
      <c r="C24" s="2" t="s">
        <v>736</v>
      </c>
      <c r="D24" s="2" t="n">
        <v>1</v>
      </c>
      <c r="E24" s="8" t="n">
        <v>485</v>
      </c>
      <c r="F24" s="8" t="n">
        <v>627.2</v>
      </c>
      <c r="G24" s="8" t="n">
        <f aca="false">IF(E24="","",F24-E24)</f>
        <v>142.2</v>
      </c>
      <c r="H24" s="9" t="n">
        <f aca="false">IF(E24="","",(F24-E24)/E24)</f>
        <v>0.29319587628866</v>
      </c>
      <c r="I24" s="2" t="n">
        <v>41.3</v>
      </c>
      <c r="J24" s="2" t="n">
        <v>71.9</v>
      </c>
      <c r="K24" s="2" t="n">
        <v>19.3</v>
      </c>
      <c r="L24" s="2" t="str">
        <f aca="false">IF(E24="","no published figure",IF(ABS(H24)&gt;0.25,"1 - check first",IF(ABS(H24)&gt;0.15,"2 - check","3 - close enough")))</f>
        <v>1 - check first</v>
      </c>
      <c r="M24" s="2"/>
      <c r="N24" s="10"/>
      <c r="O24" s="10"/>
    </row>
    <row r="25" customFormat="false" ht="15" hidden="false" customHeight="false" outlineLevel="0" collapsed="false">
      <c r="A25" s="2" t="s">
        <v>724</v>
      </c>
      <c r="B25" s="2" t="s">
        <v>725</v>
      </c>
      <c r="C25" s="2" t="s">
        <v>663</v>
      </c>
      <c r="D25" s="2" t="n">
        <v>1</v>
      </c>
      <c r="E25" s="8" t="n">
        <v>708</v>
      </c>
      <c r="F25" s="8" t="n">
        <v>505.6</v>
      </c>
      <c r="G25" s="8" t="n">
        <f aca="false">IF(E25="","",F25-E25)</f>
        <v>-202.4</v>
      </c>
      <c r="H25" s="9" t="n">
        <f aca="false">IF(E25="","",(F25-E25)/E25)</f>
        <v>-0.285875706214689</v>
      </c>
      <c r="I25" s="2" t="n">
        <v>16.4</v>
      </c>
      <c r="J25" s="2" t="n">
        <v>75.6</v>
      </c>
      <c r="K25" s="2" t="n">
        <v>15.3</v>
      </c>
      <c r="L25" s="2" t="str">
        <f aca="false">IF(E25="","no published figure",IF(ABS(H25)&gt;0.25,"1 - check first",IF(ABS(H25)&gt;0.15,"2 - check","3 - close enough")))</f>
        <v>1 - check first</v>
      </c>
      <c r="M25" s="2"/>
      <c r="N25" s="10"/>
      <c r="O25" s="10"/>
    </row>
    <row r="26" customFormat="false" ht="15" hidden="false" customHeight="false" outlineLevel="0" collapsed="false">
      <c r="A26" s="2" t="s">
        <v>1586</v>
      </c>
      <c r="B26" s="2" t="s">
        <v>1587</v>
      </c>
      <c r="C26" s="2" t="s">
        <v>648</v>
      </c>
      <c r="D26" s="2" t="n">
        <v>1</v>
      </c>
      <c r="E26" s="8" t="n">
        <v>376</v>
      </c>
      <c r="F26" s="8" t="n">
        <v>270.4</v>
      </c>
      <c r="G26" s="8" t="n">
        <f aca="false">IF(E26="","",F26-E26)</f>
        <v>-105.6</v>
      </c>
      <c r="H26" s="9" t="n">
        <f aca="false">IF(E26="","",(F26-E26)/E26)</f>
        <v>-0.280851063829787</v>
      </c>
      <c r="I26" s="2" t="n">
        <v>12.7</v>
      </c>
      <c r="J26" s="2" t="n">
        <v>36.1</v>
      </c>
      <c r="K26" s="2" t="n">
        <v>8.4</v>
      </c>
      <c r="L26" s="2" t="str">
        <f aca="false">IF(E26="","no published figure",IF(ABS(H26)&gt;0.25,"1 - check first",IF(ABS(H26)&gt;0.15,"2 - check","3 - close enough")))</f>
        <v>1 - check first</v>
      </c>
      <c r="M26" s="2"/>
      <c r="N26" s="10"/>
      <c r="O26" s="10"/>
    </row>
    <row r="27" customFormat="false" ht="15" hidden="false" customHeight="false" outlineLevel="0" collapsed="false">
      <c r="A27" s="2" t="s">
        <v>1038</v>
      </c>
      <c r="B27" s="2" t="s">
        <v>1039</v>
      </c>
      <c r="C27" s="2" t="s">
        <v>736</v>
      </c>
      <c r="D27" s="2" t="n">
        <v>1</v>
      </c>
      <c r="E27" s="8" t="n">
        <v>505</v>
      </c>
      <c r="F27" s="8" t="n">
        <v>646.1</v>
      </c>
      <c r="G27" s="8" t="n">
        <f aca="false">IF(E27="","",F27-E27)</f>
        <v>141.1</v>
      </c>
      <c r="H27" s="9" t="n">
        <f aca="false">IF(E27="","",(F27-E27)/E27)</f>
        <v>0.279405940594059</v>
      </c>
      <c r="I27" s="2" t="n">
        <v>59.4</v>
      </c>
      <c r="J27" s="2" t="n">
        <v>86.3</v>
      </c>
      <c r="K27" s="2" t="n">
        <v>7</v>
      </c>
      <c r="L27" s="2" t="str">
        <f aca="false">IF(E27="","no published figure",IF(ABS(H27)&gt;0.25,"1 - check first",IF(ABS(H27)&gt;0.15,"2 - check","3 - close enough")))</f>
        <v>1 - check first</v>
      </c>
      <c r="M27" s="2"/>
      <c r="N27" s="10"/>
      <c r="O27" s="10"/>
    </row>
    <row r="28" customFormat="false" ht="15" hidden="false" customHeight="false" outlineLevel="0" collapsed="false">
      <c r="A28" s="2" t="s">
        <v>1234</v>
      </c>
      <c r="B28" s="2" t="s">
        <v>1235</v>
      </c>
      <c r="C28" s="2" t="s">
        <v>736</v>
      </c>
      <c r="D28" s="2" t="n">
        <v>1</v>
      </c>
      <c r="E28" s="8" t="n">
        <v>375</v>
      </c>
      <c r="F28" s="8" t="n">
        <v>479.3</v>
      </c>
      <c r="G28" s="8" t="n">
        <f aca="false">IF(E28="","",F28-E28)</f>
        <v>104.3</v>
      </c>
      <c r="H28" s="9" t="n">
        <f aca="false">IF(E28="","",(F28-E28)/E28)</f>
        <v>0.278133333333333</v>
      </c>
      <c r="I28" s="2" t="n">
        <v>43.6</v>
      </c>
      <c r="J28" s="2" t="n">
        <v>48.9</v>
      </c>
      <c r="K28" s="2" t="n">
        <v>12.1</v>
      </c>
      <c r="L28" s="2" t="str">
        <f aca="false">IF(E28="","no published figure",IF(ABS(H28)&gt;0.25,"1 - check first",IF(ABS(H28)&gt;0.15,"2 - check","3 - close enough")))</f>
        <v>1 - check first</v>
      </c>
      <c r="M28" s="2"/>
      <c r="N28" s="10"/>
      <c r="O28" s="10"/>
    </row>
    <row r="29" customFormat="false" ht="15" hidden="false" customHeight="false" outlineLevel="0" collapsed="false">
      <c r="A29" s="2" t="s">
        <v>988</v>
      </c>
      <c r="B29" s="2" t="s">
        <v>989</v>
      </c>
      <c r="C29" s="2" t="s">
        <v>736</v>
      </c>
      <c r="D29" s="2" t="n">
        <v>1</v>
      </c>
      <c r="E29" s="8" t="n">
        <v>395</v>
      </c>
      <c r="F29" s="8" t="n">
        <v>503.8</v>
      </c>
      <c r="G29" s="8" t="n">
        <f aca="false">IF(E29="","",F29-E29)</f>
        <v>108.8</v>
      </c>
      <c r="H29" s="9" t="n">
        <f aca="false">IF(E29="","",(F29-E29)/E29)</f>
        <v>0.275443037974684</v>
      </c>
      <c r="I29" s="2" t="n">
        <v>48.9</v>
      </c>
      <c r="J29" s="2" t="n">
        <v>64.7</v>
      </c>
      <c r="K29" s="2" t="n">
        <v>5.5</v>
      </c>
      <c r="L29" s="2" t="str">
        <f aca="false">IF(E29="","no published figure",IF(ABS(H29)&gt;0.25,"1 - check first",IF(ABS(H29)&gt;0.15,"2 - check","3 - close enough")))</f>
        <v>1 - check first</v>
      </c>
      <c r="M29" s="2"/>
      <c r="N29" s="10"/>
      <c r="O29" s="10"/>
    </row>
    <row r="30" customFormat="false" ht="15" hidden="false" customHeight="false" outlineLevel="0" collapsed="false">
      <c r="A30" s="2" t="s">
        <v>783</v>
      </c>
      <c r="B30" s="2" t="s">
        <v>784</v>
      </c>
      <c r="C30" s="2" t="s">
        <v>736</v>
      </c>
      <c r="D30" s="2" t="n">
        <v>2</v>
      </c>
      <c r="E30" s="8" t="n">
        <v>542</v>
      </c>
      <c r="F30" s="8" t="n">
        <v>396.9</v>
      </c>
      <c r="G30" s="8" t="n">
        <f aca="false">IF(E30="","",F30-E30)</f>
        <v>-145.1</v>
      </c>
      <c r="H30" s="9" t="n">
        <f aca="false">IF(E30="","",(F30-E30)/E30)</f>
        <v>-0.267712177121771</v>
      </c>
      <c r="I30" s="2" t="n">
        <v>40.9</v>
      </c>
      <c r="J30" s="2" t="n">
        <v>38.9</v>
      </c>
      <c r="K30" s="2" t="n">
        <v>8.6</v>
      </c>
      <c r="L30" s="2" t="str">
        <f aca="false">IF(E30="","no published figure",IF(ABS(H30)&gt;0.25,"1 - check first",IF(ABS(H30)&gt;0.15,"2 - check","3 - close enough")))</f>
        <v>1 - check first</v>
      </c>
      <c r="M30" s="2"/>
      <c r="N30" s="10"/>
      <c r="O30" s="10"/>
    </row>
    <row r="31" customFormat="false" ht="15" hidden="false" customHeight="false" outlineLevel="0" collapsed="false">
      <c r="A31" s="2" t="s">
        <v>1544</v>
      </c>
      <c r="B31" s="2" t="s">
        <v>1545</v>
      </c>
      <c r="C31" s="2" t="s">
        <v>736</v>
      </c>
      <c r="D31" s="2" t="n">
        <v>1</v>
      </c>
      <c r="E31" s="8" t="n">
        <v>424</v>
      </c>
      <c r="F31" s="8" t="n">
        <v>537.2</v>
      </c>
      <c r="G31" s="8" t="n">
        <f aca="false">IF(E31="","",F31-E31)</f>
        <v>113.2</v>
      </c>
      <c r="H31" s="9" t="n">
        <f aca="false">IF(E31="","",(F31-E31)/E31)</f>
        <v>0.266981132075472</v>
      </c>
      <c r="I31" s="2" t="n">
        <v>35.5</v>
      </c>
      <c r="J31" s="2" t="n">
        <v>15.6</v>
      </c>
      <c r="K31" s="2" t="n">
        <v>37</v>
      </c>
      <c r="L31" s="2" t="str">
        <f aca="false">IF(E31="","no published figure",IF(ABS(H31)&gt;0.25,"1 - check first",IF(ABS(H31)&gt;0.15,"2 - check","3 - close enough")))</f>
        <v>1 - check first</v>
      </c>
      <c r="M31" s="2"/>
      <c r="N31" s="10"/>
      <c r="O31" s="10"/>
    </row>
    <row r="32" customFormat="false" ht="15" hidden="false" customHeight="false" outlineLevel="0" collapsed="false">
      <c r="A32" s="2" t="s">
        <v>1254</v>
      </c>
      <c r="B32" s="2" t="s">
        <v>1255</v>
      </c>
      <c r="C32" s="2" t="s">
        <v>736</v>
      </c>
      <c r="D32" s="2" t="n">
        <v>1</v>
      </c>
      <c r="E32" s="8" t="n">
        <v>360</v>
      </c>
      <c r="F32" s="8" t="n">
        <v>455.3</v>
      </c>
      <c r="G32" s="8" t="n">
        <f aca="false">IF(E32="","",F32-E32)</f>
        <v>95.3</v>
      </c>
      <c r="H32" s="9" t="n">
        <f aca="false">IF(E32="","",(F32-E32)/E32)</f>
        <v>0.264722222222222</v>
      </c>
      <c r="I32" s="2" t="n">
        <v>40.4</v>
      </c>
      <c r="J32" s="2" t="n">
        <v>39.4</v>
      </c>
      <c r="K32" s="2" t="n">
        <v>15.2</v>
      </c>
      <c r="L32" s="2" t="str">
        <f aca="false">IF(E32="","no published figure",IF(ABS(H32)&gt;0.25,"1 - check first",IF(ABS(H32)&gt;0.15,"2 - check","3 - close enough")))</f>
        <v>1 - check first</v>
      </c>
      <c r="M32" s="2"/>
      <c r="N32" s="10"/>
      <c r="O32" s="10"/>
    </row>
    <row r="33" customFormat="false" ht="15" hidden="false" customHeight="false" outlineLevel="0" collapsed="false">
      <c r="A33" s="2" t="s">
        <v>1563</v>
      </c>
      <c r="B33" s="2" t="s">
        <v>1564</v>
      </c>
      <c r="C33" s="2" t="s">
        <v>648</v>
      </c>
      <c r="D33" s="2" t="n">
        <v>1</v>
      </c>
      <c r="E33" s="8" t="n">
        <v>304</v>
      </c>
      <c r="F33" s="8" t="n">
        <v>223.7</v>
      </c>
      <c r="G33" s="8" t="n">
        <f aca="false">IF(E33="","",F33-E33)</f>
        <v>-80.3</v>
      </c>
      <c r="H33" s="9" t="n">
        <f aca="false">IF(E33="","",(F33-E33)/E33)</f>
        <v>-0.264144736842105</v>
      </c>
      <c r="I33" s="2" t="n">
        <v>26.7</v>
      </c>
      <c r="J33" s="2" t="n">
        <v>24.6</v>
      </c>
      <c r="K33" s="2" t="n">
        <v>2.1</v>
      </c>
      <c r="L33" s="2" t="str">
        <f aca="false">IF(E33="","no published figure",IF(ABS(H33)&gt;0.25,"1 - check first",IF(ABS(H33)&gt;0.15,"2 - check","3 - close enough")))</f>
        <v>1 - check first</v>
      </c>
      <c r="M33" s="2"/>
      <c r="N33" s="10"/>
      <c r="O33" s="10"/>
    </row>
    <row r="34" customFormat="false" ht="15" hidden="false" customHeight="false" outlineLevel="0" collapsed="false">
      <c r="A34" s="2" t="s">
        <v>661</v>
      </c>
      <c r="B34" s="2" t="s">
        <v>662</v>
      </c>
      <c r="C34" s="2" t="s">
        <v>663</v>
      </c>
      <c r="D34" s="2" t="n">
        <v>1</v>
      </c>
      <c r="E34" s="8" t="n">
        <v>233</v>
      </c>
      <c r="F34" s="8" t="n">
        <v>294.4</v>
      </c>
      <c r="G34" s="8" t="n">
        <f aca="false">IF(E34="","",F34-E34)</f>
        <v>61.4</v>
      </c>
      <c r="H34" s="9" t="n">
        <f aca="false">IF(E34="","",(F34-E34)/E34)</f>
        <v>0.263519313304721</v>
      </c>
      <c r="I34" s="2" t="n">
        <v>30.6</v>
      </c>
      <c r="J34" s="2" t="n">
        <v>29</v>
      </c>
      <c r="K34" s="2" t="n">
        <v>6.2</v>
      </c>
      <c r="L34" s="2" t="str">
        <f aca="false">IF(E34="","no published figure",IF(ABS(H34)&gt;0.25,"1 - check first",IF(ABS(H34)&gt;0.15,"2 - check","3 - close enough")))</f>
        <v>1 - check first</v>
      </c>
      <c r="M34" s="2"/>
      <c r="N34" s="10"/>
      <c r="O34" s="10"/>
    </row>
    <row r="35" customFormat="false" ht="15" hidden="false" customHeight="false" outlineLevel="0" collapsed="false">
      <c r="A35" s="2" t="s">
        <v>1075</v>
      </c>
      <c r="B35" s="2" t="s">
        <v>1076</v>
      </c>
      <c r="C35" s="2" t="s">
        <v>736</v>
      </c>
      <c r="D35" s="2" t="n">
        <v>1</v>
      </c>
      <c r="E35" s="8" t="n">
        <v>490</v>
      </c>
      <c r="F35" s="8" t="n">
        <v>617.7</v>
      </c>
      <c r="G35" s="8" t="n">
        <f aca="false">IF(E35="","",F35-E35)</f>
        <v>127.7</v>
      </c>
      <c r="H35" s="9" t="n">
        <f aca="false">IF(E35="","",(F35-E35)/E35)</f>
        <v>0.260612244897959</v>
      </c>
      <c r="I35" s="2" t="n">
        <v>58.3</v>
      </c>
      <c r="J35" s="2" t="n">
        <v>54.4</v>
      </c>
      <c r="K35" s="2" t="n">
        <v>18.6</v>
      </c>
      <c r="L35" s="2" t="str">
        <f aca="false">IF(E35="","no published figure",IF(ABS(H35)&gt;0.25,"1 - check first",IF(ABS(H35)&gt;0.15,"2 - check","3 - close enough")))</f>
        <v>1 - check first</v>
      </c>
      <c r="M35" s="2"/>
      <c r="N35" s="10"/>
      <c r="O35" s="10"/>
    </row>
    <row r="36" customFormat="false" ht="15" hidden="false" customHeight="false" outlineLevel="0" collapsed="false">
      <c r="A36" s="2" t="s">
        <v>1595</v>
      </c>
      <c r="B36" s="2" t="s">
        <v>1596</v>
      </c>
      <c r="C36" s="2" t="s">
        <v>648</v>
      </c>
      <c r="D36" s="2" t="n">
        <v>1</v>
      </c>
      <c r="E36" s="8" t="n">
        <v>465</v>
      </c>
      <c r="F36" s="8" t="n">
        <v>343.8</v>
      </c>
      <c r="G36" s="8" t="n">
        <f aca="false">IF(E36="","",F36-E36)</f>
        <v>-121.2</v>
      </c>
      <c r="H36" s="9" t="n">
        <f aca="false">IF(E36="","",(F36-E36)/E36)</f>
        <v>-0.260645161290323</v>
      </c>
      <c r="I36" s="2" t="n">
        <v>29</v>
      </c>
      <c r="J36" s="2" t="n">
        <v>51.1</v>
      </c>
      <c r="K36" s="2" t="n">
        <v>2.6</v>
      </c>
      <c r="L36" s="2" t="str">
        <f aca="false">IF(E36="","no published figure",IF(ABS(H36)&gt;0.25,"1 - check first",IF(ABS(H36)&gt;0.15,"2 - check","3 - close enough")))</f>
        <v>1 - check first</v>
      </c>
      <c r="M36" s="2"/>
      <c r="N36" s="10"/>
      <c r="O36" s="10"/>
    </row>
    <row r="37" customFormat="false" ht="15" hidden="false" customHeight="false" outlineLevel="0" collapsed="false">
      <c r="A37" s="2" t="s">
        <v>774</v>
      </c>
      <c r="B37" s="2" t="s">
        <v>775</v>
      </c>
      <c r="C37" s="2" t="s">
        <v>736</v>
      </c>
      <c r="D37" s="2" t="n">
        <v>1</v>
      </c>
      <c r="E37" s="8" t="n">
        <v>725</v>
      </c>
      <c r="F37" s="8" t="n">
        <v>913.7</v>
      </c>
      <c r="G37" s="8" t="n">
        <f aca="false">IF(E37="","",F37-E37)</f>
        <v>188.7</v>
      </c>
      <c r="H37" s="9" t="n">
        <f aca="false">IF(E37="","",(F37-E37)/E37)</f>
        <v>0.260275862068966</v>
      </c>
      <c r="I37" s="2" t="n">
        <v>72.2</v>
      </c>
      <c r="J37" s="2" t="n">
        <v>57.2</v>
      </c>
      <c r="K37" s="2" t="n">
        <v>44</v>
      </c>
      <c r="L37" s="2" t="str">
        <f aca="false">IF(E37="","no published figure",IF(ABS(H37)&gt;0.25,"1 - check first",IF(ABS(H37)&gt;0.15,"2 - check","3 - close enough")))</f>
        <v>1 - check first</v>
      </c>
      <c r="M37" s="2"/>
      <c r="N37" s="10"/>
      <c r="O37" s="10"/>
    </row>
    <row r="38" customFormat="false" ht="15" hidden="false" customHeight="false" outlineLevel="0" collapsed="false">
      <c r="A38" s="2" t="s">
        <v>1590</v>
      </c>
      <c r="B38" s="2" t="s">
        <v>1591</v>
      </c>
      <c r="C38" s="2" t="s">
        <v>648</v>
      </c>
      <c r="D38" s="2" t="n">
        <v>1</v>
      </c>
      <c r="E38" s="8" t="n">
        <v>180</v>
      </c>
      <c r="F38" s="8" t="n">
        <v>133.6</v>
      </c>
      <c r="G38" s="8" t="n">
        <f aca="false">IF(E38="","",F38-E38)</f>
        <v>-46.4</v>
      </c>
      <c r="H38" s="9" t="n">
        <f aca="false">IF(E38="","",(F38-E38)/E38)</f>
        <v>-0.257777777777778</v>
      </c>
      <c r="I38" s="2" t="n">
        <v>1</v>
      </c>
      <c r="J38" s="2" t="n">
        <v>32.1</v>
      </c>
      <c r="K38" s="2" t="n">
        <v>0.1</v>
      </c>
      <c r="L38" s="2" t="str">
        <f aca="false">IF(E38="","no published figure",IF(ABS(H38)&gt;0.25,"1 - check first",IF(ABS(H38)&gt;0.15,"2 - check","3 - close enough")))</f>
        <v>1 - check first</v>
      </c>
      <c r="M38" s="2"/>
      <c r="N38" s="10"/>
      <c r="O38" s="10"/>
    </row>
    <row r="39" customFormat="false" ht="15" hidden="false" customHeight="false" outlineLevel="0" collapsed="false">
      <c r="A39" s="2" t="s">
        <v>964</v>
      </c>
      <c r="B39" s="2" t="s">
        <v>965</v>
      </c>
      <c r="C39" s="2" t="s">
        <v>736</v>
      </c>
      <c r="D39" s="2" t="n">
        <v>1</v>
      </c>
      <c r="E39" s="8" t="n">
        <v>395</v>
      </c>
      <c r="F39" s="8" t="n">
        <v>295.4</v>
      </c>
      <c r="G39" s="8" t="n">
        <f aca="false">IF(E39="","",F39-E39)</f>
        <v>-99.6</v>
      </c>
      <c r="H39" s="9" t="n">
        <f aca="false">IF(E39="","",(F39-E39)/E39)</f>
        <v>-0.252151898734177</v>
      </c>
      <c r="I39" s="2" t="n">
        <v>20.9</v>
      </c>
      <c r="J39" s="2" t="n">
        <v>37.7</v>
      </c>
      <c r="K39" s="2" t="n">
        <v>6.8</v>
      </c>
      <c r="L39" s="2" t="str">
        <f aca="false">IF(E39="","no published figure",IF(ABS(H39)&gt;0.25,"1 - check first",IF(ABS(H39)&gt;0.15,"2 - check","3 - close enough")))</f>
        <v>1 - check first</v>
      </c>
      <c r="M39" s="2"/>
      <c r="N39" s="10"/>
      <c r="O39" s="10"/>
    </row>
    <row r="40" customFormat="false" ht="15" hidden="false" customHeight="false" outlineLevel="0" collapsed="false">
      <c r="A40" s="2" t="s">
        <v>768</v>
      </c>
      <c r="B40" s="2" t="s">
        <v>769</v>
      </c>
      <c r="C40" s="2" t="s">
        <v>736</v>
      </c>
      <c r="D40" s="2" t="n">
        <v>2</v>
      </c>
      <c r="E40" s="11" t="n">
        <v>491</v>
      </c>
      <c r="F40" s="11" t="n">
        <v>370.3</v>
      </c>
      <c r="G40" s="11" t="n">
        <f aca="false">IF(E40="","",F40-E40)</f>
        <v>-120.7</v>
      </c>
      <c r="H40" s="12" t="n">
        <f aca="false">IF(E40="","",(F40-E40)/E40)</f>
        <v>-0.245824847250509</v>
      </c>
      <c r="I40" s="2" t="n">
        <v>30.4</v>
      </c>
      <c r="J40" s="2" t="n">
        <v>31.3</v>
      </c>
      <c r="K40" s="2" t="n">
        <v>13.7</v>
      </c>
      <c r="L40" s="2" t="str">
        <f aca="false">IF(E40="","no published figure",IF(ABS(H40)&gt;0.25,"1 - check first",IF(ABS(H40)&gt;0.15,"2 - check","3 - close enough")))</f>
        <v>2 - check</v>
      </c>
      <c r="M40" s="2"/>
      <c r="N40" s="10"/>
      <c r="O40" s="10"/>
    </row>
    <row r="41" customFormat="false" ht="15" hidden="false" customHeight="false" outlineLevel="0" collapsed="false">
      <c r="A41" s="2" t="s">
        <v>940</v>
      </c>
      <c r="B41" s="2" t="s">
        <v>941</v>
      </c>
      <c r="C41" s="2" t="s">
        <v>736</v>
      </c>
      <c r="D41" s="2" t="n">
        <v>1</v>
      </c>
      <c r="E41" s="11" t="n">
        <v>435</v>
      </c>
      <c r="F41" s="11" t="n">
        <v>541.5</v>
      </c>
      <c r="G41" s="11" t="n">
        <f aca="false">IF(E41="","",F41-E41)</f>
        <v>106.5</v>
      </c>
      <c r="H41" s="12" t="n">
        <f aca="false">IF(E41="","",(F41-E41)/E41)</f>
        <v>0.244827586206897</v>
      </c>
      <c r="I41" s="2" t="n">
        <v>54.5</v>
      </c>
      <c r="J41" s="2" t="n">
        <v>58.4</v>
      </c>
      <c r="K41" s="2" t="n">
        <v>10</v>
      </c>
      <c r="L41" s="2" t="str">
        <f aca="false">IF(E41="","no published figure",IF(ABS(H41)&gt;0.25,"1 - check first",IF(ABS(H41)&gt;0.15,"2 - check","3 - close enough")))</f>
        <v>2 - check</v>
      </c>
      <c r="M41" s="2"/>
      <c r="N41" s="10"/>
      <c r="O41" s="10"/>
    </row>
    <row r="42" customFormat="false" ht="15" hidden="false" customHeight="false" outlineLevel="0" collapsed="false">
      <c r="A42" s="2" t="s">
        <v>1398</v>
      </c>
      <c r="B42" s="2" t="s">
        <v>1399</v>
      </c>
      <c r="C42" s="2" t="s">
        <v>888</v>
      </c>
      <c r="D42" s="2" t="n">
        <v>1</v>
      </c>
      <c r="E42" s="11" t="n">
        <v>322</v>
      </c>
      <c r="F42" s="11" t="n">
        <v>400.8</v>
      </c>
      <c r="G42" s="11" t="n">
        <f aca="false">IF(E42="","",F42-E42)</f>
        <v>78.8</v>
      </c>
      <c r="H42" s="12" t="n">
        <f aca="false">IF(E42="","",(F42-E42)/E42)</f>
        <v>0.24472049689441</v>
      </c>
      <c r="I42" s="2" t="n">
        <v>26.5</v>
      </c>
      <c r="J42" s="2" t="n">
        <v>6.7</v>
      </c>
      <c r="K42" s="2" t="n">
        <v>29.8</v>
      </c>
      <c r="L42" s="2" t="str">
        <f aca="false">IF(E42="","no published figure",IF(ABS(H42)&gt;0.25,"1 - check first",IF(ABS(H42)&gt;0.15,"2 - check","3 - close enough")))</f>
        <v>2 - check</v>
      </c>
      <c r="M42" s="2"/>
      <c r="N42" s="10"/>
      <c r="O42" s="10"/>
    </row>
    <row r="43" customFormat="false" ht="15" hidden="false" customHeight="false" outlineLevel="0" collapsed="false">
      <c r="A43" s="2" t="s">
        <v>1516</v>
      </c>
      <c r="B43" s="2" t="s">
        <v>1517</v>
      </c>
      <c r="C43" s="2" t="s">
        <v>736</v>
      </c>
      <c r="D43" s="2" t="n">
        <v>1</v>
      </c>
      <c r="E43" s="11" t="n">
        <v>648</v>
      </c>
      <c r="F43" s="11" t="n">
        <v>803.8</v>
      </c>
      <c r="G43" s="11" t="n">
        <f aca="false">IF(E43="","",F43-E43)</f>
        <v>155.8</v>
      </c>
      <c r="H43" s="12" t="n">
        <f aca="false">IF(E43="","",(F43-E43)/E43)</f>
        <v>0.240432098765432</v>
      </c>
      <c r="I43" s="2" t="n">
        <v>37</v>
      </c>
      <c r="J43" s="2" t="n">
        <v>65.1</v>
      </c>
      <c r="K43" s="2" t="n">
        <v>44</v>
      </c>
      <c r="L43" s="2" t="str">
        <f aca="false">IF(E43="","no published figure",IF(ABS(H43)&gt;0.25,"1 - check first",IF(ABS(H43)&gt;0.15,"2 - check","3 - close enough")))</f>
        <v>2 - check</v>
      </c>
      <c r="M43" s="2"/>
      <c r="N43" s="10"/>
      <c r="O43" s="10"/>
    </row>
    <row r="44" customFormat="false" ht="15" hidden="false" customHeight="false" outlineLevel="0" collapsed="false">
      <c r="A44" s="2" t="s">
        <v>1597</v>
      </c>
      <c r="B44" s="2" t="s">
        <v>1598</v>
      </c>
      <c r="C44" s="2" t="s">
        <v>663</v>
      </c>
      <c r="D44" s="2" t="n">
        <v>1</v>
      </c>
      <c r="E44" s="11" t="n">
        <v>297</v>
      </c>
      <c r="F44" s="11" t="n">
        <v>367.2</v>
      </c>
      <c r="G44" s="11" t="n">
        <f aca="false">IF(E44="","",F44-E44)</f>
        <v>70.2</v>
      </c>
      <c r="H44" s="12" t="n">
        <f aca="false">IF(E44="","",(F44-E44)/E44)</f>
        <v>0.236363636363636</v>
      </c>
      <c r="I44" s="2" t="n">
        <v>28.2</v>
      </c>
      <c r="J44" s="2" t="n">
        <v>21.3</v>
      </c>
      <c r="K44" s="2" t="n">
        <v>18.8</v>
      </c>
      <c r="L44" s="2" t="str">
        <f aca="false">IF(E44="","no published figure",IF(ABS(H44)&gt;0.25,"1 - check first",IF(ABS(H44)&gt;0.15,"2 - check","3 - close enough")))</f>
        <v>2 - check</v>
      </c>
      <c r="M44" s="2"/>
      <c r="N44" s="10"/>
      <c r="O44" s="10"/>
    </row>
    <row r="45" customFormat="false" ht="15" hidden="false" customHeight="false" outlineLevel="0" collapsed="false">
      <c r="A45" s="2" t="s">
        <v>646</v>
      </c>
      <c r="B45" s="2" t="s">
        <v>647</v>
      </c>
      <c r="C45" s="2" t="s">
        <v>648</v>
      </c>
      <c r="D45" s="2" t="n">
        <v>1</v>
      </c>
      <c r="E45" s="11" t="n">
        <v>300</v>
      </c>
      <c r="F45" s="11" t="n">
        <v>232</v>
      </c>
      <c r="G45" s="11" t="n">
        <f aca="false">IF(E45="","",F45-E45)</f>
        <v>-68</v>
      </c>
      <c r="H45" s="12" t="n">
        <f aca="false">IF(E45="","",(F45-E45)/E45)</f>
        <v>-0.226666666666667</v>
      </c>
      <c r="I45" s="2" t="n">
        <v>27.4</v>
      </c>
      <c r="J45" s="2" t="n">
        <v>25.5</v>
      </c>
      <c r="K45" s="2" t="n">
        <v>2.3</v>
      </c>
      <c r="L45" s="2" t="str">
        <f aca="false">IF(E45="","no published figure",IF(ABS(H45)&gt;0.25,"1 - check first",IF(ABS(H45)&gt;0.15,"2 - check","3 - close enough")))</f>
        <v>2 - check</v>
      </c>
      <c r="M45" s="2"/>
      <c r="N45" s="10"/>
      <c r="O45" s="10"/>
    </row>
    <row r="46" customFormat="false" ht="15" hidden="false" customHeight="false" outlineLevel="0" collapsed="false">
      <c r="A46" s="2" t="s">
        <v>1087</v>
      </c>
      <c r="B46" s="2" t="s">
        <v>1088</v>
      </c>
      <c r="C46" s="2" t="s">
        <v>736</v>
      </c>
      <c r="D46" s="2" t="n">
        <v>1</v>
      </c>
      <c r="E46" s="11" t="n">
        <v>470</v>
      </c>
      <c r="F46" s="11" t="n">
        <v>576.5</v>
      </c>
      <c r="G46" s="11" t="n">
        <f aca="false">IF(E46="","",F46-E46)</f>
        <v>106.5</v>
      </c>
      <c r="H46" s="12" t="n">
        <f aca="false">IF(E46="","",(F46-E46)/E46)</f>
        <v>0.226595744680851</v>
      </c>
      <c r="I46" s="2" t="n">
        <v>57.6</v>
      </c>
      <c r="J46" s="2" t="n">
        <v>68.8</v>
      </c>
      <c r="K46" s="2" t="n">
        <v>7.9</v>
      </c>
      <c r="L46" s="2" t="str">
        <f aca="false">IF(E46="","no published figure",IF(ABS(H46)&gt;0.25,"1 - check first",IF(ABS(H46)&gt;0.15,"2 - check","3 - close enough")))</f>
        <v>2 - check</v>
      </c>
      <c r="M46" s="2"/>
      <c r="N46" s="10"/>
      <c r="O46" s="10"/>
    </row>
    <row r="47" customFormat="false" ht="15" hidden="false" customHeight="false" outlineLevel="0" collapsed="false">
      <c r="A47" s="2" t="s">
        <v>992</v>
      </c>
      <c r="B47" s="2" t="s">
        <v>993</v>
      </c>
      <c r="C47" s="2" t="s">
        <v>736</v>
      </c>
      <c r="D47" s="2" t="n">
        <v>1</v>
      </c>
      <c r="E47" s="11" t="n">
        <v>345</v>
      </c>
      <c r="F47" s="11" t="n">
        <v>422.9</v>
      </c>
      <c r="G47" s="11" t="n">
        <f aca="false">IF(E47="","",F47-E47)</f>
        <v>77.9</v>
      </c>
      <c r="H47" s="12" t="n">
        <f aca="false">IF(E47="","",(F47-E47)/E47)</f>
        <v>0.225797101449275</v>
      </c>
      <c r="I47" s="2" t="n">
        <v>42</v>
      </c>
      <c r="J47" s="2" t="n">
        <v>39.9</v>
      </c>
      <c r="K47" s="2" t="n">
        <v>10.6</v>
      </c>
      <c r="L47" s="2" t="str">
        <f aca="false">IF(E47="","no published figure",IF(ABS(H47)&gt;0.25,"1 - check first",IF(ABS(H47)&gt;0.15,"2 - check","3 - close enough")))</f>
        <v>2 - check</v>
      </c>
      <c r="M47" s="2"/>
      <c r="N47" s="10"/>
      <c r="O47" s="10"/>
    </row>
    <row r="48" customFormat="false" ht="15" hidden="false" customHeight="false" outlineLevel="0" collapsed="false">
      <c r="A48" s="2" t="s">
        <v>1568</v>
      </c>
      <c r="B48" s="2" t="s">
        <v>1569</v>
      </c>
      <c r="C48" s="2" t="s">
        <v>648</v>
      </c>
      <c r="D48" s="2" t="n">
        <v>1</v>
      </c>
      <c r="E48" s="11" t="n">
        <v>333</v>
      </c>
      <c r="F48" s="11" t="n">
        <v>258.3</v>
      </c>
      <c r="G48" s="11" t="n">
        <f aca="false">IF(E48="","",F48-E48)</f>
        <v>-74.7</v>
      </c>
      <c r="H48" s="12" t="n">
        <f aca="false">IF(E48="","",(F48-E48)/E48)</f>
        <v>-0.224324324324324</v>
      </c>
      <c r="I48" s="2" t="n">
        <v>32</v>
      </c>
      <c r="J48" s="2" t="n">
        <v>21.9</v>
      </c>
      <c r="K48" s="2" t="n">
        <v>4.7</v>
      </c>
      <c r="L48" s="2" t="str">
        <f aca="false">IF(E48="","no published figure",IF(ABS(H48)&gt;0.25,"1 - check first",IF(ABS(H48)&gt;0.15,"2 - check","3 - close enough")))</f>
        <v>2 - check</v>
      </c>
      <c r="M48" s="2"/>
      <c r="N48" s="10"/>
      <c r="O48" s="10"/>
    </row>
    <row r="49" customFormat="false" ht="15" hidden="false" customHeight="false" outlineLevel="0" collapsed="false">
      <c r="A49" s="2" t="s">
        <v>1588</v>
      </c>
      <c r="B49" s="2" t="s">
        <v>1589</v>
      </c>
      <c r="C49" s="2" t="s">
        <v>648</v>
      </c>
      <c r="D49" s="2" t="n">
        <v>1</v>
      </c>
      <c r="E49" s="11" t="n">
        <v>221</v>
      </c>
      <c r="F49" s="11" t="n">
        <v>172</v>
      </c>
      <c r="G49" s="11" t="n">
        <f aca="false">IF(E49="","",F49-E49)</f>
        <v>-49</v>
      </c>
      <c r="H49" s="12" t="n">
        <f aca="false">IF(E49="","",(F49-E49)/E49)</f>
        <v>-0.221719457013575</v>
      </c>
      <c r="I49" s="2" t="n">
        <v>7.4</v>
      </c>
      <c r="J49" s="2" t="n">
        <v>28.9</v>
      </c>
      <c r="K49" s="2" t="n">
        <v>3</v>
      </c>
      <c r="L49" s="2" t="str">
        <f aca="false">IF(E49="","no published figure",IF(ABS(H49)&gt;0.25,"1 - check first",IF(ABS(H49)&gt;0.15,"2 - check","3 - close enough")))</f>
        <v>2 - check</v>
      </c>
      <c r="M49" s="2"/>
      <c r="N49" s="10"/>
      <c r="O49" s="10"/>
    </row>
    <row r="50" customFormat="false" ht="15" hidden="false" customHeight="false" outlineLevel="0" collapsed="false">
      <c r="A50" s="2" t="s">
        <v>960</v>
      </c>
      <c r="B50" s="2" t="s">
        <v>961</v>
      </c>
      <c r="C50" s="2" t="s">
        <v>736</v>
      </c>
      <c r="D50" s="2" t="n">
        <v>1</v>
      </c>
      <c r="E50" s="11" t="n">
        <v>440</v>
      </c>
      <c r="F50" s="11" t="n">
        <v>536.9</v>
      </c>
      <c r="G50" s="11" t="n">
        <f aca="false">IF(E50="","",F50-E50)</f>
        <v>96.9</v>
      </c>
      <c r="H50" s="12" t="n">
        <f aca="false">IF(E50="","",(F50-E50)/E50)</f>
        <v>0.220227272727273</v>
      </c>
      <c r="I50" s="2" t="n">
        <v>42.7</v>
      </c>
      <c r="J50" s="2" t="n">
        <v>51.1</v>
      </c>
      <c r="K50" s="2" t="n">
        <v>17.9</v>
      </c>
      <c r="L50" s="2" t="str">
        <f aca="false">IF(E50="","no published figure",IF(ABS(H50)&gt;0.25,"1 - check first",IF(ABS(H50)&gt;0.15,"2 - check","3 - close enough")))</f>
        <v>2 - check</v>
      </c>
      <c r="M50" s="2"/>
      <c r="N50" s="10"/>
      <c r="O50" s="10"/>
    </row>
    <row r="51" customFormat="false" ht="15" hidden="false" customHeight="false" outlineLevel="0" collapsed="false">
      <c r="A51" s="2" t="s">
        <v>671</v>
      </c>
      <c r="B51" s="2" t="s">
        <v>672</v>
      </c>
      <c r="C51" s="2" t="s">
        <v>663</v>
      </c>
      <c r="D51" s="2" t="n">
        <v>20</v>
      </c>
      <c r="E51" s="11" t="n">
        <v>105</v>
      </c>
      <c r="F51" s="11" t="n">
        <v>82.1</v>
      </c>
      <c r="G51" s="11" t="n">
        <f aca="false">IF(E51="","",F51-E51)</f>
        <v>-22.9</v>
      </c>
      <c r="H51" s="12" t="n">
        <f aca="false">IF(E51="","",(F51-E51)/E51)</f>
        <v>-0.218095238095238</v>
      </c>
      <c r="I51" s="2" t="n">
        <v>4.5</v>
      </c>
      <c r="J51" s="2" t="n">
        <v>7.3</v>
      </c>
      <c r="K51" s="2" t="n">
        <v>3.9</v>
      </c>
      <c r="L51" s="2" t="str">
        <f aca="false">IF(E51="","no published figure",IF(ABS(H51)&gt;0.25,"1 - check first",IF(ABS(H51)&gt;0.15,"2 - check","3 - close enough")))</f>
        <v>2 - check</v>
      </c>
      <c r="M51" s="2"/>
      <c r="N51" s="10"/>
      <c r="O51" s="10"/>
    </row>
    <row r="52" customFormat="false" ht="15" hidden="false" customHeight="false" outlineLevel="0" collapsed="false">
      <c r="A52" s="2" t="s">
        <v>654</v>
      </c>
      <c r="B52" s="2" t="s">
        <v>655</v>
      </c>
      <c r="C52" s="2" t="s">
        <v>648</v>
      </c>
      <c r="D52" s="2" t="n">
        <v>1</v>
      </c>
      <c r="E52" s="11" t="n">
        <v>497</v>
      </c>
      <c r="F52" s="11" t="n">
        <v>605</v>
      </c>
      <c r="G52" s="11" t="n">
        <f aca="false">IF(E52="","",F52-E52)</f>
        <v>108</v>
      </c>
      <c r="H52" s="12" t="n">
        <f aca="false">IF(E52="","",(F52-E52)/E52)</f>
        <v>0.217303822937626</v>
      </c>
      <c r="I52" s="2" t="n">
        <v>37</v>
      </c>
      <c r="J52" s="2" t="n">
        <v>85.4</v>
      </c>
      <c r="K52" s="2" t="n">
        <v>12.9</v>
      </c>
      <c r="L52" s="2" t="str">
        <f aca="false">IF(E52="","no published figure",IF(ABS(H52)&gt;0.25,"1 - check first",IF(ABS(H52)&gt;0.15,"2 - check","3 - close enough")))</f>
        <v>2 - check</v>
      </c>
      <c r="M52" s="2"/>
      <c r="N52" s="10"/>
      <c r="O52" s="10"/>
    </row>
    <row r="53" customFormat="false" ht="15" hidden="false" customHeight="false" outlineLevel="0" collapsed="false">
      <c r="A53" s="2" t="s">
        <v>1210</v>
      </c>
      <c r="B53" s="2" t="s">
        <v>1211</v>
      </c>
      <c r="C53" s="2" t="s">
        <v>736</v>
      </c>
      <c r="D53" s="2" t="n">
        <v>1</v>
      </c>
      <c r="E53" s="11" t="n">
        <v>430</v>
      </c>
      <c r="F53" s="11" t="n">
        <v>523.4</v>
      </c>
      <c r="G53" s="11" t="n">
        <f aca="false">IF(E53="","",F53-E53)</f>
        <v>93.4</v>
      </c>
      <c r="H53" s="12" t="n">
        <f aca="false">IF(E53="","",(F53-E53)/E53)</f>
        <v>0.217209302325581</v>
      </c>
      <c r="I53" s="2" t="n">
        <v>28.9</v>
      </c>
      <c r="J53" s="2" t="n">
        <v>66.2</v>
      </c>
      <c r="K53" s="2" t="n">
        <v>15.9</v>
      </c>
      <c r="L53" s="2" t="str">
        <f aca="false">IF(E53="","no published figure",IF(ABS(H53)&gt;0.25,"1 - check first",IF(ABS(H53)&gt;0.15,"2 - check","3 - close enough")))</f>
        <v>2 - check</v>
      </c>
      <c r="M53" s="2"/>
      <c r="N53" s="10"/>
      <c r="O53" s="10"/>
    </row>
    <row r="54" customFormat="false" ht="15" hidden="false" customHeight="false" outlineLevel="0" collapsed="false">
      <c r="A54" s="2" t="s">
        <v>1238</v>
      </c>
      <c r="B54" s="2" t="s">
        <v>1239</v>
      </c>
      <c r="C54" s="2" t="s">
        <v>736</v>
      </c>
      <c r="D54" s="2" t="n">
        <v>1</v>
      </c>
      <c r="E54" s="11" t="n">
        <v>375</v>
      </c>
      <c r="F54" s="11" t="n">
        <v>456.4</v>
      </c>
      <c r="G54" s="11" t="n">
        <f aca="false">IF(E54="","",F54-E54)</f>
        <v>81.4</v>
      </c>
      <c r="H54" s="12" t="n">
        <f aca="false">IF(E54="","",(F54-E54)/E54)</f>
        <v>0.217066666666667</v>
      </c>
      <c r="I54" s="2" t="n">
        <v>36.2</v>
      </c>
      <c r="J54" s="2" t="n">
        <v>47.9</v>
      </c>
      <c r="K54" s="2" t="n">
        <v>13.3</v>
      </c>
      <c r="L54" s="2" t="str">
        <f aca="false">IF(E54="","no published figure",IF(ABS(H54)&gt;0.25,"1 - check first",IF(ABS(H54)&gt;0.15,"2 - check","3 - close enough")))</f>
        <v>2 - check</v>
      </c>
      <c r="M54" s="2"/>
      <c r="N54" s="10"/>
      <c r="O54" s="10"/>
    </row>
    <row r="55" customFormat="false" ht="15" hidden="false" customHeight="false" outlineLevel="0" collapsed="false">
      <c r="A55" s="2" t="s">
        <v>1470</v>
      </c>
      <c r="B55" s="2" t="s">
        <v>1471</v>
      </c>
      <c r="C55" s="2" t="s">
        <v>663</v>
      </c>
      <c r="D55" s="2" t="n">
        <v>4</v>
      </c>
      <c r="E55" s="11" t="n">
        <v>327</v>
      </c>
      <c r="F55" s="11" t="n">
        <v>256.3</v>
      </c>
      <c r="G55" s="11" t="n">
        <f aca="false">IF(E55="","",F55-E55)</f>
        <v>-70.7</v>
      </c>
      <c r="H55" s="12" t="n">
        <f aca="false">IF(E55="","",(F55-E55)/E55)</f>
        <v>-0.216207951070336</v>
      </c>
      <c r="I55" s="2" t="n">
        <v>8.2</v>
      </c>
      <c r="J55" s="2" t="n">
        <v>37.2</v>
      </c>
      <c r="K55" s="2" t="n">
        <v>8.3</v>
      </c>
      <c r="L55" s="2" t="str">
        <f aca="false">IF(E55="","no published figure",IF(ABS(H55)&gt;0.25,"1 - check first",IF(ABS(H55)&gt;0.15,"2 - check","3 - close enough")))</f>
        <v>2 - check</v>
      </c>
      <c r="M55" s="2"/>
      <c r="N55" s="10"/>
      <c r="O55" s="10"/>
    </row>
    <row r="56" customFormat="false" ht="15" hidden="false" customHeight="false" outlineLevel="0" collapsed="false">
      <c r="A56" s="2" t="s">
        <v>715</v>
      </c>
      <c r="B56" s="2" t="s">
        <v>716</v>
      </c>
      <c r="C56" s="2" t="s">
        <v>663</v>
      </c>
      <c r="D56" s="2" t="n">
        <v>1</v>
      </c>
      <c r="E56" s="11" t="n">
        <v>651</v>
      </c>
      <c r="F56" s="11" t="n">
        <v>511</v>
      </c>
      <c r="G56" s="11" t="n">
        <f aca="false">IF(E56="","",F56-E56)</f>
        <v>-140</v>
      </c>
      <c r="H56" s="12" t="n">
        <f aca="false">IF(E56="","",(F56-E56)/E56)</f>
        <v>-0.21505376344086</v>
      </c>
      <c r="I56" s="2" t="n">
        <v>21.2</v>
      </c>
      <c r="J56" s="2" t="n">
        <v>45.8</v>
      </c>
      <c r="K56" s="2" t="n">
        <v>27</v>
      </c>
      <c r="L56" s="2" t="str">
        <f aca="false">IF(E56="","no published figure",IF(ABS(H56)&gt;0.25,"1 - check first",IF(ABS(H56)&gt;0.15,"2 - check","3 - close enough")))</f>
        <v>2 - check</v>
      </c>
      <c r="M56" s="2"/>
      <c r="N56" s="10"/>
      <c r="O56" s="10"/>
    </row>
    <row r="57" customFormat="false" ht="15" hidden="false" customHeight="false" outlineLevel="0" collapsed="false">
      <c r="A57" s="2" t="s">
        <v>748</v>
      </c>
      <c r="B57" s="2" t="s">
        <v>749</v>
      </c>
      <c r="C57" s="2" t="s">
        <v>736</v>
      </c>
      <c r="D57" s="2" t="n">
        <v>4</v>
      </c>
      <c r="E57" s="11" t="n">
        <v>563</v>
      </c>
      <c r="F57" s="11" t="n">
        <v>442.3</v>
      </c>
      <c r="G57" s="11" t="n">
        <f aca="false">IF(E57="","",F57-E57)</f>
        <v>-120.7</v>
      </c>
      <c r="H57" s="12" t="n">
        <f aca="false">IF(E57="","",(F57-E57)/E57)</f>
        <v>-0.214387211367673</v>
      </c>
      <c r="I57" s="2" t="n">
        <v>46</v>
      </c>
      <c r="J57" s="2" t="n">
        <v>33.6</v>
      </c>
      <c r="K57" s="2" t="n">
        <v>13.8</v>
      </c>
      <c r="L57" s="2" t="str">
        <f aca="false">IF(E57="","no published figure",IF(ABS(H57)&gt;0.25,"1 - check first",IF(ABS(H57)&gt;0.15,"2 - check","3 - close enough")))</f>
        <v>2 - check</v>
      </c>
      <c r="M57" s="2"/>
      <c r="N57" s="10"/>
      <c r="O57" s="10"/>
    </row>
    <row r="58" customFormat="false" ht="15" hidden="false" customHeight="false" outlineLevel="0" collapsed="false">
      <c r="A58" s="2" t="s">
        <v>1198</v>
      </c>
      <c r="B58" s="2" t="s">
        <v>1199</v>
      </c>
      <c r="C58" s="2" t="s">
        <v>736</v>
      </c>
      <c r="D58" s="2" t="n">
        <v>1</v>
      </c>
      <c r="E58" s="11" t="n">
        <v>533</v>
      </c>
      <c r="F58" s="11" t="n">
        <v>646.1</v>
      </c>
      <c r="G58" s="11" t="n">
        <f aca="false">IF(E58="","",F58-E58)</f>
        <v>113.1</v>
      </c>
      <c r="H58" s="12" t="n">
        <f aca="false">IF(E58="","",(F58-E58)/E58)</f>
        <v>0.21219512195122</v>
      </c>
      <c r="I58" s="2" t="n">
        <v>24.5</v>
      </c>
      <c r="J58" s="2" t="n">
        <v>56.8</v>
      </c>
      <c r="K58" s="2" t="n">
        <v>35.6</v>
      </c>
      <c r="L58" s="2" t="str">
        <f aca="false">IF(E58="","no published figure",IF(ABS(H58)&gt;0.25,"1 - check first",IF(ABS(H58)&gt;0.15,"2 - check","3 - close enough")))</f>
        <v>2 - check</v>
      </c>
      <c r="M58" s="2" t="s">
        <v>761</v>
      </c>
      <c r="N58" s="10"/>
      <c r="O58" s="10"/>
    </row>
    <row r="59" customFormat="false" ht="15" hidden="false" customHeight="false" outlineLevel="0" collapsed="false">
      <c r="A59" s="2" t="s">
        <v>679</v>
      </c>
      <c r="B59" s="2" t="s">
        <v>680</v>
      </c>
      <c r="C59" s="2" t="s">
        <v>663</v>
      </c>
      <c r="D59" s="2" t="n">
        <v>1</v>
      </c>
      <c r="E59" s="11" t="n">
        <v>366</v>
      </c>
      <c r="F59" s="11" t="n">
        <v>288.5</v>
      </c>
      <c r="G59" s="11" t="n">
        <f aca="false">IF(E59="","",F59-E59)</f>
        <v>-77.5</v>
      </c>
      <c r="H59" s="12" t="n">
        <f aca="false">IF(E59="","",(F59-E59)/E59)</f>
        <v>-0.211748633879781</v>
      </c>
      <c r="I59" s="2" t="n">
        <v>38</v>
      </c>
      <c r="J59" s="2" t="n">
        <v>1.1</v>
      </c>
      <c r="K59" s="2" t="n">
        <v>14.7</v>
      </c>
      <c r="L59" s="2" t="str">
        <f aca="false">IF(E59="","no published figure",IF(ABS(H59)&gt;0.25,"1 - check first",IF(ABS(H59)&gt;0.15,"2 - check","3 - close enough")))</f>
        <v>2 - check</v>
      </c>
      <c r="M59" s="2"/>
      <c r="N59" s="10"/>
      <c r="O59" s="10"/>
    </row>
    <row r="60" customFormat="false" ht="15" hidden="false" customHeight="false" outlineLevel="0" collapsed="false">
      <c r="A60" s="2" t="s">
        <v>665</v>
      </c>
      <c r="B60" s="2" t="s">
        <v>666</v>
      </c>
      <c r="C60" s="2" t="s">
        <v>663</v>
      </c>
      <c r="D60" s="2" t="n">
        <v>1</v>
      </c>
      <c r="E60" s="11" t="n">
        <v>567</v>
      </c>
      <c r="F60" s="11" t="n">
        <v>685.6</v>
      </c>
      <c r="G60" s="11" t="n">
        <f aca="false">IF(E60="","",F60-E60)</f>
        <v>118.6</v>
      </c>
      <c r="H60" s="12" t="n">
        <f aca="false">IF(E60="","",(F60-E60)/E60)</f>
        <v>0.209171075837743</v>
      </c>
      <c r="I60" s="2" t="n">
        <v>66.5</v>
      </c>
      <c r="J60" s="2" t="n">
        <v>41.7</v>
      </c>
      <c r="K60" s="2" t="n">
        <v>28.1</v>
      </c>
      <c r="L60" s="2" t="str">
        <f aca="false">IF(E60="","no published figure",IF(ABS(H60)&gt;0.25,"1 - check first",IF(ABS(H60)&gt;0.15,"2 - check","3 - close enough")))</f>
        <v>2 - check</v>
      </c>
      <c r="M60" s="2"/>
      <c r="N60" s="10"/>
      <c r="O60" s="10"/>
    </row>
    <row r="61" customFormat="false" ht="15" hidden="false" customHeight="false" outlineLevel="0" collapsed="false">
      <c r="A61" s="2" t="s">
        <v>1307</v>
      </c>
      <c r="B61" s="2" t="s">
        <v>1308</v>
      </c>
      <c r="C61" s="2" t="s">
        <v>736</v>
      </c>
      <c r="D61" s="2" t="n">
        <v>1</v>
      </c>
      <c r="E61" s="11" t="n">
        <v>415</v>
      </c>
      <c r="F61" s="11" t="n">
        <v>329.5</v>
      </c>
      <c r="G61" s="11" t="n">
        <f aca="false">IF(E61="","",F61-E61)</f>
        <v>-85.5</v>
      </c>
      <c r="H61" s="12" t="n">
        <f aca="false">IF(E61="","",(F61-E61)/E61)</f>
        <v>-0.206024096385542</v>
      </c>
      <c r="I61" s="2" t="n">
        <v>23.6</v>
      </c>
      <c r="J61" s="2" t="n">
        <v>31.9</v>
      </c>
      <c r="K61" s="2" t="n">
        <v>11.9</v>
      </c>
      <c r="L61" s="2" t="str">
        <f aca="false">IF(E61="","no published figure",IF(ABS(H61)&gt;0.25,"1 - check first",IF(ABS(H61)&gt;0.15,"2 - check","3 - close enough")))</f>
        <v>2 - check</v>
      </c>
      <c r="M61" s="2"/>
      <c r="N61" s="10"/>
      <c r="O61" s="10"/>
    </row>
    <row r="62" customFormat="false" ht="15" hidden="false" customHeight="false" outlineLevel="0" collapsed="false">
      <c r="A62" s="2" t="s">
        <v>1218</v>
      </c>
      <c r="B62" s="2" t="s">
        <v>1219</v>
      </c>
      <c r="C62" s="2" t="s">
        <v>736</v>
      </c>
      <c r="D62" s="2" t="n">
        <v>1</v>
      </c>
      <c r="E62" s="11" t="n">
        <v>160</v>
      </c>
      <c r="F62" s="11" t="n">
        <v>192.9</v>
      </c>
      <c r="G62" s="11" t="n">
        <f aca="false">IF(E62="","",F62-E62)</f>
        <v>32.9</v>
      </c>
      <c r="H62" s="12" t="n">
        <f aca="false">IF(E62="","",(F62-E62)/E62)</f>
        <v>0.205625</v>
      </c>
      <c r="I62" s="2" t="n">
        <v>12.9</v>
      </c>
      <c r="J62" s="2" t="n">
        <v>19.1</v>
      </c>
      <c r="K62" s="2" t="n">
        <v>7.2</v>
      </c>
      <c r="L62" s="2" t="str">
        <f aca="false">IF(E62="","no published figure",IF(ABS(H62)&gt;0.25,"1 - check first",IF(ABS(H62)&gt;0.15,"2 - check","3 - close enough")))</f>
        <v>2 - check</v>
      </c>
      <c r="M62" s="2"/>
      <c r="N62" s="10"/>
      <c r="O62" s="10"/>
    </row>
    <row r="63" customFormat="false" ht="15" hidden="false" customHeight="false" outlineLevel="0" collapsed="false">
      <c r="A63" s="2" t="s">
        <v>1029</v>
      </c>
      <c r="B63" s="2" t="s">
        <v>1030</v>
      </c>
      <c r="C63" s="2" t="s">
        <v>736</v>
      </c>
      <c r="D63" s="2" t="n">
        <v>1</v>
      </c>
      <c r="E63" s="11" t="n">
        <v>590</v>
      </c>
      <c r="F63" s="11" t="n">
        <v>711.4</v>
      </c>
      <c r="G63" s="11" t="n">
        <f aca="false">IF(E63="","",F63-E63)</f>
        <v>121.4</v>
      </c>
      <c r="H63" s="12" t="n">
        <f aca="false">IF(E63="","",(F63-E63)/E63)</f>
        <v>0.205762711864407</v>
      </c>
      <c r="I63" s="2" t="n">
        <v>66.3</v>
      </c>
      <c r="J63" s="2" t="n">
        <v>82.5</v>
      </c>
      <c r="K63" s="2" t="n">
        <v>12.9</v>
      </c>
      <c r="L63" s="2" t="str">
        <f aca="false">IF(E63="","no published figure",IF(ABS(H63)&gt;0.25,"1 - check first",IF(ABS(H63)&gt;0.15,"2 - check","3 - close enough")))</f>
        <v>2 - check</v>
      </c>
      <c r="M63" s="2" t="s">
        <v>1033</v>
      </c>
      <c r="N63" s="10"/>
      <c r="O63" s="10"/>
    </row>
    <row r="64" customFormat="false" ht="15" hidden="false" customHeight="false" outlineLevel="0" collapsed="false">
      <c r="A64" s="2" t="s">
        <v>1079</v>
      </c>
      <c r="B64" s="2" t="s">
        <v>1080</v>
      </c>
      <c r="C64" s="2" t="s">
        <v>736</v>
      </c>
      <c r="D64" s="2" t="n">
        <v>1</v>
      </c>
      <c r="E64" s="11" t="n">
        <v>455</v>
      </c>
      <c r="F64" s="11" t="n">
        <v>547.4</v>
      </c>
      <c r="G64" s="11" t="n">
        <f aca="false">IF(E64="","",F64-E64)</f>
        <v>92.4</v>
      </c>
      <c r="H64" s="12" t="n">
        <f aca="false">IF(E64="","",(F64-E64)/E64)</f>
        <v>0.203076923076923</v>
      </c>
      <c r="I64" s="2" t="n">
        <v>43.7</v>
      </c>
      <c r="J64" s="2" t="n">
        <v>81.2</v>
      </c>
      <c r="K64" s="2" t="n">
        <v>5.3</v>
      </c>
      <c r="L64" s="2" t="str">
        <f aca="false">IF(E64="","no published figure",IF(ABS(H64)&gt;0.25,"1 - check first",IF(ABS(H64)&gt;0.15,"2 - check","3 - close enough")))</f>
        <v>2 - check</v>
      </c>
      <c r="M64" s="2"/>
      <c r="N64" s="10"/>
      <c r="O64" s="10"/>
    </row>
    <row r="65" customFormat="false" ht="15" hidden="false" customHeight="false" outlineLevel="0" collapsed="false">
      <c r="A65" s="2" t="s">
        <v>1580</v>
      </c>
      <c r="B65" s="2" t="s">
        <v>1581</v>
      </c>
      <c r="C65" s="2" t="s">
        <v>648</v>
      </c>
      <c r="D65" s="2" t="n">
        <v>1</v>
      </c>
      <c r="E65" s="11" t="n">
        <v>582</v>
      </c>
      <c r="F65" s="11" t="n">
        <v>463.9</v>
      </c>
      <c r="G65" s="11" t="n">
        <f aca="false">IF(E65="","",F65-E65)</f>
        <v>-118.1</v>
      </c>
      <c r="H65" s="12" t="n">
        <f aca="false">IF(E65="","",(F65-E65)/E65)</f>
        <v>-0.202920962199313</v>
      </c>
      <c r="I65" s="2" t="n">
        <v>36.8</v>
      </c>
      <c r="J65" s="2" t="n">
        <v>38.4</v>
      </c>
      <c r="K65" s="2" t="n">
        <v>18.1</v>
      </c>
      <c r="L65" s="2" t="str">
        <f aca="false">IF(E65="","no published figure",IF(ABS(H65)&gt;0.25,"1 - check first",IF(ABS(H65)&gt;0.15,"2 - check","3 - close enough")))</f>
        <v>2 - check</v>
      </c>
      <c r="M65" s="2"/>
      <c r="N65" s="10"/>
      <c r="O65" s="10"/>
    </row>
    <row r="66" customFormat="false" ht="15" hidden="false" customHeight="false" outlineLevel="0" collapsed="false">
      <c r="A66" s="2" t="s">
        <v>706</v>
      </c>
      <c r="B66" s="2" t="s">
        <v>707</v>
      </c>
      <c r="C66" s="2" t="s">
        <v>663</v>
      </c>
      <c r="D66" s="2" t="n">
        <v>1</v>
      </c>
      <c r="E66" s="11" t="n">
        <v>580</v>
      </c>
      <c r="F66" s="11" t="n">
        <v>695.2</v>
      </c>
      <c r="G66" s="11" t="n">
        <f aca="false">IF(E66="","",F66-E66)</f>
        <v>115.2</v>
      </c>
      <c r="H66" s="12" t="n">
        <f aca="false">IF(E66="","",(F66-E66)/E66)</f>
        <v>0.198620689655173</v>
      </c>
      <c r="I66" s="2" t="n">
        <v>26.9</v>
      </c>
      <c r="J66" s="2" t="n">
        <v>72.9</v>
      </c>
      <c r="K66" s="2" t="n">
        <v>32.9</v>
      </c>
      <c r="L66" s="2" t="str">
        <f aca="false">IF(E66="","no published figure",IF(ABS(H66)&gt;0.25,"1 - check first",IF(ABS(H66)&gt;0.15,"2 - check","3 - close enough")))</f>
        <v>2 - check</v>
      </c>
      <c r="M66" s="2"/>
      <c r="N66" s="10"/>
      <c r="O66" s="10"/>
    </row>
    <row r="67" customFormat="false" ht="15" hidden="false" customHeight="false" outlineLevel="0" collapsed="false">
      <c r="A67" s="2" t="s">
        <v>1522</v>
      </c>
      <c r="B67" s="2" t="s">
        <v>1523</v>
      </c>
      <c r="C67" s="2" t="s">
        <v>736</v>
      </c>
      <c r="D67" s="2" t="n">
        <v>1</v>
      </c>
      <c r="E67" s="11" t="n">
        <v>481</v>
      </c>
      <c r="F67" s="11" t="n">
        <v>576</v>
      </c>
      <c r="G67" s="11" t="n">
        <f aca="false">IF(E67="","",F67-E67)</f>
        <v>95</v>
      </c>
      <c r="H67" s="12" t="n">
        <f aca="false">IF(E67="","",(F67-E67)/E67)</f>
        <v>0.197505197505198</v>
      </c>
      <c r="I67" s="2" t="n">
        <v>45.8</v>
      </c>
      <c r="J67" s="2" t="n">
        <v>28.9</v>
      </c>
      <c r="K67" s="2" t="n">
        <v>30.8</v>
      </c>
      <c r="L67" s="2" t="str">
        <f aca="false">IF(E67="","no published figure",IF(ABS(H67)&gt;0.25,"1 - check first",IF(ABS(H67)&gt;0.15,"2 - check","3 - close enough")))</f>
        <v>2 - check</v>
      </c>
      <c r="M67" s="2"/>
      <c r="N67" s="10"/>
      <c r="O67" s="10"/>
    </row>
    <row r="68" customFormat="false" ht="15" hidden="false" customHeight="false" outlineLevel="0" collapsed="false">
      <c r="A68" s="2" t="s">
        <v>1541</v>
      </c>
      <c r="B68" s="2" t="s">
        <v>1542</v>
      </c>
      <c r="C68" s="2" t="s">
        <v>736</v>
      </c>
      <c r="D68" s="2" t="n">
        <v>1</v>
      </c>
      <c r="E68" s="11" t="n">
        <v>265</v>
      </c>
      <c r="F68" s="11" t="n">
        <v>317.3</v>
      </c>
      <c r="G68" s="11" t="n">
        <f aca="false">IF(E68="","",F68-E68)</f>
        <v>52.3</v>
      </c>
      <c r="H68" s="12" t="n">
        <f aca="false">IF(E68="","",(F68-E68)/E68)</f>
        <v>0.197358490566038</v>
      </c>
      <c r="I68" s="2" t="n">
        <v>43.4</v>
      </c>
      <c r="J68" s="2" t="n">
        <v>26.5</v>
      </c>
      <c r="K68" s="2" t="n">
        <v>4.2</v>
      </c>
      <c r="L68" s="2" t="str">
        <f aca="false">IF(E68="","no published figure",IF(ABS(H68)&gt;0.25,"1 - check first",IF(ABS(H68)&gt;0.15,"2 - check","3 - close enough")))</f>
        <v>2 - check</v>
      </c>
      <c r="M68" s="2"/>
      <c r="N68" s="10"/>
      <c r="O68" s="10"/>
    </row>
    <row r="69" customFormat="false" ht="15" hidden="false" customHeight="false" outlineLevel="0" collapsed="false">
      <c r="A69" s="2" t="s">
        <v>1051</v>
      </c>
      <c r="B69" s="2" t="s">
        <v>1052</v>
      </c>
      <c r="C69" s="2" t="s">
        <v>736</v>
      </c>
      <c r="D69" s="2" t="n">
        <v>1</v>
      </c>
      <c r="E69" s="11" t="n">
        <v>440</v>
      </c>
      <c r="F69" s="11" t="n">
        <v>525.2</v>
      </c>
      <c r="G69" s="11" t="n">
        <f aca="false">IF(E69="","",F69-E69)</f>
        <v>85.2000000000001</v>
      </c>
      <c r="H69" s="12" t="n">
        <f aca="false">IF(E69="","",(F69-E69)/E69)</f>
        <v>0.193636363636364</v>
      </c>
      <c r="I69" s="2" t="n">
        <v>40</v>
      </c>
      <c r="J69" s="2" t="n">
        <v>76</v>
      </c>
      <c r="K69" s="2" t="n">
        <v>6.8</v>
      </c>
      <c r="L69" s="2" t="str">
        <f aca="false">IF(E69="","no published figure",IF(ABS(H69)&gt;0.25,"1 - check first",IF(ABS(H69)&gt;0.15,"2 - check","3 - close enough")))</f>
        <v>2 - check</v>
      </c>
      <c r="M69" s="2"/>
      <c r="N69" s="10"/>
      <c r="O69" s="10"/>
    </row>
    <row r="70" customFormat="false" ht="15" hidden="false" customHeight="false" outlineLevel="0" collapsed="false">
      <c r="A70" s="2" t="s">
        <v>1335</v>
      </c>
      <c r="B70" s="2" t="s">
        <v>1336</v>
      </c>
      <c r="C70" s="2" t="s">
        <v>736</v>
      </c>
      <c r="D70" s="2" t="n">
        <v>1</v>
      </c>
      <c r="E70" s="11" t="n">
        <v>100</v>
      </c>
      <c r="F70" s="11" t="n">
        <v>119.3</v>
      </c>
      <c r="G70" s="11" t="n">
        <f aca="false">IF(E70="","",F70-E70)</f>
        <v>19.3</v>
      </c>
      <c r="H70" s="12" t="n">
        <f aca="false">IF(E70="","",(F70-E70)/E70)</f>
        <v>0.193</v>
      </c>
      <c r="I70" s="2" t="n">
        <v>8.3</v>
      </c>
      <c r="J70" s="2" t="n">
        <v>9.7</v>
      </c>
      <c r="K70" s="2" t="n">
        <v>5.3</v>
      </c>
      <c r="L70" s="2" t="str">
        <f aca="false">IF(E70="","no published figure",IF(ABS(H70)&gt;0.25,"1 - check first",IF(ABS(H70)&gt;0.15,"2 - check","3 - close enough")))</f>
        <v>2 - check</v>
      </c>
      <c r="M70" s="2"/>
      <c r="N70" s="10"/>
      <c r="O70" s="10"/>
    </row>
    <row r="71" customFormat="false" ht="15" hidden="false" customHeight="false" outlineLevel="0" collapsed="false">
      <c r="A71" s="2" t="s">
        <v>1669</v>
      </c>
      <c r="B71" s="2" t="s">
        <v>1670</v>
      </c>
      <c r="C71" s="2" t="s">
        <v>736</v>
      </c>
      <c r="D71" s="2" t="n">
        <v>4</v>
      </c>
      <c r="E71" s="11" t="n">
        <v>484</v>
      </c>
      <c r="F71" s="11" t="n">
        <v>577.1</v>
      </c>
      <c r="G71" s="11" t="n">
        <f aca="false">IF(E71="","",F71-E71)</f>
        <v>93.1</v>
      </c>
      <c r="H71" s="12" t="n">
        <f aca="false">IF(E71="","",(F71-E71)/E71)</f>
        <v>0.192355371900827</v>
      </c>
      <c r="I71" s="2" t="n">
        <v>34.7</v>
      </c>
      <c r="J71" s="2" t="n">
        <v>86.7</v>
      </c>
      <c r="K71" s="2" t="n">
        <v>10.2</v>
      </c>
      <c r="L71" s="2" t="str">
        <f aca="false">IF(E71="","no published figure",IF(ABS(H71)&gt;0.25,"1 - check first",IF(ABS(H71)&gt;0.15,"2 - check","3 - close enough")))</f>
        <v>2 - check</v>
      </c>
      <c r="M71" s="2"/>
      <c r="N71" s="10"/>
      <c r="O71" s="10"/>
    </row>
    <row r="72" customFormat="false" ht="15" hidden="false" customHeight="false" outlineLevel="0" collapsed="false">
      <c r="A72" s="2" t="s">
        <v>650</v>
      </c>
      <c r="B72" s="2" t="s">
        <v>651</v>
      </c>
      <c r="C72" s="2" t="s">
        <v>648</v>
      </c>
      <c r="D72" s="2" t="n">
        <v>1</v>
      </c>
      <c r="E72" s="11" t="n">
        <v>354</v>
      </c>
      <c r="F72" s="11" t="n">
        <v>286.4</v>
      </c>
      <c r="G72" s="11" t="n">
        <f aca="false">IF(E72="","",F72-E72)</f>
        <v>-67.6</v>
      </c>
      <c r="H72" s="12" t="n">
        <f aca="false">IF(E72="","",(F72-E72)/E72)</f>
        <v>-0.190960451977401</v>
      </c>
      <c r="I72" s="2" t="n">
        <v>7.4</v>
      </c>
      <c r="J72" s="2" t="n">
        <v>33.2</v>
      </c>
      <c r="K72" s="2" t="n">
        <v>13.8</v>
      </c>
      <c r="L72" s="2" t="str">
        <f aca="false">IF(E72="","no published figure",IF(ABS(H72)&gt;0.25,"1 - check first",IF(ABS(H72)&gt;0.15,"2 - check","3 - close enough")))</f>
        <v>2 - check</v>
      </c>
      <c r="M72" s="2"/>
      <c r="N72" s="10"/>
      <c r="O72" s="10"/>
    </row>
    <row r="73" customFormat="false" ht="15" hidden="false" customHeight="false" outlineLevel="0" collapsed="false">
      <c r="A73" s="2" t="s">
        <v>1418</v>
      </c>
      <c r="B73" s="2" t="s">
        <v>1419</v>
      </c>
      <c r="C73" s="2" t="s">
        <v>736</v>
      </c>
      <c r="D73" s="2" t="n">
        <v>1</v>
      </c>
      <c r="E73" s="11" t="n">
        <v>459</v>
      </c>
      <c r="F73" s="11" t="n">
        <v>371.4</v>
      </c>
      <c r="G73" s="11" t="n">
        <f aca="false">IF(E73="","",F73-E73)</f>
        <v>-87.6</v>
      </c>
      <c r="H73" s="12" t="n">
        <f aca="false">IF(E73="","",(F73-E73)/E73)</f>
        <v>-0.190849673202614</v>
      </c>
      <c r="I73" s="2" t="n">
        <v>46.8</v>
      </c>
      <c r="J73" s="2" t="n">
        <v>39.4</v>
      </c>
      <c r="K73" s="2" t="n">
        <v>3</v>
      </c>
      <c r="L73" s="2" t="str">
        <f aca="false">IF(E73="","no published figure",IF(ABS(H73)&gt;0.25,"1 - check first",IF(ABS(H73)&gt;0.15,"2 - check","3 - close enough")))</f>
        <v>2 - check</v>
      </c>
      <c r="M73" s="2"/>
      <c r="N73" s="10"/>
      <c r="O73" s="10"/>
    </row>
    <row r="74" customFormat="false" ht="15" hidden="false" customHeight="false" outlineLevel="0" collapsed="false">
      <c r="A74" s="2" t="s">
        <v>1593</v>
      </c>
      <c r="B74" s="2" t="s">
        <v>1594</v>
      </c>
      <c r="C74" s="2" t="s">
        <v>648</v>
      </c>
      <c r="D74" s="2" t="n">
        <v>1</v>
      </c>
      <c r="E74" s="11" t="n">
        <v>364</v>
      </c>
      <c r="F74" s="11" t="n">
        <v>295.9</v>
      </c>
      <c r="G74" s="11" t="n">
        <f aca="false">IF(E74="","",F74-E74)</f>
        <v>-68.1</v>
      </c>
      <c r="H74" s="12" t="n">
        <f aca="false">IF(E74="","",(F74-E74)/E74)</f>
        <v>-0.187087912087912</v>
      </c>
      <c r="I74" s="2" t="n">
        <v>31.1</v>
      </c>
      <c r="J74" s="2" t="n">
        <v>32</v>
      </c>
      <c r="K74" s="2" t="n">
        <v>4.8</v>
      </c>
      <c r="L74" s="2" t="str">
        <f aca="false">IF(E74="","no published figure",IF(ABS(H74)&gt;0.25,"1 - check first",IF(ABS(H74)&gt;0.15,"2 - check","3 - close enough")))</f>
        <v>2 - check</v>
      </c>
      <c r="M74" s="2"/>
      <c r="N74" s="10"/>
      <c r="O74" s="10"/>
    </row>
    <row r="75" customFormat="false" ht="15" hidden="false" customHeight="false" outlineLevel="0" collapsed="false">
      <c r="A75" s="2" t="s">
        <v>935</v>
      </c>
      <c r="B75" s="2" t="s">
        <v>936</v>
      </c>
      <c r="C75" s="2" t="s">
        <v>736</v>
      </c>
      <c r="D75" s="2" t="n">
        <v>1</v>
      </c>
      <c r="E75" s="11" t="n">
        <v>445</v>
      </c>
      <c r="F75" s="11" t="n">
        <v>526.3</v>
      </c>
      <c r="G75" s="11" t="n">
        <f aca="false">IF(E75="","",F75-E75)</f>
        <v>81.3</v>
      </c>
      <c r="H75" s="12" t="n">
        <f aca="false">IF(E75="","",(F75-E75)/E75)</f>
        <v>0.182696629213483</v>
      </c>
      <c r="I75" s="2" t="n">
        <v>52.4</v>
      </c>
      <c r="J75" s="2" t="n">
        <v>65.4</v>
      </c>
      <c r="K75" s="2" t="n">
        <v>6.1</v>
      </c>
      <c r="L75" s="2" t="str">
        <f aca="false">IF(E75="","no published figure",IF(ABS(H75)&gt;0.25,"1 - check first",IF(ABS(H75)&gt;0.15,"2 - check","3 - close enough")))</f>
        <v>2 - check</v>
      </c>
      <c r="M75" s="2" t="s">
        <v>939</v>
      </c>
      <c r="N75" s="10"/>
      <c r="O75" s="10"/>
    </row>
    <row r="76" customFormat="false" ht="15" hidden="false" customHeight="false" outlineLevel="0" collapsed="false">
      <c r="A76" s="2" t="s">
        <v>1042</v>
      </c>
      <c r="B76" s="2" t="s">
        <v>1043</v>
      </c>
      <c r="C76" s="2" t="s">
        <v>736</v>
      </c>
      <c r="D76" s="2" t="n">
        <v>1</v>
      </c>
      <c r="E76" s="11" t="n">
        <v>515</v>
      </c>
      <c r="F76" s="11" t="n">
        <v>608.5</v>
      </c>
      <c r="G76" s="11" t="n">
        <f aca="false">IF(E76="","",F76-E76)</f>
        <v>93.5</v>
      </c>
      <c r="H76" s="12" t="n">
        <f aca="false">IF(E76="","",(F76-E76)/E76)</f>
        <v>0.181553398058252</v>
      </c>
      <c r="I76" s="2" t="n">
        <v>48.8</v>
      </c>
      <c r="J76" s="2" t="n">
        <v>75.5</v>
      </c>
      <c r="K76" s="2" t="n">
        <v>12.3</v>
      </c>
      <c r="L76" s="2" t="str">
        <f aca="false">IF(E76="","no published figure",IF(ABS(H76)&gt;0.25,"1 - check first",IF(ABS(H76)&gt;0.15,"2 - check","3 - close enough")))</f>
        <v>2 - check</v>
      </c>
      <c r="M76" s="2"/>
      <c r="N76" s="10"/>
      <c r="O76" s="10"/>
    </row>
    <row r="77" customFormat="false" ht="15" hidden="false" customHeight="false" outlineLevel="0" collapsed="false">
      <c r="A77" s="2" t="s">
        <v>1024</v>
      </c>
      <c r="B77" s="2" t="s">
        <v>1025</v>
      </c>
      <c r="C77" s="2" t="s">
        <v>736</v>
      </c>
      <c r="D77" s="2" t="n">
        <v>1</v>
      </c>
      <c r="E77" s="11" t="n">
        <v>515</v>
      </c>
      <c r="F77" s="11" t="n">
        <v>608.2</v>
      </c>
      <c r="G77" s="11" t="n">
        <f aca="false">IF(E77="","",F77-E77)</f>
        <v>93.2000000000001</v>
      </c>
      <c r="H77" s="12" t="n">
        <f aca="false">IF(E77="","",(F77-E77)/E77)</f>
        <v>0.180970873786408</v>
      </c>
      <c r="I77" s="2" t="n">
        <v>46.1</v>
      </c>
      <c r="J77" s="2" t="n">
        <v>83.9</v>
      </c>
      <c r="K77" s="2" t="n">
        <v>9.8</v>
      </c>
      <c r="L77" s="2" t="str">
        <f aca="false">IF(E77="","no published figure",IF(ABS(H77)&gt;0.25,"1 - check first",IF(ABS(H77)&gt;0.15,"2 - check","3 - close enough")))</f>
        <v>2 - check</v>
      </c>
      <c r="M77" s="2" t="s">
        <v>1028</v>
      </c>
      <c r="N77" s="10"/>
      <c r="O77" s="10"/>
    </row>
    <row r="78" customFormat="false" ht="15" hidden="false" customHeight="false" outlineLevel="0" collapsed="false">
      <c r="A78" s="2" t="s">
        <v>762</v>
      </c>
      <c r="B78" s="2" t="s">
        <v>763</v>
      </c>
      <c r="C78" s="2" t="s">
        <v>736</v>
      </c>
      <c r="D78" s="2" t="n">
        <v>1</v>
      </c>
      <c r="E78" s="11" t="n">
        <v>381</v>
      </c>
      <c r="F78" s="11" t="n">
        <v>313.1</v>
      </c>
      <c r="G78" s="11" t="n">
        <f aca="false">IF(E78="","",F78-E78)</f>
        <v>-67.9</v>
      </c>
      <c r="H78" s="12" t="n">
        <f aca="false">IF(E78="","",(F78-E78)/E78)</f>
        <v>-0.178215223097113</v>
      </c>
      <c r="I78" s="2" t="n">
        <v>19.3</v>
      </c>
      <c r="J78" s="2" t="n">
        <v>54.3</v>
      </c>
      <c r="K78" s="2" t="n">
        <v>2.1</v>
      </c>
      <c r="L78" s="2" t="str">
        <f aca="false">IF(E78="","no published figure",IF(ABS(H78)&gt;0.25,"1 - check first",IF(ABS(H78)&gt;0.15,"2 - check","3 - close enough")))</f>
        <v>2 - check</v>
      </c>
      <c r="M78" s="2"/>
      <c r="N78" s="10"/>
      <c r="O78" s="10"/>
    </row>
    <row r="79" customFormat="false" ht="15" hidden="false" customHeight="false" outlineLevel="0" collapsed="false">
      <c r="A79" s="2" t="s">
        <v>1575</v>
      </c>
      <c r="B79" s="2" t="s">
        <v>1576</v>
      </c>
      <c r="C79" s="2" t="s">
        <v>648</v>
      </c>
      <c r="D79" s="2" t="n">
        <v>1</v>
      </c>
      <c r="E79" s="11" t="n">
        <v>622</v>
      </c>
      <c r="F79" s="11" t="n">
        <v>511.3</v>
      </c>
      <c r="G79" s="11" t="n">
        <f aca="false">IF(E79="","",F79-E79)</f>
        <v>-110.7</v>
      </c>
      <c r="H79" s="12" t="n">
        <f aca="false">IF(E79="","",(F79-E79)/E79)</f>
        <v>-0.177974276527331</v>
      </c>
      <c r="I79" s="2" t="n">
        <v>37.6</v>
      </c>
      <c r="J79" s="2" t="n">
        <v>61.4</v>
      </c>
      <c r="K79" s="2" t="n">
        <v>12.8</v>
      </c>
      <c r="L79" s="2" t="str">
        <f aca="false">IF(E79="","no published figure",IF(ABS(H79)&gt;0.25,"1 - check first",IF(ABS(H79)&gt;0.15,"2 - check","3 - close enough")))</f>
        <v>2 - check</v>
      </c>
      <c r="M79" s="2"/>
      <c r="N79" s="10"/>
      <c r="O79" s="10"/>
    </row>
    <row r="80" customFormat="false" ht="15" hidden="false" customHeight="false" outlineLevel="0" collapsed="false">
      <c r="A80" s="2" t="s">
        <v>1487</v>
      </c>
      <c r="B80" s="2" t="s">
        <v>1488</v>
      </c>
      <c r="C80" s="2" t="s">
        <v>736</v>
      </c>
      <c r="D80" s="2" t="n">
        <v>1</v>
      </c>
      <c r="E80" s="11" t="n">
        <v>165</v>
      </c>
      <c r="F80" s="11" t="n">
        <v>194.4</v>
      </c>
      <c r="G80" s="11" t="n">
        <f aca="false">IF(E80="","",F80-E80)</f>
        <v>29.4</v>
      </c>
      <c r="H80" s="12" t="n">
        <f aca="false">IF(E80="","",(F80-E80)/E80)</f>
        <v>0.178181818181818</v>
      </c>
      <c r="I80" s="2" t="n">
        <v>40.7</v>
      </c>
      <c r="J80" s="2" t="n">
        <v>3.3</v>
      </c>
      <c r="K80" s="2" t="n">
        <v>2</v>
      </c>
      <c r="L80" s="2" t="str">
        <f aca="false">IF(E80="","no published figure",IF(ABS(H80)&gt;0.25,"1 - check first",IF(ABS(H80)&gt;0.15,"2 - check","3 - close enough")))</f>
        <v>2 - check</v>
      </c>
      <c r="M80" s="2"/>
      <c r="N80" s="10"/>
      <c r="O80" s="10"/>
    </row>
    <row r="81" customFormat="false" ht="15" hidden="false" customHeight="false" outlineLevel="0" collapsed="false">
      <c r="A81" s="2" t="s">
        <v>968</v>
      </c>
      <c r="B81" s="2" t="s">
        <v>969</v>
      </c>
      <c r="C81" s="2" t="s">
        <v>736</v>
      </c>
      <c r="D81" s="2" t="n">
        <v>1</v>
      </c>
      <c r="E81" s="11" t="n">
        <v>405</v>
      </c>
      <c r="F81" s="11" t="n">
        <v>476</v>
      </c>
      <c r="G81" s="11" t="n">
        <f aca="false">IF(E81="","",F81-E81)</f>
        <v>71</v>
      </c>
      <c r="H81" s="12" t="n">
        <f aca="false">IF(E81="","",(F81-E81)/E81)</f>
        <v>0.175308641975309</v>
      </c>
      <c r="I81" s="2" t="n">
        <v>41.9</v>
      </c>
      <c r="J81" s="2" t="n">
        <v>65.4</v>
      </c>
      <c r="K81" s="2" t="n">
        <v>5.2</v>
      </c>
      <c r="L81" s="2" t="str">
        <f aca="false">IF(E81="","no published figure",IF(ABS(H81)&gt;0.25,"1 - check first",IF(ABS(H81)&gt;0.15,"2 - check","3 - close enough")))</f>
        <v>2 - check</v>
      </c>
      <c r="M81" s="2"/>
      <c r="N81" s="10"/>
      <c r="O81" s="10"/>
    </row>
    <row r="82" customFormat="false" ht="15" hidden="false" customHeight="false" outlineLevel="0" collapsed="false">
      <c r="A82" s="2" t="s">
        <v>1123</v>
      </c>
      <c r="B82" s="2" t="s">
        <v>1124</v>
      </c>
      <c r="C82" s="2" t="s">
        <v>736</v>
      </c>
      <c r="D82" s="2" t="n">
        <v>1</v>
      </c>
      <c r="E82" s="11" t="n">
        <v>450</v>
      </c>
      <c r="F82" s="11" t="n">
        <v>528.4</v>
      </c>
      <c r="G82" s="11" t="n">
        <f aca="false">IF(E82="","",F82-E82)</f>
        <v>78.4</v>
      </c>
      <c r="H82" s="12" t="n">
        <f aca="false">IF(E82="","",(F82-E82)/E82)</f>
        <v>0.174222222222222</v>
      </c>
      <c r="I82" s="2" t="n">
        <v>42.5</v>
      </c>
      <c r="J82" s="2" t="n">
        <v>47.6</v>
      </c>
      <c r="K82" s="2" t="n">
        <v>18.7</v>
      </c>
      <c r="L82" s="2" t="str">
        <f aca="false">IF(E82="","no published figure",IF(ABS(H82)&gt;0.25,"1 - check first",IF(ABS(H82)&gt;0.15,"2 - check","3 - close enough")))</f>
        <v>2 - check</v>
      </c>
      <c r="M82" s="2"/>
      <c r="N82" s="10"/>
      <c r="O82" s="10"/>
    </row>
    <row r="83" customFormat="false" ht="15" hidden="false" customHeight="false" outlineLevel="0" collapsed="false">
      <c r="A83" s="2" t="s">
        <v>668</v>
      </c>
      <c r="B83" s="2" t="s">
        <v>669</v>
      </c>
      <c r="C83" s="2" t="s">
        <v>663</v>
      </c>
      <c r="D83" s="2" t="n">
        <v>1</v>
      </c>
      <c r="E83" s="11" t="n">
        <v>567</v>
      </c>
      <c r="F83" s="11" t="n">
        <v>665.3</v>
      </c>
      <c r="G83" s="11" t="n">
        <f aca="false">IF(E83="","",F83-E83)</f>
        <v>98.3</v>
      </c>
      <c r="H83" s="12" t="n">
        <f aca="false">IF(E83="","",(F83-E83)/E83)</f>
        <v>0.17336860670194</v>
      </c>
      <c r="I83" s="2" t="n">
        <v>66.6</v>
      </c>
      <c r="J83" s="2" t="n">
        <v>36.2</v>
      </c>
      <c r="K83" s="2" t="n">
        <v>28.2</v>
      </c>
      <c r="L83" s="2" t="str">
        <f aca="false">IF(E83="","no published figure",IF(ABS(H83)&gt;0.25,"1 - check first",IF(ABS(H83)&gt;0.15,"2 - check","3 - close enough")))</f>
        <v>2 - check</v>
      </c>
      <c r="M83" s="2"/>
      <c r="N83" s="10"/>
      <c r="O83" s="10"/>
    </row>
    <row r="84" customFormat="false" ht="15" hidden="false" customHeight="false" outlineLevel="0" collapsed="false">
      <c r="A84" s="2" t="s">
        <v>1559</v>
      </c>
      <c r="B84" s="2" t="s">
        <v>1560</v>
      </c>
      <c r="C84" s="2" t="s">
        <v>648</v>
      </c>
      <c r="D84" s="2" t="n">
        <v>1</v>
      </c>
      <c r="E84" s="11" t="n">
        <v>223</v>
      </c>
      <c r="F84" s="11" t="n">
        <v>261.6</v>
      </c>
      <c r="G84" s="11" t="n">
        <f aca="false">IF(E84="","",F84-E84)</f>
        <v>38.6</v>
      </c>
      <c r="H84" s="12" t="n">
        <f aca="false">IF(E84="","",(F84-E84)/E84)</f>
        <v>0.173094170403588</v>
      </c>
      <c r="I84" s="2" t="n">
        <v>30.2</v>
      </c>
      <c r="J84" s="2" t="n">
        <v>22.8</v>
      </c>
      <c r="K84" s="2" t="n">
        <v>5.5</v>
      </c>
      <c r="L84" s="2" t="str">
        <f aca="false">IF(E84="","no published figure",IF(ABS(H84)&gt;0.25,"1 - check first",IF(ABS(H84)&gt;0.15,"2 - check","3 - close enough")))</f>
        <v>2 - check</v>
      </c>
      <c r="M84" s="2"/>
      <c r="N84" s="10"/>
      <c r="O84" s="10"/>
    </row>
    <row r="85" customFormat="false" ht="15" hidden="false" customHeight="false" outlineLevel="0" collapsed="false">
      <c r="A85" s="2" t="s">
        <v>930</v>
      </c>
      <c r="B85" s="2" t="s">
        <v>931</v>
      </c>
      <c r="C85" s="2" t="s">
        <v>736</v>
      </c>
      <c r="D85" s="2" t="n">
        <v>1</v>
      </c>
      <c r="E85" s="11" t="n">
        <v>454</v>
      </c>
      <c r="F85" s="11" t="n">
        <v>532.4</v>
      </c>
      <c r="G85" s="11" t="n">
        <f aca="false">IF(E85="","",F85-E85)</f>
        <v>78.4</v>
      </c>
      <c r="H85" s="12" t="n">
        <f aca="false">IF(E85="","",(F85-E85)/E85)</f>
        <v>0.172687224669603</v>
      </c>
      <c r="I85" s="2" t="n">
        <v>45.7</v>
      </c>
      <c r="J85" s="2" t="n">
        <v>64.2</v>
      </c>
      <c r="K85" s="2" t="n">
        <v>10.3</v>
      </c>
      <c r="L85" s="2" t="str">
        <f aca="false">IF(E85="","no published figure",IF(ABS(H85)&gt;0.25,"1 - check first",IF(ABS(H85)&gt;0.15,"2 - check","3 - close enough")))</f>
        <v>2 - check</v>
      </c>
      <c r="M85" s="2" t="s">
        <v>934</v>
      </c>
      <c r="N85" s="10"/>
      <c r="O85" s="10"/>
    </row>
    <row r="86" customFormat="false" ht="15" hidden="false" customHeight="false" outlineLevel="0" collapsed="false">
      <c r="A86" s="2" t="s">
        <v>689</v>
      </c>
      <c r="B86" s="2" t="s">
        <v>690</v>
      </c>
      <c r="C86" s="2" t="s">
        <v>663</v>
      </c>
      <c r="D86" s="2" t="n">
        <v>1</v>
      </c>
      <c r="E86" s="11" t="n">
        <v>393</v>
      </c>
      <c r="F86" s="11" t="n">
        <v>325.1</v>
      </c>
      <c r="G86" s="11" t="n">
        <f aca="false">IF(E86="","",F86-E86)</f>
        <v>-67.9</v>
      </c>
      <c r="H86" s="12" t="n">
        <f aca="false">IF(E86="","",(F86-E86)/E86)</f>
        <v>-0.172773536895674</v>
      </c>
      <c r="I86" s="2" t="n">
        <v>23.1</v>
      </c>
      <c r="J86" s="2" t="n">
        <v>34.4</v>
      </c>
      <c r="K86" s="2" t="n">
        <v>10.6</v>
      </c>
      <c r="L86" s="2" t="str">
        <f aca="false">IF(E86="","no published figure",IF(ABS(H86)&gt;0.25,"1 - check first",IF(ABS(H86)&gt;0.15,"2 - check","3 - close enough")))</f>
        <v>2 - check</v>
      </c>
      <c r="M86" s="2"/>
      <c r="N86" s="10"/>
      <c r="O86" s="10"/>
    </row>
    <row r="87" customFormat="false" ht="15" hidden="false" customHeight="false" outlineLevel="0" collapsed="false">
      <c r="A87" s="2" t="s">
        <v>1278</v>
      </c>
      <c r="B87" s="2" t="s">
        <v>1279</v>
      </c>
      <c r="C87" s="2" t="s">
        <v>736</v>
      </c>
      <c r="D87" s="2" t="n">
        <v>1</v>
      </c>
      <c r="E87" s="11" t="n">
        <v>45</v>
      </c>
      <c r="F87" s="11" t="n">
        <v>52.7</v>
      </c>
      <c r="G87" s="11" t="n">
        <f aca="false">IF(E87="","",F87-E87)</f>
        <v>7.7</v>
      </c>
      <c r="H87" s="12" t="n">
        <f aca="false">IF(E87="","",(F87-E87)/E87)</f>
        <v>0.171111111111111</v>
      </c>
      <c r="I87" s="2" t="n">
        <v>0.3</v>
      </c>
      <c r="J87" s="2" t="n">
        <v>12.5</v>
      </c>
      <c r="K87" s="2" t="n">
        <v>0.1</v>
      </c>
      <c r="L87" s="2" t="str">
        <f aca="false">IF(E87="","no published figure",IF(ABS(H87)&gt;0.25,"1 - check first",IF(ABS(H87)&gt;0.15,"2 - check","3 - close enough")))</f>
        <v>2 - check</v>
      </c>
      <c r="M87" s="2" t="s">
        <v>1282</v>
      </c>
      <c r="N87" s="10"/>
      <c r="O87" s="10"/>
    </row>
    <row r="88" customFormat="false" ht="15" hidden="false" customHeight="false" outlineLevel="0" collapsed="false">
      <c r="A88" s="2" t="s">
        <v>795</v>
      </c>
      <c r="B88" s="2" t="s">
        <v>796</v>
      </c>
      <c r="C88" s="2" t="s">
        <v>736</v>
      </c>
      <c r="D88" s="2" t="n">
        <v>1</v>
      </c>
      <c r="E88" s="11" t="n">
        <v>686</v>
      </c>
      <c r="F88" s="11" t="n">
        <v>803.1</v>
      </c>
      <c r="G88" s="11" t="n">
        <f aca="false">IF(E88="","",F88-E88)</f>
        <v>117.1</v>
      </c>
      <c r="H88" s="12" t="n">
        <f aca="false">IF(E88="","",(F88-E88)/E88)</f>
        <v>0.170699708454811</v>
      </c>
      <c r="I88" s="2" t="n">
        <v>63.6</v>
      </c>
      <c r="J88" s="2" t="n">
        <v>124.5</v>
      </c>
      <c r="K88" s="2" t="n">
        <v>5.6</v>
      </c>
      <c r="L88" s="2" t="str">
        <f aca="false">IF(E88="","no published figure",IF(ABS(H88)&gt;0.25,"1 - check first",IF(ABS(H88)&gt;0.15,"2 - check","3 - close enough")))</f>
        <v>2 - check</v>
      </c>
      <c r="M88" s="2"/>
      <c r="N88" s="10"/>
      <c r="O88" s="10"/>
    </row>
    <row r="89" customFormat="false" ht="15" hidden="false" customHeight="false" outlineLevel="0" collapsed="false">
      <c r="A89" s="2" t="s">
        <v>1490</v>
      </c>
      <c r="B89" s="2" t="s">
        <v>1491</v>
      </c>
      <c r="C89" s="2" t="s">
        <v>663</v>
      </c>
      <c r="D89" s="2" t="n">
        <v>8</v>
      </c>
      <c r="E89" s="11" t="n">
        <v>204</v>
      </c>
      <c r="F89" s="11" t="n">
        <v>169.6</v>
      </c>
      <c r="G89" s="11" t="n">
        <f aca="false">IF(E89="","",F89-E89)</f>
        <v>-34.4</v>
      </c>
      <c r="H89" s="12" t="n">
        <f aca="false">IF(E89="","",(F89-E89)/E89)</f>
        <v>-0.168627450980392</v>
      </c>
      <c r="I89" s="2" t="n">
        <v>12.7</v>
      </c>
      <c r="J89" s="2" t="n">
        <v>22.5</v>
      </c>
      <c r="K89" s="2" t="n">
        <v>3.2</v>
      </c>
      <c r="L89" s="2" t="str">
        <f aca="false">IF(E89="","no published figure",IF(ABS(H89)&gt;0.25,"1 - check first",IF(ABS(H89)&gt;0.15,"2 - check","3 - close enough")))</f>
        <v>2 - check</v>
      </c>
      <c r="M89" s="2"/>
      <c r="N89" s="10"/>
      <c r="O89" s="10"/>
    </row>
    <row r="90" customFormat="false" ht="15" hidden="false" customHeight="false" outlineLevel="0" collapsed="false">
      <c r="A90" s="2" t="s">
        <v>1083</v>
      </c>
      <c r="B90" s="2" t="s">
        <v>1084</v>
      </c>
      <c r="C90" s="2" t="s">
        <v>736</v>
      </c>
      <c r="D90" s="2" t="n">
        <v>1</v>
      </c>
      <c r="E90" s="11" t="n">
        <v>500</v>
      </c>
      <c r="F90" s="11" t="n">
        <v>584.2</v>
      </c>
      <c r="G90" s="11" t="n">
        <f aca="false">IF(E90="","",F90-E90)</f>
        <v>84.2000000000001</v>
      </c>
      <c r="H90" s="12" t="n">
        <f aca="false">IF(E90="","",(F90-E90)/E90)</f>
        <v>0.1684</v>
      </c>
      <c r="I90" s="2" t="n">
        <v>52</v>
      </c>
      <c r="J90" s="2" t="n">
        <v>75.5</v>
      </c>
      <c r="K90" s="2" t="n">
        <v>8.2</v>
      </c>
      <c r="L90" s="2" t="str">
        <f aca="false">IF(E90="","no published figure",IF(ABS(H90)&gt;0.25,"1 - check first",IF(ABS(H90)&gt;0.15,"2 - check","3 - close enough")))</f>
        <v>2 - check</v>
      </c>
      <c r="M90" s="2"/>
      <c r="N90" s="10"/>
      <c r="O90" s="10"/>
    </row>
    <row r="91" customFormat="false" ht="15" hidden="false" customHeight="false" outlineLevel="0" collapsed="false">
      <c r="A91" s="2" t="s">
        <v>956</v>
      </c>
      <c r="B91" s="2" t="s">
        <v>957</v>
      </c>
      <c r="C91" s="2" t="s">
        <v>736</v>
      </c>
      <c r="D91" s="2" t="n">
        <v>1</v>
      </c>
      <c r="E91" s="11" t="n">
        <v>435</v>
      </c>
      <c r="F91" s="11" t="n">
        <v>507.7</v>
      </c>
      <c r="G91" s="11" t="n">
        <f aca="false">IF(E91="","",F91-E91)</f>
        <v>72.7</v>
      </c>
      <c r="H91" s="12" t="n">
        <f aca="false">IF(E91="","",(F91-E91)/E91)</f>
        <v>0.167126436781609</v>
      </c>
      <c r="I91" s="2" t="n">
        <v>51</v>
      </c>
      <c r="J91" s="2" t="n">
        <v>40.8</v>
      </c>
      <c r="K91" s="2" t="n">
        <v>15.6</v>
      </c>
      <c r="L91" s="2" t="str">
        <f aca="false">IF(E91="","no published figure",IF(ABS(H91)&gt;0.25,"1 - check first",IF(ABS(H91)&gt;0.15,"2 - check","3 - close enough")))</f>
        <v>2 - check</v>
      </c>
      <c r="M91" s="2"/>
      <c r="N91" s="10"/>
      <c r="O91" s="10"/>
    </row>
    <row r="92" customFormat="false" ht="15" hidden="false" customHeight="false" outlineLevel="0" collapsed="false">
      <c r="A92" s="2" t="s">
        <v>1467</v>
      </c>
      <c r="B92" s="2" t="s">
        <v>1468</v>
      </c>
      <c r="C92" s="2" t="s">
        <v>736</v>
      </c>
      <c r="D92" s="2" t="n">
        <v>1</v>
      </c>
      <c r="E92" s="11" t="n">
        <v>720</v>
      </c>
      <c r="F92" s="11" t="n">
        <v>838.7</v>
      </c>
      <c r="G92" s="11" t="n">
        <f aca="false">IF(E92="","",F92-E92)</f>
        <v>118.7</v>
      </c>
      <c r="H92" s="12" t="n">
        <f aca="false">IF(E92="","",(F92-E92)/E92)</f>
        <v>0.164861111111111</v>
      </c>
      <c r="I92" s="2" t="n">
        <v>46.2</v>
      </c>
      <c r="J92" s="2" t="n">
        <v>89.6</v>
      </c>
      <c r="K92" s="2" t="n">
        <v>32.8</v>
      </c>
      <c r="L92" s="2" t="str">
        <f aca="false">IF(E92="","no published figure",IF(ABS(H92)&gt;0.25,"1 - check first",IF(ABS(H92)&gt;0.15,"2 - check","3 - close enough")))</f>
        <v>2 - check</v>
      </c>
      <c r="M92" s="2"/>
      <c r="N92" s="10"/>
      <c r="O92" s="10"/>
    </row>
    <row r="93" customFormat="false" ht="15" hidden="false" customHeight="false" outlineLevel="0" collapsed="false">
      <c r="A93" s="2" t="s">
        <v>1547</v>
      </c>
      <c r="B93" s="2" t="s">
        <v>1548</v>
      </c>
      <c r="C93" s="2" t="s">
        <v>736</v>
      </c>
      <c r="D93" s="2" t="n">
        <v>1</v>
      </c>
      <c r="E93" s="11" t="n">
        <v>560</v>
      </c>
      <c r="F93" s="11" t="n">
        <v>467.8</v>
      </c>
      <c r="G93" s="11" t="n">
        <f aca="false">IF(E93="","",F93-E93)</f>
        <v>-92.2</v>
      </c>
      <c r="H93" s="12" t="n">
        <f aca="false">IF(E93="","",(F93-E93)/E93)</f>
        <v>-0.164642857142857</v>
      </c>
      <c r="I93" s="2" t="n">
        <v>32.2</v>
      </c>
      <c r="J93" s="2" t="n">
        <v>25.7</v>
      </c>
      <c r="K93" s="2" t="n">
        <v>26.2</v>
      </c>
      <c r="L93" s="2" t="str">
        <f aca="false">IF(E93="","no published figure",IF(ABS(H93)&gt;0.25,"1 - check first",IF(ABS(H93)&gt;0.15,"2 - check","3 - close enough")))</f>
        <v>2 - check</v>
      </c>
      <c r="M93" s="2"/>
      <c r="N93" s="10"/>
      <c r="O93" s="10"/>
    </row>
    <row r="94" customFormat="false" ht="15" hidden="false" customHeight="false" outlineLevel="0" collapsed="false">
      <c r="A94" s="2" t="s">
        <v>712</v>
      </c>
      <c r="B94" s="2" t="s">
        <v>713</v>
      </c>
      <c r="C94" s="2" t="s">
        <v>663</v>
      </c>
      <c r="D94" s="2" t="n">
        <v>1</v>
      </c>
      <c r="E94" s="11" t="n">
        <v>664</v>
      </c>
      <c r="F94" s="11" t="n">
        <v>555.3</v>
      </c>
      <c r="G94" s="11" t="n">
        <f aca="false">IF(E94="","",F94-E94)</f>
        <v>-108.7</v>
      </c>
      <c r="H94" s="12" t="n">
        <f aca="false">IF(E94="","",(F94-E94)/E94)</f>
        <v>-0.163704819277109</v>
      </c>
      <c r="I94" s="2" t="n">
        <v>32.4</v>
      </c>
      <c r="J94" s="2" t="n">
        <v>83</v>
      </c>
      <c r="K94" s="2" t="n">
        <v>10.4</v>
      </c>
      <c r="L94" s="2" t="str">
        <f aca="false">IF(E94="","no published figure",IF(ABS(H94)&gt;0.25,"1 - check first",IF(ABS(H94)&gt;0.15,"2 - check","3 - close enough")))</f>
        <v>2 - check</v>
      </c>
      <c r="M94" s="2"/>
      <c r="N94" s="10"/>
      <c r="O94" s="10"/>
    </row>
    <row r="95" customFormat="false" ht="15" hidden="false" customHeight="false" outlineLevel="0" collapsed="false">
      <c r="A95" s="2" t="s">
        <v>1000</v>
      </c>
      <c r="B95" s="2" t="s">
        <v>1001</v>
      </c>
      <c r="C95" s="2" t="s">
        <v>736</v>
      </c>
      <c r="D95" s="2" t="n">
        <v>1</v>
      </c>
      <c r="E95" s="11" t="n">
        <v>335</v>
      </c>
      <c r="F95" s="11" t="n">
        <v>280.5</v>
      </c>
      <c r="G95" s="11" t="n">
        <f aca="false">IF(E95="","",F95-E95)</f>
        <v>-54.5</v>
      </c>
      <c r="H95" s="12" t="n">
        <f aca="false">IF(E95="","",(F95-E95)/E95)</f>
        <v>-0.162686567164179</v>
      </c>
      <c r="I95" s="2" t="n">
        <v>44</v>
      </c>
      <c r="J95" s="2" t="n">
        <v>10</v>
      </c>
      <c r="K95" s="2" t="n">
        <v>7.2</v>
      </c>
      <c r="L95" s="2" t="str">
        <f aca="false">IF(E95="","no published figure",IF(ABS(H95)&gt;0.25,"1 - check first",IF(ABS(H95)&gt;0.15,"2 - check","3 - close enough")))</f>
        <v>2 - check</v>
      </c>
      <c r="M95" s="2"/>
      <c r="N95" s="10"/>
      <c r="O95" s="10"/>
    </row>
    <row r="96" customFormat="false" ht="15" hidden="false" customHeight="false" outlineLevel="0" collapsed="false">
      <c r="A96" s="2" t="s">
        <v>1059</v>
      </c>
      <c r="B96" s="2" t="s">
        <v>1060</v>
      </c>
      <c r="C96" s="2" t="s">
        <v>736</v>
      </c>
      <c r="D96" s="2" t="n">
        <v>1</v>
      </c>
      <c r="E96" s="11" t="n">
        <v>490</v>
      </c>
      <c r="F96" s="11" t="n">
        <v>569.1</v>
      </c>
      <c r="G96" s="11" t="n">
        <f aca="false">IF(E96="","",F96-E96)</f>
        <v>79.1</v>
      </c>
      <c r="H96" s="12" t="n">
        <f aca="false">IF(E96="","",(F96-E96)/E96)</f>
        <v>0.161428571428571</v>
      </c>
      <c r="I96" s="2" t="n">
        <v>51.4</v>
      </c>
      <c r="J96" s="2" t="n">
        <v>80.1</v>
      </c>
      <c r="K96" s="2" t="n">
        <v>4.8</v>
      </c>
      <c r="L96" s="2" t="str">
        <f aca="false">IF(E96="","no published figure",IF(ABS(H96)&gt;0.25,"1 - check first",IF(ABS(H96)&gt;0.15,"2 - check","3 - close enough")))</f>
        <v>2 - check</v>
      </c>
      <c r="M96" s="2"/>
      <c r="N96" s="10"/>
      <c r="O96" s="10"/>
    </row>
    <row r="97" customFormat="false" ht="15" hidden="false" customHeight="false" outlineLevel="0" collapsed="false">
      <c r="A97" s="2" t="s">
        <v>1115</v>
      </c>
      <c r="B97" s="2" t="s">
        <v>1116</v>
      </c>
      <c r="C97" s="2" t="s">
        <v>736</v>
      </c>
      <c r="D97" s="2" t="n">
        <v>1</v>
      </c>
      <c r="E97" s="11" t="n">
        <v>455</v>
      </c>
      <c r="F97" s="11" t="n">
        <v>525.9</v>
      </c>
      <c r="G97" s="11" t="n">
        <f aca="false">IF(E97="","",F97-E97)</f>
        <v>70.9</v>
      </c>
      <c r="H97" s="12" t="n">
        <f aca="false">IF(E97="","",(F97-E97)/E97)</f>
        <v>0.155824175824176</v>
      </c>
      <c r="I97" s="2" t="n">
        <v>46</v>
      </c>
      <c r="J97" s="2" t="n">
        <v>52.3</v>
      </c>
      <c r="K97" s="2" t="n">
        <v>14.7</v>
      </c>
      <c r="L97" s="2" t="str">
        <f aca="false">IF(E97="","no published figure",IF(ABS(H97)&gt;0.25,"1 - check first",IF(ABS(H97)&gt;0.15,"2 - check","3 - close enough")))</f>
        <v>2 - check</v>
      </c>
      <c r="M97" s="2"/>
      <c r="N97" s="10"/>
      <c r="O97" s="10"/>
    </row>
    <row r="98" customFormat="false" ht="15" hidden="false" customHeight="false" outlineLevel="0" collapsed="false">
      <c r="A98" s="2" t="s">
        <v>1355</v>
      </c>
      <c r="B98" s="2" t="s">
        <v>1356</v>
      </c>
      <c r="C98" s="2" t="s">
        <v>736</v>
      </c>
      <c r="D98" s="2" t="n">
        <v>1</v>
      </c>
      <c r="E98" s="11" t="n">
        <v>120</v>
      </c>
      <c r="F98" s="11" t="n">
        <v>138.6</v>
      </c>
      <c r="G98" s="11" t="n">
        <f aca="false">IF(E98="","",F98-E98)</f>
        <v>18.6</v>
      </c>
      <c r="H98" s="12" t="n">
        <f aca="false">IF(E98="","",(F98-E98)/E98)</f>
        <v>0.155</v>
      </c>
      <c r="I98" s="2" t="n">
        <v>4.4</v>
      </c>
      <c r="J98" s="2" t="n">
        <v>26.8</v>
      </c>
      <c r="K98" s="2" t="n">
        <v>1.5</v>
      </c>
      <c r="L98" s="2" t="str">
        <f aca="false">IF(E98="","no published figure",IF(ABS(H98)&gt;0.25,"1 - check first",IF(ABS(H98)&gt;0.15,"2 - check","3 - close enough")))</f>
        <v>2 - check</v>
      </c>
      <c r="M98" s="2"/>
      <c r="N98" s="10"/>
      <c r="O98" s="10"/>
    </row>
    <row r="99" customFormat="false" ht="15" hidden="false" customHeight="false" outlineLevel="0" collapsed="false">
      <c r="A99" s="2" t="s">
        <v>853</v>
      </c>
      <c r="B99" s="2" t="s">
        <v>854</v>
      </c>
      <c r="C99" s="2" t="s">
        <v>736</v>
      </c>
      <c r="D99" s="2" t="n">
        <v>1</v>
      </c>
      <c r="E99" s="11" t="n">
        <v>832</v>
      </c>
      <c r="F99" s="11" t="n">
        <v>960.3</v>
      </c>
      <c r="G99" s="11" t="n">
        <f aca="false">IF(E99="","",F99-E99)</f>
        <v>128.3</v>
      </c>
      <c r="H99" s="12" t="n">
        <f aca="false">IF(E99="","",(F99-E99)/E99)</f>
        <v>0.154206730769231</v>
      </c>
      <c r="I99" s="2" t="n">
        <v>72.4</v>
      </c>
      <c r="J99" s="2" t="n">
        <v>117.7</v>
      </c>
      <c r="K99" s="2" t="n">
        <v>22.2</v>
      </c>
      <c r="L99" s="2" t="str">
        <f aca="false">IF(E99="","no published figure",IF(ABS(H99)&gt;0.25,"1 - check first",IF(ABS(H99)&gt;0.15,"2 - check","3 - close enough")))</f>
        <v>2 - check</v>
      </c>
      <c r="M99" s="2"/>
      <c r="N99" s="10"/>
      <c r="O99" s="10"/>
    </row>
    <row r="100" customFormat="false" ht="15" hidden="false" customHeight="false" outlineLevel="0" collapsed="false">
      <c r="A100" s="2" t="s">
        <v>1666</v>
      </c>
      <c r="B100" s="2" t="s">
        <v>1667</v>
      </c>
      <c r="C100" s="2" t="s">
        <v>663</v>
      </c>
      <c r="D100" s="2" t="n">
        <v>1</v>
      </c>
      <c r="E100" s="11" t="n">
        <v>165</v>
      </c>
      <c r="F100" s="11" t="n">
        <v>190.3</v>
      </c>
      <c r="G100" s="11" t="n">
        <f aca="false">IF(E100="","",F100-E100)</f>
        <v>25.3</v>
      </c>
      <c r="H100" s="12" t="n">
        <f aca="false">IF(E100="","",(F100-E100)/E100)</f>
        <v>0.153333333333333</v>
      </c>
      <c r="I100" s="2" t="n">
        <v>40.3</v>
      </c>
      <c r="J100" s="2" t="n">
        <v>2.8</v>
      </c>
      <c r="K100" s="2" t="n">
        <v>2</v>
      </c>
      <c r="L100" s="2" t="str">
        <f aca="false">IF(E100="","no published figure",IF(ABS(H100)&gt;0.25,"1 - check first",IF(ABS(H100)&gt;0.15,"2 - check","3 - close enough")))</f>
        <v>2 - check</v>
      </c>
      <c r="M100" s="2"/>
      <c r="N100" s="10"/>
      <c r="O100" s="10"/>
    </row>
    <row r="101" customFormat="false" ht="15" hidden="false" customHeight="false" outlineLevel="0" collapsed="false">
      <c r="A101" s="2" t="s">
        <v>1513</v>
      </c>
      <c r="B101" s="2" t="s">
        <v>1514</v>
      </c>
      <c r="C101" s="2" t="s">
        <v>736</v>
      </c>
      <c r="D101" s="2" t="n">
        <v>1</v>
      </c>
      <c r="E101" s="11" t="n">
        <v>520</v>
      </c>
      <c r="F101" s="11" t="n">
        <v>598.7</v>
      </c>
      <c r="G101" s="11" t="n">
        <f aca="false">IF(E101="","",F101-E101)</f>
        <v>78.7000000000001</v>
      </c>
      <c r="H101" s="12" t="n">
        <f aca="false">IF(E101="","",(F101-E101)/E101)</f>
        <v>0.151346153846154</v>
      </c>
      <c r="I101" s="2" t="n">
        <v>30.9</v>
      </c>
      <c r="J101" s="2" t="n">
        <v>12.5</v>
      </c>
      <c r="K101" s="2" t="n">
        <v>47.2</v>
      </c>
      <c r="L101" s="2" t="str">
        <f aca="false">IF(E101="","no published figure",IF(ABS(H101)&gt;0.25,"1 - check first",IF(ABS(H101)&gt;0.15,"2 - check","3 - close enough")))</f>
        <v>2 - check</v>
      </c>
      <c r="M101" s="2"/>
      <c r="N101" s="10"/>
      <c r="O101" s="10"/>
    </row>
    <row r="102" customFormat="false" ht="15" hidden="false" customHeight="false" outlineLevel="0" collapsed="false">
      <c r="A102" s="2" t="s">
        <v>718</v>
      </c>
      <c r="B102" s="2" t="s">
        <v>719</v>
      </c>
      <c r="C102" s="2" t="s">
        <v>663</v>
      </c>
      <c r="D102" s="2" t="n">
        <v>1</v>
      </c>
      <c r="E102" s="2" t="n">
        <v>664</v>
      </c>
      <c r="F102" s="2" t="n">
        <v>564.8</v>
      </c>
      <c r="G102" s="2" t="n">
        <f aca="false">IF(E102="","",F102-E102)</f>
        <v>-99.2000000000001</v>
      </c>
      <c r="H102" s="13" t="n">
        <f aca="false">IF(E102="","",(F102-E102)/E102)</f>
        <v>-0.149397590361446</v>
      </c>
      <c r="I102" s="2" t="n">
        <v>31.1</v>
      </c>
      <c r="J102" s="2" t="n">
        <v>81.5</v>
      </c>
      <c r="K102" s="2" t="n">
        <v>12.7</v>
      </c>
      <c r="L102" s="2" t="str">
        <f aca="false">IF(E102="","no published figure",IF(ABS(H102)&gt;0.25,"1 - check first",IF(ABS(H102)&gt;0.15,"2 - check","3 - close enough")))</f>
        <v>3 - close enough</v>
      </c>
      <c r="M102" s="2"/>
      <c r="N102" s="10"/>
      <c r="O102" s="10"/>
    </row>
    <row r="103" customFormat="false" ht="15" hidden="false" customHeight="false" outlineLevel="0" collapsed="false">
      <c r="A103" s="2" t="s">
        <v>1382</v>
      </c>
      <c r="B103" s="2" t="s">
        <v>1383</v>
      </c>
      <c r="C103" s="2" t="s">
        <v>648</v>
      </c>
      <c r="D103" s="2" t="n">
        <v>1</v>
      </c>
      <c r="E103" s="2" t="n">
        <v>294</v>
      </c>
      <c r="F103" s="2" t="n">
        <v>337.1</v>
      </c>
      <c r="G103" s="2" t="n">
        <f aca="false">IF(E103="","",F103-E103)</f>
        <v>43.1</v>
      </c>
      <c r="H103" s="13" t="n">
        <f aca="false">IF(E103="","",(F103-E103)/E103)</f>
        <v>0.146598639455782</v>
      </c>
      <c r="I103" s="2" t="n">
        <v>26.9</v>
      </c>
      <c r="J103" s="2" t="n">
        <v>44.9</v>
      </c>
      <c r="K103" s="2" t="n">
        <v>5.5</v>
      </c>
      <c r="L103" s="2" t="str">
        <f aca="false">IF(E103="","no published figure",IF(ABS(H103)&gt;0.25,"1 - check first",IF(ABS(H103)&gt;0.15,"2 - check","3 - close enough")))</f>
        <v>3 - close enough</v>
      </c>
      <c r="M103" s="2"/>
      <c r="N103" s="10"/>
      <c r="O103" s="10"/>
    </row>
    <row r="104" customFormat="false" ht="15" hidden="false" customHeight="false" outlineLevel="0" collapsed="false">
      <c r="A104" s="2" t="s">
        <v>1034</v>
      </c>
      <c r="B104" s="2" t="s">
        <v>1035</v>
      </c>
      <c r="C104" s="2" t="s">
        <v>736</v>
      </c>
      <c r="D104" s="2" t="n">
        <v>1</v>
      </c>
      <c r="E104" s="2" t="n">
        <v>510</v>
      </c>
      <c r="F104" s="2" t="n">
        <v>583.9</v>
      </c>
      <c r="G104" s="2" t="n">
        <f aca="false">IF(E104="","",F104-E104)</f>
        <v>73.9</v>
      </c>
      <c r="H104" s="13" t="n">
        <f aca="false">IF(E104="","",(F104-E104)/E104)</f>
        <v>0.144901960784314</v>
      </c>
      <c r="I104" s="2" t="n">
        <v>49.9</v>
      </c>
      <c r="J104" s="2" t="n">
        <v>71.4</v>
      </c>
      <c r="K104" s="2" t="n">
        <v>11</v>
      </c>
      <c r="L104" s="2" t="str">
        <f aca="false">IF(E104="","no published figure",IF(ABS(H104)&gt;0.25,"1 - check first",IF(ABS(H104)&gt;0.15,"2 - check","3 - close enough")))</f>
        <v>3 - close enough</v>
      </c>
      <c r="M104" s="2"/>
      <c r="N104" s="10"/>
      <c r="O104" s="10"/>
    </row>
    <row r="105" customFormat="false" ht="15" hidden="false" customHeight="false" outlineLevel="0" collapsed="false">
      <c r="A105" s="2" t="s">
        <v>1504</v>
      </c>
      <c r="B105" s="2" t="s">
        <v>1505</v>
      </c>
      <c r="C105" s="2" t="s">
        <v>736</v>
      </c>
      <c r="D105" s="2" t="n">
        <v>1</v>
      </c>
      <c r="E105" s="2" t="n">
        <v>812</v>
      </c>
      <c r="F105" s="2" t="n">
        <v>694.3</v>
      </c>
      <c r="G105" s="2" t="n">
        <f aca="false">IF(E105="","",F105-E105)</f>
        <v>-117.7</v>
      </c>
      <c r="H105" s="13" t="n">
        <f aca="false">IF(E105="","",(F105-E105)/E105)</f>
        <v>-0.144950738916256</v>
      </c>
      <c r="I105" s="2" t="n">
        <v>42.8</v>
      </c>
      <c r="J105" s="2" t="n">
        <v>73.5</v>
      </c>
      <c r="K105" s="2" t="n">
        <v>25.5</v>
      </c>
      <c r="L105" s="2" t="str">
        <f aca="false">IF(E105="","no published figure",IF(ABS(H105)&gt;0.25,"1 - check first",IF(ABS(H105)&gt;0.15,"2 - check","3 - close enough")))</f>
        <v>3 - close enough</v>
      </c>
      <c r="M105" s="2"/>
      <c r="N105" s="10"/>
      <c r="O105" s="10"/>
    </row>
    <row r="106" customFormat="false" ht="15" hidden="false" customHeight="false" outlineLevel="0" collapsed="false">
      <c r="A106" s="2" t="s">
        <v>1367</v>
      </c>
      <c r="B106" s="2" t="s">
        <v>1368</v>
      </c>
      <c r="C106" s="2" t="s">
        <v>736</v>
      </c>
      <c r="D106" s="2" t="n">
        <v>2</v>
      </c>
      <c r="E106" s="2" t="n">
        <v>667</v>
      </c>
      <c r="F106" s="2" t="n">
        <v>572.4</v>
      </c>
      <c r="G106" s="2" t="n">
        <f aca="false">IF(E106="","",F106-E106)</f>
        <v>-94.6</v>
      </c>
      <c r="H106" s="13" t="n">
        <f aca="false">IF(E106="","",(F106-E106)/E106)</f>
        <v>-0.141829085457271</v>
      </c>
      <c r="I106" s="2" t="n">
        <v>42.6</v>
      </c>
      <c r="J106" s="2" t="n">
        <v>66.1</v>
      </c>
      <c r="K106" s="2" t="n">
        <v>15.3</v>
      </c>
      <c r="L106" s="2" t="str">
        <f aca="false">IF(E106="","no published figure",IF(ABS(H106)&gt;0.25,"1 - check first",IF(ABS(H106)&gt;0.15,"2 - check","3 - close enough")))</f>
        <v>3 - close enough</v>
      </c>
      <c r="M106" s="2"/>
      <c r="N106" s="10"/>
      <c r="O106" s="10"/>
    </row>
    <row r="107" customFormat="false" ht="15" hidden="false" customHeight="false" outlineLevel="0" collapsed="false">
      <c r="A107" s="2" t="s">
        <v>1607</v>
      </c>
      <c r="B107" s="2" t="s">
        <v>1608</v>
      </c>
      <c r="C107" s="2" t="s">
        <v>663</v>
      </c>
      <c r="D107" s="2" t="n">
        <v>8</v>
      </c>
      <c r="E107" s="2" t="n">
        <v>82</v>
      </c>
      <c r="F107" s="2" t="n">
        <v>93.6</v>
      </c>
      <c r="G107" s="2" t="n">
        <f aca="false">IF(E107="","",F107-E107)</f>
        <v>11.6</v>
      </c>
      <c r="H107" s="13" t="n">
        <f aca="false">IF(E107="","",(F107-E107)/E107)</f>
        <v>0.141463414634146</v>
      </c>
      <c r="I107" s="2" t="n">
        <v>2.6</v>
      </c>
      <c r="J107" s="2" t="n">
        <v>17</v>
      </c>
      <c r="K107" s="2" t="n">
        <v>1.7</v>
      </c>
      <c r="L107" s="2" t="str">
        <f aca="false">IF(E107="","no published figure",IF(ABS(H107)&gt;0.25,"1 - check first",IF(ABS(H107)&gt;0.15,"2 - check","3 - close enough")))</f>
        <v>3 - close enough</v>
      </c>
      <c r="M107" s="2"/>
      <c r="N107" s="10"/>
      <c r="O107" s="10"/>
    </row>
    <row r="108" customFormat="false" ht="15" hidden="false" customHeight="false" outlineLevel="0" collapsed="false">
      <c r="A108" s="2" t="s">
        <v>1611</v>
      </c>
      <c r="B108" s="2" t="s">
        <v>1612</v>
      </c>
      <c r="C108" s="2" t="s">
        <v>663</v>
      </c>
      <c r="D108" s="2" t="n">
        <v>1</v>
      </c>
      <c r="E108" s="2" t="n">
        <v>305</v>
      </c>
      <c r="F108" s="2" t="n">
        <v>262.2</v>
      </c>
      <c r="G108" s="2" t="n">
        <f aca="false">IF(E108="","",F108-E108)</f>
        <v>-42.8</v>
      </c>
      <c r="H108" s="13" t="n">
        <f aca="false">IF(E108="","",(F108-E108)/E108)</f>
        <v>-0.140327868852459</v>
      </c>
      <c r="I108" s="2" t="n">
        <v>7.3</v>
      </c>
      <c r="J108" s="2" t="n">
        <v>47.9</v>
      </c>
      <c r="K108" s="2" t="n">
        <v>4.6</v>
      </c>
      <c r="L108" s="2" t="str">
        <f aca="false">IF(E108="","no published figure",IF(ABS(H108)&gt;0.25,"1 - check first",IF(ABS(H108)&gt;0.15,"2 - check","3 - close enough")))</f>
        <v>3 - close enough</v>
      </c>
      <c r="M108" s="2"/>
      <c r="N108" s="10"/>
      <c r="O108" s="10"/>
    </row>
    <row r="109" customFormat="false" ht="15" hidden="false" customHeight="false" outlineLevel="0" collapsed="false">
      <c r="A109" s="2" t="s">
        <v>1570</v>
      </c>
      <c r="B109" s="2" t="s">
        <v>1571</v>
      </c>
      <c r="C109" s="2" t="s">
        <v>648</v>
      </c>
      <c r="D109" s="2" t="n">
        <v>1</v>
      </c>
      <c r="E109" s="2" t="n">
        <v>317</v>
      </c>
      <c r="F109" s="2" t="n">
        <v>361.2</v>
      </c>
      <c r="G109" s="2" t="n">
        <f aca="false">IF(E109="","",F109-E109)</f>
        <v>44.2</v>
      </c>
      <c r="H109" s="13" t="n">
        <f aca="false">IF(E109="","",(F109-E109)/E109)</f>
        <v>0.139432176656151</v>
      </c>
      <c r="I109" s="2" t="n">
        <v>32.4</v>
      </c>
      <c r="J109" s="2" t="n">
        <v>30.6</v>
      </c>
      <c r="K109" s="2" t="n">
        <v>12.1</v>
      </c>
      <c r="L109" s="2" t="str">
        <f aca="false">IF(E109="","no published figure",IF(ABS(H109)&gt;0.25,"1 - check first",IF(ABS(H109)&gt;0.15,"2 - check","3 - close enough")))</f>
        <v>3 - close enough</v>
      </c>
      <c r="M109" s="2"/>
      <c r="N109" s="10"/>
      <c r="O109" s="10"/>
    </row>
    <row r="110" customFormat="false" ht="15" hidden="false" customHeight="false" outlineLevel="0" collapsed="false">
      <c r="A110" s="2" t="s">
        <v>1182</v>
      </c>
      <c r="B110" s="2" t="s">
        <v>1183</v>
      </c>
      <c r="C110" s="2" t="s">
        <v>736</v>
      </c>
      <c r="D110" s="2" t="n">
        <v>1</v>
      </c>
      <c r="E110" s="2" t="n">
        <v>435</v>
      </c>
      <c r="F110" s="2" t="n">
        <v>494.2</v>
      </c>
      <c r="G110" s="2" t="n">
        <f aca="false">IF(E110="","",F110-E110)</f>
        <v>59.2</v>
      </c>
      <c r="H110" s="13" t="n">
        <f aca="false">IF(E110="","",(F110-E110)/E110)</f>
        <v>0.136091954022989</v>
      </c>
      <c r="I110" s="2" t="n">
        <v>32.9</v>
      </c>
      <c r="J110" s="2" t="n">
        <v>51.8</v>
      </c>
      <c r="K110" s="2" t="n">
        <v>17.3</v>
      </c>
      <c r="L110" s="2" t="str">
        <f aca="false">IF(E110="","no published figure",IF(ABS(H110)&gt;0.25,"1 - check first",IF(ABS(H110)&gt;0.15,"2 - check","3 - close enough")))</f>
        <v>3 - close enough</v>
      </c>
      <c r="M110" s="2"/>
      <c r="N110" s="10"/>
      <c r="O110" s="10"/>
    </row>
    <row r="111" customFormat="false" ht="15" hidden="false" customHeight="false" outlineLevel="0" collapsed="false">
      <c r="A111" s="2" t="s">
        <v>1519</v>
      </c>
      <c r="B111" s="2" t="s">
        <v>1520</v>
      </c>
      <c r="C111" s="2" t="s">
        <v>736</v>
      </c>
      <c r="D111" s="2" t="n">
        <v>1</v>
      </c>
      <c r="E111" s="2" t="n">
        <v>492</v>
      </c>
      <c r="F111" s="2" t="n">
        <v>425.1</v>
      </c>
      <c r="G111" s="2" t="n">
        <f aca="false">IF(E111="","",F111-E111)</f>
        <v>-66.9</v>
      </c>
      <c r="H111" s="13" t="n">
        <f aca="false">IF(E111="","",(F111-E111)/E111)</f>
        <v>-0.135975609756098</v>
      </c>
      <c r="I111" s="2" t="n">
        <v>32.9</v>
      </c>
      <c r="J111" s="2" t="n">
        <v>25.9</v>
      </c>
      <c r="K111" s="2" t="n">
        <v>21.1</v>
      </c>
      <c r="L111" s="2" t="str">
        <f aca="false">IF(E111="","no published figure",IF(ABS(H111)&gt;0.25,"1 - check first",IF(ABS(H111)&gt;0.15,"2 - check","3 - close enough")))</f>
        <v>3 - close enough</v>
      </c>
      <c r="M111" s="2"/>
      <c r="N111" s="10"/>
      <c r="O111" s="10"/>
    </row>
    <row r="112" customFormat="false" ht="15" hidden="false" customHeight="false" outlineLevel="0" collapsed="false">
      <c r="A112" s="2" t="s">
        <v>1166</v>
      </c>
      <c r="B112" s="2" t="s">
        <v>1167</v>
      </c>
      <c r="C112" s="2" t="s">
        <v>736</v>
      </c>
      <c r="D112" s="2" t="n">
        <v>1</v>
      </c>
      <c r="E112" s="2" t="n">
        <v>390</v>
      </c>
      <c r="F112" s="2" t="n">
        <v>442.9</v>
      </c>
      <c r="G112" s="2" t="n">
        <f aca="false">IF(E112="","",F112-E112)</f>
        <v>52.9</v>
      </c>
      <c r="H112" s="13" t="n">
        <f aca="false">IF(E112="","",(F112-E112)/E112)</f>
        <v>0.135641025641026</v>
      </c>
      <c r="I112" s="2" t="n">
        <v>40.3</v>
      </c>
      <c r="J112" s="2" t="n">
        <v>42.4</v>
      </c>
      <c r="K112" s="2" t="n">
        <v>12.4</v>
      </c>
      <c r="L112" s="2" t="str">
        <f aca="false">IF(E112="","no published figure",IF(ABS(H112)&gt;0.25,"1 - check first",IF(ABS(H112)&gt;0.15,"2 - check","3 - close enough")))</f>
        <v>3 - close enough</v>
      </c>
      <c r="M112" s="2"/>
      <c r="N112" s="10"/>
      <c r="O112" s="10"/>
    </row>
    <row r="113" customFormat="false" ht="15" hidden="false" customHeight="false" outlineLevel="0" collapsed="false">
      <c r="A113" s="2" t="s">
        <v>1461</v>
      </c>
      <c r="B113" s="2" t="s">
        <v>1462</v>
      </c>
      <c r="C113" s="2" t="s">
        <v>736</v>
      </c>
      <c r="D113" s="2" t="n">
        <v>1</v>
      </c>
      <c r="E113" s="2" t="n">
        <v>756</v>
      </c>
      <c r="F113" s="2" t="n">
        <v>653.5</v>
      </c>
      <c r="G113" s="2" t="n">
        <f aca="false">IF(E113="","",F113-E113)</f>
        <v>-102.5</v>
      </c>
      <c r="H113" s="13" t="n">
        <f aca="false">IF(E113="","",(F113-E113)/E113)</f>
        <v>-0.135582010582011</v>
      </c>
      <c r="I113" s="2" t="n">
        <v>56</v>
      </c>
      <c r="J113" s="2" t="n">
        <v>81.2</v>
      </c>
      <c r="K113" s="2" t="n">
        <v>11.6</v>
      </c>
      <c r="L113" s="2" t="str">
        <f aca="false">IF(E113="","no published figure",IF(ABS(H113)&gt;0.25,"1 - check first",IF(ABS(H113)&gt;0.15,"2 - check","3 - close enough")))</f>
        <v>3 - close enough</v>
      </c>
      <c r="M113" s="2"/>
      <c r="N113" s="10"/>
      <c r="O113" s="10"/>
    </row>
    <row r="114" customFormat="false" ht="15" hidden="false" customHeight="false" outlineLevel="0" collapsed="false">
      <c r="A114" s="2" t="s">
        <v>1363</v>
      </c>
      <c r="B114" s="2" t="s">
        <v>1364</v>
      </c>
      <c r="C114" s="2" t="s">
        <v>736</v>
      </c>
      <c r="D114" s="2" t="n">
        <v>1</v>
      </c>
      <c r="E114" s="2" t="n">
        <v>115</v>
      </c>
      <c r="F114" s="2" t="n">
        <v>130.6</v>
      </c>
      <c r="G114" s="2" t="n">
        <f aca="false">IF(E114="","",F114-E114)</f>
        <v>15.6</v>
      </c>
      <c r="H114" s="13" t="n">
        <f aca="false">IF(E114="","",(F114-E114)/E114)</f>
        <v>0.135652173913043</v>
      </c>
      <c r="I114" s="2" t="n">
        <v>1.9</v>
      </c>
      <c r="J114" s="2" t="n">
        <v>8.9</v>
      </c>
      <c r="K114" s="2" t="n">
        <v>9.7</v>
      </c>
      <c r="L114" s="2" t="str">
        <f aca="false">IF(E114="","no published figure",IF(ABS(H114)&gt;0.25,"1 - check first",IF(ABS(H114)&gt;0.15,"2 - check","3 - close enough")))</f>
        <v>3 - close enough</v>
      </c>
      <c r="M114" s="2"/>
      <c r="N114" s="10"/>
      <c r="O114" s="10"/>
    </row>
    <row r="115" customFormat="false" ht="15" hidden="false" customHeight="false" outlineLevel="0" collapsed="false">
      <c r="A115" s="2" t="s">
        <v>1662</v>
      </c>
      <c r="B115" s="2" t="s">
        <v>1663</v>
      </c>
      <c r="C115" s="2" t="s">
        <v>736</v>
      </c>
      <c r="D115" s="2" t="n">
        <v>1</v>
      </c>
      <c r="E115" s="2" t="n">
        <v>575</v>
      </c>
      <c r="F115" s="2" t="n">
        <v>652.8</v>
      </c>
      <c r="G115" s="2" t="n">
        <f aca="false">IF(E115="","",F115-E115)</f>
        <v>77.8</v>
      </c>
      <c r="H115" s="13" t="n">
        <f aca="false">IF(E115="","",(F115-E115)/E115)</f>
        <v>0.135304347826087</v>
      </c>
      <c r="I115" s="2" t="n">
        <v>44.8</v>
      </c>
      <c r="J115" s="2" t="n">
        <v>85.9</v>
      </c>
      <c r="K115" s="2" t="n">
        <v>14.5</v>
      </c>
      <c r="L115" s="2" t="str">
        <f aca="false">IF(E115="","no published figure",IF(ABS(H115)&gt;0.25,"1 - check first",IF(ABS(H115)&gt;0.15,"2 - check","3 - close enough")))</f>
        <v>3 - close enough</v>
      </c>
      <c r="M115" s="2"/>
      <c r="N115" s="10"/>
      <c r="O115" s="10"/>
    </row>
    <row r="116" customFormat="false" ht="15" hidden="false" customHeight="false" outlineLevel="0" collapsed="false">
      <c r="A116" s="2" t="s">
        <v>944</v>
      </c>
      <c r="B116" s="2" t="s">
        <v>945</v>
      </c>
      <c r="C116" s="2" t="s">
        <v>736</v>
      </c>
      <c r="D116" s="2" t="n">
        <v>1</v>
      </c>
      <c r="E116" s="2" t="n">
        <v>415</v>
      </c>
      <c r="F116" s="2" t="n">
        <v>470.1</v>
      </c>
      <c r="G116" s="2" t="n">
        <f aca="false">IF(E116="","",F116-E116)</f>
        <v>55.1</v>
      </c>
      <c r="H116" s="13" t="n">
        <f aca="false">IF(E116="","",(F116-E116)/E116)</f>
        <v>0.132771084337349</v>
      </c>
      <c r="I116" s="2" t="n">
        <v>47.3</v>
      </c>
      <c r="J116" s="2" t="n">
        <v>58.9</v>
      </c>
      <c r="K116" s="2" t="n">
        <v>5</v>
      </c>
      <c r="L116" s="2" t="str">
        <f aca="false">IF(E116="","no published figure",IF(ABS(H116)&gt;0.25,"1 - check first",IF(ABS(H116)&gt;0.15,"2 - check","3 - close enough")))</f>
        <v>3 - close enough</v>
      </c>
      <c r="M116" s="2"/>
      <c r="N116" s="10"/>
      <c r="O116" s="10"/>
    </row>
    <row r="117" customFormat="false" ht="15" hidden="false" customHeight="false" outlineLevel="0" collapsed="false">
      <c r="A117" s="2" t="s">
        <v>755</v>
      </c>
      <c r="B117" s="2" t="s">
        <v>756</v>
      </c>
      <c r="C117" s="2" t="s">
        <v>736</v>
      </c>
      <c r="D117" s="2" t="n">
        <v>1</v>
      </c>
      <c r="E117" s="2" t="n">
        <v>637</v>
      </c>
      <c r="F117" s="2" t="n">
        <v>552.8</v>
      </c>
      <c r="G117" s="2" t="n">
        <f aca="false">IF(E117="","",F117-E117)</f>
        <v>-84.2000000000001</v>
      </c>
      <c r="H117" s="13" t="n">
        <f aca="false">IF(E117="","",(F117-E117)/E117)</f>
        <v>-0.132182103610675</v>
      </c>
      <c r="I117" s="2" t="n">
        <v>35.8</v>
      </c>
      <c r="J117" s="2" t="n">
        <v>48.5</v>
      </c>
      <c r="K117" s="2" t="n">
        <v>23.9</v>
      </c>
      <c r="L117" s="2" t="str">
        <f aca="false">IF(E117="","no published figure",IF(ABS(H117)&gt;0.25,"1 - check first",IF(ABS(H117)&gt;0.15,"2 - check","3 - close enough")))</f>
        <v>3 - close enough</v>
      </c>
      <c r="M117" s="2"/>
      <c r="N117" s="10"/>
      <c r="O117" s="10"/>
    </row>
    <row r="118" customFormat="false" ht="15" hidden="false" customHeight="false" outlineLevel="0" collapsed="false">
      <c r="A118" s="2" t="s">
        <v>1020</v>
      </c>
      <c r="B118" s="2" t="s">
        <v>1021</v>
      </c>
      <c r="C118" s="2" t="s">
        <v>736</v>
      </c>
      <c r="D118" s="2" t="n">
        <v>1</v>
      </c>
      <c r="E118" s="2" t="n">
        <v>739</v>
      </c>
      <c r="F118" s="2" t="n">
        <v>834.8</v>
      </c>
      <c r="G118" s="2" t="n">
        <f aca="false">IF(E118="","",F118-E118)</f>
        <v>95.8</v>
      </c>
      <c r="H118" s="13" t="n">
        <f aca="false">IF(E118="","",(F118-E118)/E118)</f>
        <v>0.129634641407307</v>
      </c>
      <c r="I118" s="2" t="n">
        <v>52.7</v>
      </c>
      <c r="J118" s="2" t="n">
        <v>105.2</v>
      </c>
      <c r="K118" s="2" t="n">
        <v>22.6</v>
      </c>
      <c r="L118" s="2" t="str">
        <f aca="false">IF(E118="","no published figure",IF(ABS(H118)&gt;0.25,"1 - check first",IF(ABS(H118)&gt;0.15,"2 - check","3 - close enough")))</f>
        <v>3 - close enough</v>
      </c>
      <c r="M118" s="2" t="s">
        <v>939</v>
      </c>
      <c r="N118" s="10"/>
      <c r="O118" s="10"/>
    </row>
    <row r="119" customFormat="false" ht="15" hidden="false" customHeight="false" outlineLevel="0" collapsed="false">
      <c r="A119" s="2" t="s">
        <v>682</v>
      </c>
      <c r="B119" s="2" t="s">
        <v>683</v>
      </c>
      <c r="C119" s="2" t="s">
        <v>663</v>
      </c>
      <c r="D119" s="2" t="n">
        <v>16</v>
      </c>
      <c r="E119" s="2" t="n">
        <v>232</v>
      </c>
      <c r="F119" s="2" t="n">
        <v>261.7</v>
      </c>
      <c r="G119" s="2" t="n">
        <f aca="false">IF(E119="","",F119-E119)</f>
        <v>29.7</v>
      </c>
      <c r="H119" s="13" t="n">
        <f aca="false">IF(E119="","",(F119-E119)/E119)</f>
        <v>0.12801724137931</v>
      </c>
      <c r="I119" s="2" t="n">
        <v>7.2</v>
      </c>
      <c r="J119" s="2" t="n">
        <v>25.6</v>
      </c>
      <c r="K119" s="2" t="n">
        <v>14.5</v>
      </c>
      <c r="L119" s="2" t="str">
        <f aca="false">IF(E119="","no published figure",IF(ABS(H119)&gt;0.25,"1 - check first",IF(ABS(H119)&gt;0.15,"2 - check","3 - close enough")))</f>
        <v>3 - close enough</v>
      </c>
      <c r="M119" s="2"/>
      <c r="N119" s="10"/>
      <c r="O119" s="10"/>
    </row>
    <row r="120" customFormat="false" ht="15" hidden="false" customHeight="false" outlineLevel="0" collapsed="false">
      <c r="A120" s="2" t="s">
        <v>1291</v>
      </c>
      <c r="B120" s="2" t="s">
        <v>1292</v>
      </c>
      <c r="C120" s="2" t="s">
        <v>736</v>
      </c>
      <c r="D120" s="2" t="n">
        <v>1</v>
      </c>
      <c r="E120" s="2" t="n">
        <v>410</v>
      </c>
      <c r="F120" s="2" t="n">
        <v>462.5</v>
      </c>
      <c r="G120" s="2" t="n">
        <f aca="false">IF(E120="","",F120-E120)</f>
        <v>52.5</v>
      </c>
      <c r="H120" s="13" t="n">
        <f aca="false">IF(E120="","",(F120-E120)/E120)</f>
        <v>0.128048780487805</v>
      </c>
      <c r="I120" s="2" t="n">
        <v>32.6</v>
      </c>
      <c r="J120" s="2" t="n">
        <v>44.4</v>
      </c>
      <c r="K120" s="2" t="n">
        <v>17.2</v>
      </c>
      <c r="L120" s="2" t="str">
        <f aca="false">IF(E120="","no published figure",IF(ABS(H120)&gt;0.25,"1 - check first",IF(ABS(H120)&gt;0.15,"2 - check","3 - close enough")))</f>
        <v>3 - close enough</v>
      </c>
      <c r="M120" s="2"/>
      <c r="N120" s="10"/>
      <c r="O120" s="10"/>
    </row>
    <row r="121" customFormat="false" ht="15" hidden="false" customHeight="false" outlineLevel="0" collapsed="false">
      <c r="A121" s="2" t="s">
        <v>1119</v>
      </c>
      <c r="B121" s="2" t="s">
        <v>1120</v>
      </c>
      <c r="C121" s="2" t="s">
        <v>736</v>
      </c>
      <c r="D121" s="2" t="n">
        <v>1</v>
      </c>
      <c r="E121" s="2" t="n">
        <v>410</v>
      </c>
      <c r="F121" s="2" t="n">
        <v>462.3</v>
      </c>
      <c r="G121" s="2" t="n">
        <f aca="false">IF(E121="","",F121-E121)</f>
        <v>52.3</v>
      </c>
      <c r="H121" s="13" t="n">
        <f aca="false">IF(E121="","",(F121-E121)/E121)</f>
        <v>0.127560975609756</v>
      </c>
      <c r="I121" s="2" t="n">
        <v>35.5</v>
      </c>
      <c r="J121" s="2" t="n">
        <v>58.1</v>
      </c>
      <c r="K121" s="2" t="n">
        <v>9.8</v>
      </c>
      <c r="L121" s="2" t="str">
        <f aca="false">IF(E121="","no published figure",IF(ABS(H121)&gt;0.25,"1 - check first",IF(ABS(H121)&gt;0.15,"2 - check","3 - close enough")))</f>
        <v>3 - close enough</v>
      </c>
      <c r="M121" s="2"/>
      <c r="N121" s="10"/>
      <c r="O121" s="10"/>
    </row>
    <row r="122" customFormat="false" ht="15" hidden="false" customHeight="false" outlineLevel="0" collapsed="false">
      <c r="A122" s="2" t="s">
        <v>1202</v>
      </c>
      <c r="B122" s="2" t="s">
        <v>1203</v>
      </c>
      <c r="C122" s="2" t="s">
        <v>736</v>
      </c>
      <c r="D122" s="2" t="n">
        <v>1</v>
      </c>
      <c r="E122" s="2" t="n">
        <v>370</v>
      </c>
      <c r="F122" s="2" t="n">
        <v>415.6</v>
      </c>
      <c r="G122" s="2" t="n">
        <f aca="false">IF(E122="","",F122-E122)</f>
        <v>45.6</v>
      </c>
      <c r="H122" s="13" t="n">
        <f aca="false">IF(E122="","",(F122-E122)/E122)</f>
        <v>0.123243243243243</v>
      </c>
      <c r="I122" s="2" t="n">
        <v>34.3</v>
      </c>
      <c r="J122" s="2" t="n">
        <v>52.3</v>
      </c>
      <c r="K122" s="2" t="n">
        <v>7.7</v>
      </c>
      <c r="L122" s="2" t="str">
        <f aca="false">IF(E122="","no published figure",IF(ABS(H122)&gt;0.25,"1 - check first",IF(ABS(H122)&gt;0.15,"2 - check","3 - close enough")))</f>
        <v>3 - close enough</v>
      </c>
      <c r="M122" s="2"/>
      <c r="N122" s="10"/>
      <c r="O122" s="10"/>
    </row>
    <row r="123" customFormat="false" ht="15" hidden="false" customHeight="false" outlineLevel="0" collapsed="false">
      <c r="A123" s="2" t="s">
        <v>1535</v>
      </c>
      <c r="B123" s="2" t="s">
        <v>1536</v>
      </c>
      <c r="C123" s="2" t="s">
        <v>888</v>
      </c>
      <c r="D123" s="2" t="n">
        <v>1</v>
      </c>
      <c r="E123" s="2" t="n">
        <v>541</v>
      </c>
      <c r="F123" s="2" t="n">
        <v>474.4</v>
      </c>
      <c r="G123" s="2" t="n">
        <f aca="false">IF(E123="","",F123-E123)</f>
        <v>-66.6</v>
      </c>
      <c r="H123" s="13" t="n">
        <f aca="false">IF(E123="","",(F123-E123)/E123)</f>
        <v>-0.123105360443623</v>
      </c>
      <c r="I123" s="2" t="n">
        <v>24.6</v>
      </c>
      <c r="J123" s="2" t="n">
        <v>28.5</v>
      </c>
      <c r="K123" s="2" t="n">
        <v>29.1</v>
      </c>
      <c r="L123" s="2" t="str">
        <f aca="false">IF(E123="","no published figure",IF(ABS(H123)&gt;0.25,"1 - check first",IF(ABS(H123)&gt;0.15,"2 - check","3 - close enough")))</f>
        <v>3 - close enough</v>
      </c>
      <c r="M123" s="2"/>
      <c r="N123" s="10"/>
      <c r="O123" s="10"/>
    </row>
    <row r="124" customFormat="false" ht="15" hidden="false" customHeight="false" outlineLevel="0" collapsed="false">
      <c r="A124" s="2" t="s">
        <v>952</v>
      </c>
      <c r="B124" s="2" t="s">
        <v>953</v>
      </c>
      <c r="C124" s="2" t="s">
        <v>736</v>
      </c>
      <c r="D124" s="2" t="n">
        <v>1</v>
      </c>
      <c r="E124" s="2" t="n">
        <v>390</v>
      </c>
      <c r="F124" s="2" t="n">
        <v>437.7</v>
      </c>
      <c r="G124" s="2" t="n">
        <f aca="false">IF(E124="","",F124-E124)</f>
        <v>47.7</v>
      </c>
      <c r="H124" s="13" t="n">
        <f aca="false">IF(E124="","",(F124-E124)/E124)</f>
        <v>0.122307692307692</v>
      </c>
      <c r="I124" s="2" t="n">
        <v>49</v>
      </c>
      <c r="J124" s="2" t="n">
        <v>51.8</v>
      </c>
      <c r="K124" s="2" t="n">
        <v>3.8</v>
      </c>
      <c r="L124" s="2" t="str">
        <f aca="false">IF(E124="","no published figure",IF(ABS(H124)&gt;0.25,"1 - check first",IF(ABS(H124)&gt;0.15,"2 - check","3 - close enough")))</f>
        <v>3 - close enough</v>
      </c>
      <c r="M124" s="2"/>
      <c r="N124" s="10"/>
      <c r="O124" s="10"/>
    </row>
    <row r="125" customFormat="false" ht="15" hidden="false" customHeight="false" outlineLevel="0" collapsed="false">
      <c r="A125" s="2" t="s">
        <v>1529</v>
      </c>
      <c r="B125" s="2" t="s">
        <v>1530</v>
      </c>
      <c r="C125" s="2" t="s">
        <v>736</v>
      </c>
      <c r="D125" s="2" t="n">
        <v>2</v>
      </c>
      <c r="E125" s="2" t="n">
        <v>528</v>
      </c>
      <c r="F125" s="2" t="n">
        <v>592.5</v>
      </c>
      <c r="G125" s="2" t="n">
        <f aca="false">IF(E125="","",F125-E125)</f>
        <v>64.5</v>
      </c>
      <c r="H125" s="13" t="n">
        <f aca="false">IF(E125="","",(F125-E125)/E125)</f>
        <v>0.122159090909091</v>
      </c>
      <c r="I125" s="2" t="n">
        <v>57.3</v>
      </c>
      <c r="J125" s="2" t="n">
        <v>67.1</v>
      </c>
      <c r="K125" s="2" t="n">
        <v>10.6</v>
      </c>
      <c r="L125" s="2" t="str">
        <f aca="false">IF(E125="","no published figure",IF(ABS(H125)&gt;0.25,"1 - check first",IF(ABS(H125)&gt;0.15,"2 - check","3 - close enough")))</f>
        <v>3 - close enough</v>
      </c>
      <c r="M125" s="2"/>
      <c r="N125" s="10"/>
      <c r="O125" s="10"/>
    </row>
    <row r="126" customFormat="false" ht="15" hidden="false" customHeight="false" outlineLevel="0" collapsed="false">
      <c r="A126" s="2" t="s">
        <v>1457</v>
      </c>
      <c r="B126" s="2" t="s">
        <v>1458</v>
      </c>
      <c r="C126" s="2" t="s">
        <v>736</v>
      </c>
      <c r="D126" s="2" t="n">
        <v>1</v>
      </c>
      <c r="E126" s="2" t="n">
        <v>572</v>
      </c>
      <c r="F126" s="2" t="n">
        <v>640.7</v>
      </c>
      <c r="G126" s="2" t="n">
        <f aca="false">IF(E126="","",F126-E126)</f>
        <v>68.7000000000001</v>
      </c>
      <c r="H126" s="13" t="n">
        <f aca="false">IF(E126="","",(F126-E126)/E126)</f>
        <v>0.120104895104895</v>
      </c>
      <c r="I126" s="2" t="n">
        <v>51.4</v>
      </c>
      <c r="J126" s="2" t="n">
        <v>96</v>
      </c>
      <c r="K126" s="2" t="n">
        <v>5.7</v>
      </c>
      <c r="L126" s="2" t="str">
        <f aca="false">IF(E126="","no published figure",IF(ABS(H126)&gt;0.25,"1 - check first",IF(ABS(H126)&gt;0.15,"2 - check","3 - close enough")))</f>
        <v>3 - close enough</v>
      </c>
      <c r="M126" s="2"/>
      <c r="N126" s="10"/>
      <c r="O126" s="10"/>
    </row>
    <row r="127" customFormat="false" ht="15" hidden="false" customHeight="false" outlineLevel="0" collapsed="false">
      <c r="A127" s="2" t="s">
        <v>1242</v>
      </c>
      <c r="B127" s="2" t="s">
        <v>1243</v>
      </c>
      <c r="C127" s="2" t="s">
        <v>736</v>
      </c>
      <c r="D127" s="2" t="n">
        <v>1</v>
      </c>
      <c r="E127" s="2" t="n">
        <v>420</v>
      </c>
      <c r="F127" s="2" t="n">
        <v>370.4</v>
      </c>
      <c r="G127" s="2" t="n">
        <f aca="false">IF(E127="","",F127-E127)</f>
        <v>-49.6</v>
      </c>
      <c r="H127" s="13" t="n">
        <f aca="false">IF(E127="","",(F127-E127)/E127)</f>
        <v>-0.118095238095238</v>
      </c>
      <c r="I127" s="2" t="n">
        <v>31.7</v>
      </c>
      <c r="J127" s="2" t="n">
        <v>42.1</v>
      </c>
      <c r="K127" s="2" t="n">
        <v>8.3</v>
      </c>
      <c r="L127" s="2" t="str">
        <f aca="false">IF(E127="","no published figure",IF(ABS(H127)&gt;0.25,"1 - check first",IF(ABS(H127)&gt;0.15,"2 - check","3 - close enough")))</f>
        <v>3 - close enough</v>
      </c>
      <c r="M127" s="2"/>
      <c r="N127" s="10"/>
      <c r="O127" s="10"/>
    </row>
    <row r="128" customFormat="false" ht="15" hidden="false" customHeight="false" outlineLevel="0" collapsed="false">
      <c r="A128" s="2" t="s">
        <v>1538</v>
      </c>
      <c r="B128" s="2" t="s">
        <v>1539</v>
      </c>
      <c r="C128" s="2" t="s">
        <v>736</v>
      </c>
      <c r="D128" s="2" t="n">
        <v>1</v>
      </c>
      <c r="E128" s="2" t="n">
        <v>605</v>
      </c>
      <c r="F128" s="2" t="n">
        <v>533.8</v>
      </c>
      <c r="G128" s="2" t="n">
        <f aca="false">IF(E128="","",F128-E128)</f>
        <v>-71.2000000000001</v>
      </c>
      <c r="H128" s="13" t="n">
        <f aca="false">IF(E128="","",(F128-E128)/E128)</f>
        <v>-0.117685950413223</v>
      </c>
      <c r="I128" s="2" t="n">
        <v>46.1</v>
      </c>
      <c r="J128" s="2" t="n">
        <v>24</v>
      </c>
      <c r="K128" s="2" t="n">
        <v>28.2</v>
      </c>
      <c r="L128" s="2" t="str">
        <f aca="false">IF(E128="","no published figure",IF(ABS(H128)&gt;0.25,"1 - check first",IF(ABS(H128)&gt;0.15,"2 - check","3 - close enough")))</f>
        <v>3 - close enough</v>
      </c>
      <c r="M128" s="2"/>
      <c r="N128" s="10"/>
      <c r="O128" s="10"/>
    </row>
    <row r="129" customFormat="false" ht="15" hidden="false" customHeight="false" outlineLevel="0" collapsed="false">
      <c r="A129" s="2" t="s">
        <v>1556</v>
      </c>
      <c r="B129" s="2" t="s">
        <v>1557</v>
      </c>
      <c r="C129" s="2" t="s">
        <v>736</v>
      </c>
      <c r="D129" s="2" t="n">
        <v>1</v>
      </c>
      <c r="E129" s="2" t="n">
        <v>605</v>
      </c>
      <c r="F129" s="2" t="n">
        <v>533.8</v>
      </c>
      <c r="G129" s="2" t="n">
        <f aca="false">IF(E129="","",F129-E129)</f>
        <v>-71.2000000000001</v>
      </c>
      <c r="H129" s="13" t="n">
        <f aca="false">IF(E129="","",(F129-E129)/E129)</f>
        <v>-0.117685950413223</v>
      </c>
      <c r="I129" s="2" t="n">
        <v>46.1</v>
      </c>
      <c r="J129" s="2" t="n">
        <v>24</v>
      </c>
      <c r="K129" s="2" t="n">
        <v>28.2</v>
      </c>
      <c r="L129" s="2" t="str">
        <f aca="false">IF(E129="","no published figure",IF(ABS(H129)&gt;0.25,"1 - check first",IF(ABS(H129)&gt;0.15,"2 - check","3 - close enough")))</f>
        <v>3 - close enough</v>
      </c>
      <c r="M129" s="2"/>
      <c r="N129" s="10"/>
      <c r="O129" s="10"/>
    </row>
    <row r="130" customFormat="false" ht="15" hidden="false" customHeight="false" outlineLevel="0" collapsed="false">
      <c r="A130" s="2" t="s">
        <v>1063</v>
      </c>
      <c r="B130" s="2" t="s">
        <v>1064</v>
      </c>
      <c r="C130" s="2" t="s">
        <v>736</v>
      </c>
      <c r="D130" s="2" t="n">
        <v>1</v>
      </c>
      <c r="E130" s="2" t="n">
        <v>525</v>
      </c>
      <c r="F130" s="2" t="n">
        <v>586.6</v>
      </c>
      <c r="G130" s="2" t="n">
        <f aca="false">IF(E130="","",F130-E130)</f>
        <v>61.6</v>
      </c>
      <c r="H130" s="13" t="n">
        <f aca="false">IF(E130="","",(F130-E130)/E130)</f>
        <v>0.117333333333333</v>
      </c>
      <c r="I130" s="2" t="n">
        <v>36.3</v>
      </c>
      <c r="J130" s="2" t="n">
        <v>55.2</v>
      </c>
      <c r="K130" s="2" t="n">
        <v>24.5</v>
      </c>
      <c r="L130" s="2" t="str">
        <f aca="false">IF(E130="","no published figure",IF(ABS(H130)&gt;0.25,"1 - check first",IF(ABS(H130)&gt;0.15,"2 - check","3 - close enough")))</f>
        <v>3 - close enough</v>
      </c>
      <c r="M130" s="2"/>
      <c r="N130" s="10"/>
      <c r="O130" s="10"/>
    </row>
    <row r="131" customFormat="false" ht="15" hidden="false" customHeight="false" outlineLevel="0" collapsed="false">
      <c r="A131" s="2" t="s">
        <v>1582</v>
      </c>
      <c r="B131" s="2" t="s">
        <v>1583</v>
      </c>
      <c r="C131" s="2" t="s">
        <v>648</v>
      </c>
      <c r="D131" s="2" t="n">
        <v>1</v>
      </c>
      <c r="E131" s="2" t="n">
        <v>548</v>
      </c>
      <c r="F131" s="2" t="n">
        <v>483.9</v>
      </c>
      <c r="G131" s="2" t="n">
        <f aca="false">IF(E131="","",F131-E131)</f>
        <v>-64.1</v>
      </c>
      <c r="H131" s="13" t="n">
        <f aca="false">IF(E131="","",(F131-E131)/E131)</f>
        <v>-0.116970802919708</v>
      </c>
      <c r="I131" s="2" t="n">
        <v>35</v>
      </c>
      <c r="J131" s="2" t="n">
        <v>58.7</v>
      </c>
      <c r="K131" s="2" t="n">
        <v>12.1</v>
      </c>
      <c r="L131" s="2" t="str">
        <f aca="false">IF(E131="","no published figure",IF(ABS(H131)&gt;0.25,"1 - check first",IF(ABS(H131)&gt;0.15,"2 - check","3 - close enough")))</f>
        <v>3 - close enough</v>
      </c>
      <c r="M131" s="2"/>
      <c r="N131" s="10"/>
      <c r="O131" s="10"/>
    </row>
    <row r="132" customFormat="false" ht="15" hidden="false" customHeight="false" outlineLevel="0" collapsed="false">
      <c r="A132" s="2" t="s">
        <v>1151</v>
      </c>
      <c r="B132" s="2" t="s">
        <v>1092</v>
      </c>
      <c r="C132" s="2" t="s">
        <v>736</v>
      </c>
      <c r="D132" s="2" t="n">
        <v>1</v>
      </c>
      <c r="E132" s="2" t="n">
        <v>345</v>
      </c>
      <c r="F132" s="2" t="n">
        <v>384.5</v>
      </c>
      <c r="G132" s="2" t="n">
        <f aca="false">IF(E132="","",F132-E132)</f>
        <v>39.5</v>
      </c>
      <c r="H132" s="13" t="n">
        <f aca="false">IF(E132="","",(F132-E132)/E132)</f>
        <v>0.114492753623188</v>
      </c>
      <c r="I132" s="2" t="n">
        <v>41.2</v>
      </c>
      <c r="J132" s="2" t="n">
        <v>38.4</v>
      </c>
      <c r="K132" s="2" t="n">
        <v>7.3</v>
      </c>
      <c r="L132" s="2" t="str">
        <f aca="false">IF(E132="","no published figure",IF(ABS(H132)&gt;0.25,"1 - check first",IF(ABS(H132)&gt;0.15,"2 - check","3 - close enough")))</f>
        <v>3 - close enough</v>
      </c>
      <c r="M132" s="2"/>
      <c r="N132" s="10"/>
      <c r="O132" s="10"/>
    </row>
    <row r="133" customFormat="false" ht="15" hidden="false" customHeight="false" outlineLevel="0" collapsed="false">
      <c r="A133" s="2" t="s">
        <v>1339</v>
      </c>
      <c r="B133" s="2" t="s">
        <v>1340</v>
      </c>
      <c r="C133" s="2" t="s">
        <v>736</v>
      </c>
      <c r="D133" s="2" t="n">
        <v>1</v>
      </c>
      <c r="E133" s="2" t="n">
        <v>105</v>
      </c>
      <c r="F133" s="2" t="n">
        <v>93.5</v>
      </c>
      <c r="G133" s="2" t="n">
        <f aca="false">IF(E133="","",F133-E133)</f>
        <v>-11.5</v>
      </c>
      <c r="H133" s="13" t="n">
        <f aca="false">IF(E133="","",(F133-E133)/E133)</f>
        <v>-0.10952380952381</v>
      </c>
      <c r="I133" s="2" t="n">
        <v>1.1</v>
      </c>
      <c r="J133" s="2" t="n">
        <v>16.9</v>
      </c>
      <c r="K133" s="2" t="n">
        <v>2.4</v>
      </c>
      <c r="L133" s="2" t="str">
        <f aca="false">IF(E133="","no published figure",IF(ABS(H133)&gt;0.25,"1 - check first",IF(ABS(H133)&gt;0.15,"2 - check","3 - close enough")))</f>
        <v>3 - close enough</v>
      </c>
      <c r="M133" s="2"/>
      <c r="N133" s="10"/>
      <c r="O133" s="10"/>
    </row>
    <row r="134" customFormat="false" ht="15" hidden="false" customHeight="false" outlineLevel="0" collapsed="false">
      <c r="A134" s="2" t="s">
        <v>1630</v>
      </c>
      <c r="B134" s="2" t="s">
        <v>1631</v>
      </c>
      <c r="C134" s="2" t="s">
        <v>736</v>
      </c>
      <c r="D134" s="2" t="n">
        <v>1</v>
      </c>
      <c r="E134" s="2" t="n">
        <v>420</v>
      </c>
      <c r="F134" s="2" t="n">
        <v>466</v>
      </c>
      <c r="G134" s="2" t="n">
        <f aca="false">IF(E134="","",F134-E134)</f>
        <v>46</v>
      </c>
      <c r="H134" s="13" t="n">
        <f aca="false">IF(E134="","",(F134-E134)/E134)</f>
        <v>0.10952380952381</v>
      </c>
      <c r="I134" s="2" t="n">
        <v>42.2</v>
      </c>
      <c r="J134" s="2" t="n">
        <v>45.1</v>
      </c>
      <c r="K134" s="2" t="n">
        <v>13</v>
      </c>
      <c r="L134" s="2" t="str">
        <f aca="false">IF(E134="","no published figure",IF(ABS(H134)&gt;0.25,"1 - check first",IF(ABS(H134)&gt;0.15,"2 - check","3 - close enough")))</f>
        <v>3 - close enough</v>
      </c>
      <c r="M134" s="2"/>
      <c r="N134" s="10"/>
      <c r="O134" s="10"/>
    </row>
    <row r="135" customFormat="false" ht="15" hidden="false" customHeight="false" outlineLevel="0" collapsed="false">
      <c r="A135" s="2" t="s">
        <v>1131</v>
      </c>
      <c r="B135" s="2" t="s">
        <v>1132</v>
      </c>
      <c r="C135" s="2" t="s">
        <v>736</v>
      </c>
      <c r="D135" s="2" t="n">
        <v>1</v>
      </c>
      <c r="E135" s="2" t="n">
        <v>450</v>
      </c>
      <c r="F135" s="2" t="n">
        <v>499.1</v>
      </c>
      <c r="G135" s="2" t="n">
        <f aca="false">IF(E135="","",F135-E135)</f>
        <v>49.1</v>
      </c>
      <c r="H135" s="13" t="n">
        <f aca="false">IF(E135="","",(F135-E135)/E135)</f>
        <v>0.109111111111111</v>
      </c>
      <c r="I135" s="2" t="n">
        <v>41.9</v>
      </c>
      <c r="J135" s="2" t="n">
        <v>42.1</v>
      </c>
      <c r="K135" s="2" t="n">
        <v>18.1</v>
      </c>
      <c r="L135" s="2" t="str">
        <f aca="false">IF(E135="","no published figure",IF(ABS(H135)&gt;0.25,"1 - check first",IF(ABS(H135)&gt;0.15,"2 - check","3 - close enough")))</f>
        <v>3 - close enough</v>
      </c>
      <c r="M135" s="2"/>
      <c r="N135" s="10"/>
      <c r="O135" s="10"/>
    </row>
    <row r="136" customFormat="false" ht="15" hidden="false" customHeight="false" outlineLevel="0" collapsed="false">
      <c r="A136" s="2" t="s">
        <v>657</v>
      </c>
      <c r="B136" s="2" t="s">
        <v>658</v>
      </c>
      <c r="C136" s="2" t="s">
        <v>648</v>
      </c>
      <c r="D136" s="2" t="n">
        <v>1</v>
      </c>
      <c r="E136" s="2" t="n">
        <v>500</v>
      </c>
      <c r="F136" s="2" t="n">
        <v>445.8</v>
      </c>
      <c r="G136" s="2" t="n">
        <f aca="false">IF(E136="","",F136-E136)</f>
        <v>-54.2</v>
      </c>
      <c r="H136" s="13" t="n">
        <f aca="false">IF(E136="","",(F136-E136)/E136)</f>
        <v>-0.1084</v>
      </c>
      <c r="I136" s="2" t="n">
        <v>29</v>
      </c>
      <c r="J136" s="2" t="n">
        <v>66.9</v>
      </c>
      <c r="K136" s="2" t="n">
        <v>6.9</v>
      </c>
      <c r="L136" s="2" t="str">
        <f aca="false">IF(E136="","no published figure",IF(ABS(H136)&gt;0.25,"1 - check first",IF(ABS(H136)&gt;0.15,"2 - check","3 - close enough")))</f>
        <v>3 - close enough</v>
      </c>
      <c r="M136" s="2"/>
      <c r="N136" s="10"/>
      <c r="O136" s="10"/>
    </row>
    <row r="137" customFormat="false" ht="15" hidden="false" customHeight="false" outlineLevel="0" collapsed="false">
      <c r="A137" s="2" t="s">
        <v>1186</v>
      </c>
      <c r="B137" s="2" t="s">
        <v>1187</v>
      </c>
      <c r="C137" s="2" t="s">
        <v>736</v>
      </c>
      <c r="D137" s="2" t="n">
        <v>1</v>
      </c>
      <c r="E137" s="2" t="n">
        <v>415</v>
      </c>
      <c r="F137" s="2" t="n">
        <v>459.9</v>
      </c>
      <c r="G137" s="2" t="n">
        <f aca="false">IF(E137="","",F137-E137)</f>
        <v>44.9</v>
      </c>
      <c r="H137" s="13" t="n">
        <f aca="false">IF(E137="","",(F137-E137)/E137)</f>
        <v>0.108192771084337</v>
      </c>
      <c r="I137" s="2" t="n">
        <v>28.8</v>
      </c>
      <c r="J137" s="2" t="n">
        <v>38.8</v>
      </c>
      <c r="K137" s="2" t="n">
        <v>21.1</v>
      </c>
      <c r="L137" s="2" t="str">
        <f aca="false">IF(E137="","no published figure",IF(ABS(H137)&gt;0.25,"1 - check first",IF(ABS(H137)&gt;0.15,"2 - check","3 - close enough")))</f>
        <v>3 - close enough</v>
      </c>
      <c r="M137" s="2"/>
      <c r="N137" s="10"/>
      <c r="O137" s="10"/>
    </row>
    <row r="138" customFormat="false" ht="15" hidden="false" customHeight="false" outlineLevel="0" collapsed="false">
      <c r="A138" s="2" t="s">
        <v>1532</v>
      </c>
      <c r="B138" s="2" t="s">
        <v>1533</v>
      </c>
      <c r="C138" s="2" t="s">
        <v>736</v>
      </c>
      <c r="D138" s="2" t="n">
        <v>2</v>
      </c>
      <c r="E138" s="2" t="n">
        <v>645</v>
      </c>
      <c r="F138" s="2" t="n">
        <v>714.5</v>
      </c>
      <c r="G138" s="2" t="n">
        <f aca="false">IF(E138="","",F138-E138)</f>
        <v>69.5</v>
      </c>
      <c r="H138" s="13" t="n">
        <f aca="false">IF(E138="","",(F138-E138)/E138)</f>
        <v>0.107751937984496</v>
      </c>
      <c r="I138" s="2" t="n">
        <v>57.2</v>
      </c>
      <c r="J138" s="2" t="n">
        <v>110.8</v>
      </c>
      <c r="K138" s="2" t="n">
        <v>4.7</v>
      </c>
      <c r="L138" s="2" t="str">
        <f aca="false">IF(E138="","no published figure",IF(ABS(H138)&gt;0.25,"1 - check first",IF(ABS(H138)&gt;0.15,"2 - check","3 - close enough")))</f>
        <v>3 - close enough</v>
      </c>
      <c r="M138" s="2"/>
      <c r="N138" s="10"/>
      <c r="O138" s="10"/>
    </row>
    <row r="139" customFormat="false" ht="15" hidden="false" customHeight="false" outlineLevel="0" collapsed="false">
      <c r="A139" s="2" t="s">
        <v>1323</v>
      </c>
      <c r="B139" s="2" t="s">
        <v>1324</v>
      </c>
      <c r="C139" s="2" t="s">
        <v>736</v>
      </c>
      <c r="D139" s="2" t="n">
        <v>1</v>
      </c>
      <c r="E139" s="2" t="n">
        <v>120</v>
      </c>
      <c r="F139" s="2" t="n">
        <v>107.2</v>
      </c>
      <c r="G139" s="2" t="n">
        <f aca="false">IF(E139="","",F139-E139)</f>
        <v>-12.8</v>
      </c>
      <c r="H139" s="13" t="n">
        <f aca="false">IF(E139="","",(F139-E139)/E139)</f>
        <v>-0.106666666666667</v>
      </c>
      <c r="I139" s="2" t="n">
        <v>6.5</v>
      </c>
      <c r="J139" s="2" t="n">
        <v>17.1</v>
      </c>
      <c r="K139" s="2" t="n">
        <v>1.4</v>
      </c>
      <c r="L139" s="2" t="str">
        <f aca="false">IF(E139="","no published figure",IF(ABS(H139)&gt;0.25,"1 - check first",IF(ABS(H139)&gt;0.15,"2 - check","3 - close enough")))</f>
        <v>3 - close enough</v>
      </c>
      <c r="M139" s="2"/>
      <c r="N139" s="10"/>
      <c r="O139" s="10"/>
    </row>
    <row r="140" customFormat="false" ht="15" hidden="false" customHeight="false" outlineLevel="0" collapsed="false">
      <c r="A140" s="2" t="s">
        <v>1246</v>
      </c>
      <c r="B140" s="2" t="s">
        <v>1247</v>
      </c>
      <c r="C140" s="2" t="s">
        <v>736</v>
      </c>
      <c r="D140" s="2" t="n">
        <v>1</v>
      </c>
      <c r="E140" s="2" t="n">
        <v>340</v>
      </c>
      <c r="F140" s="2" t="n">
        <v>375.9</v>
      </c>
      <c r="G140" s="2" t="n">
        <f aca="false">IF(E140="","",F140-E140)</f>
        <v>35.9</v>
      </c>
      <c r="H140" s="13" t="n">
        <f aca="false">IF(E140="","",(F140-E140)/E140)</f>
        <v>0.105588235294118</v>
      </c>
      <c r="I140" s="2" t="n">
        <v>42.3</v>
      </c>
      <c r="J140" s="2" t="n">
        <v>31.2</v>
      </c>
      <c r="K140" s="2" t="n">
        <v>9.1</v>
      </c>
      <c r="L140" s="2" t="str">
        <f aca="false">IF(E140="","no published figure",IF(ABS(H140)&gt;0.25,"1 - check first",IF(ABS(H140)&gt;0.15,"2 - check","3 - close enough")))</f>
        <v>3 - close enough</v>
      </c>
      <c r="M140" s="2"/>
      <c r="N140" s="10"/>
      <c r="O140" s="10"/>
    </row>
    <row r="141" customFormat="false" ht="15" hidden="false" customHeight="false" outlineLevel="0" collapsed="false">
      <c r="A141" s="2" t="s">
        <v>921</v>
      </c>
      <c r="B141" s="2" t="s">
        <v>922</v>
      </c>
      <c r="C141" s="2" t="s">
        <v>736</v>
      </c>
      <c r="D141" s="2" t="n">
        <v>1</v>
      </c>
      <c r="E141" s="2" t="n">
        <v>315</v>
      </c>
      <c r="F141" s="2" t="n">
        <v>282.5</v>
      </c>
      <c r="G141" s="2" t="n">
        <f aca="false">IF(E141="","",F141-E141)</f>
        <v>-32.5</v>
      </c>
      <c r="H141" s="13" t="n">
        <f aca="false">IF(E141="","",(F141-E141)/E141)</f>
        <v>-0.103174603174603</v>
      </c>
      <c r="I141" s="2" t="n">
        <v>36.3</v>
      </c>
      <c r="J141" s="2" t="n">
        <v>22.8</v>
      </c>
      <c r="K141" s="2" t="n">
        <v>5.1</v>
      </c>
      <c r="L141" s="2" t="str">
        <f aca="false">IF(E141="","no published figure",IF(ABS(H141)&gt;0.25,"1 - check first",IF(ABS(H141)&gt;0.15,"2 - check","3 - close enough")))</f>
        <v>3 - close enough</v>
      </c>
      <c r="M141" s="2"/>
      <c r="N141" s="10"/>
      <c r="O141" s="10"/>
    </row>
    <row r="142" customFormat="false" ht="15" hidden="false" customHeight="false" outlineLevel="0" collapsed="false">
      <c r="A142" s="2" t="s">
        <v>1311</v>
      </c>
      <c r="B142" s="2" t="s">
        <v>1312</v>
      </c>
      <c r="C142" s="2" t="s">
        <v>736</v>
      </c>
      <c r="D142" s="2" t="n">
        <v>1</v>
      </c>
      <c r="E142" s="2" t="n">
        <v>80</v>
      </c>
      <c r="F142" s="2" t="n">
        <v>88.1</v>
      </c>
      <c r="G142" s="2" t="n">
        <f aca="false">IF(E142="","",F142-E142)</f>
        <v>8.09999999999999</v>
      </c>
      <c r="H142" s="13" t="n">
        <f aca="false">IF(E142="","",(F142-E142)/E142)</f>
        <v>0.10125</v>
      </c>
      <c r="I142" s="2" t="n">
        <v>6.3</v>
      </c>
      <c r="J142" s="2" t="n">
        <v>8.9</v>
      </c>
      <c r="K142" s="2" t="n">
        <v>3.1</v>
      </c>
      <c r="L142" s="2" t="str">
        <f aca="false">IF(E142="","no published figure",IF(ABS(H142)&gt;0.25,"1 - check first",IF(ABS(H142)&gt;0.15,"2 - check","3 - close enough")))</f>
        <v>3 - close enough</v>
      </c>
      <c r="M142" s="2"/>
      <c r="N142" s="10"/>
      <c r="O142" s="10"/>
    </row>
    <row r="143" customFormat="false" ht="15" hidden="false" customHeight="false" outlineLevel="0" collapsed="false">
      <c r="A143" s="2" t="s">
        <v>1675</v>
      </c>
      <c r="B143" s="2" t="s">
        <v>1676</v>
      </c>
      <c r="C143" s="2" t="s">
        <v>888</v>
      </c>
      <c r="D143" s="2" t="n">
        <v>1</v>
      </c>
      <c r="E143" s="2" t="n">
        <v>422</v>
      </c>
      <c r="F143" s="2" t="n">
        <v>464.7</v>
      </c>
      <c r="G143" s="2" t="n">
        <f aca="false">IF(E143="","",F143-E143)</f>
        <v>42.7</v>
      </c>
      <c r="H143" s="13" t="n">
        <f aca="false">IF(E143="","",(F143-E143)/E143)</f>
        <v>0.101184834123223</v>
      </c>
      <c r="I143" s="2" t="n">
        <v>40.9</v>
      </c>
      <c r="J143" s="2" t="n">
        <v>34.3</v>
      </c>
      <c r="K143" s="2" t="n">
        <v>18.2</v>
      </c>
      <c r="L143" s="2" t="str">
        <f aca="false">IF(E143="","no published figure",IF(ABS(H143)&gt;0.25,"1 - check first",IF(ABS(H143)&gt;0.15,"2 - check","3 - close enough")))</f>
        <v>3 - close enough</v>
      </c>
      <c r="M143" s="2"/>
      <c r="N143" s="10"/>
      <c r="O143" s="10"/>
    </row>
    <row r="144" customFormat="false" ht="15" hidden="false" customHeight="false" outlineLevel="0" collapsed="false">
      <c r="A144" s="2" t="s">
        <v>1391</v>
      </c>
      <c r="B144" s="2" t="s">
        <v>1392</v>
      </c>
      <c r="C144" s="2" t="s">
        <v>736</v>
      </c>
      <c r="D144" s="2" t="n">
        <v>5</v>
      </c>
      <c r="E144" s="2" t="n">
        <v>491</v>
      </c>
      <c r="F144" s="2" t="n">
        <v>540.6</v>
      </c>
      <c r="G144" s="2" t="n">
        <f aca="false">IF(E144="","",F144-E144)</f>
        <v>49.6</v>
      </c>
      <c r="H144" s="13" t="n">
        <f aca="false">IF(E144="","",(F144-E144)/E144)</f>
        <v>0.1010183299389</v>
      </c>
      <c r="I144" s="2" t="n">
        <v>28.2</v>
      </c>
      <c r="J144" s="2" t="n">
        <v>62.7</v>
      </c>
      <c r="K144" s="2" t="n">
        <v>19.7</v>
      </c>
      <c r="L144" s="2" t="str">
        <f aca="false">IF(E144="","no published figure",IF(ABS(H144)&gt;0.25,"1 - check first",IF(ABS(H144)&gt;0.15,"2 - check","3 - close enough")))</f>
        <v>3 - close enough</v>
      </c>
      <c r="M144" s="2"/>
      <c r="N144" s="10"/>
      <c r="O144" s="10"/>
    </row>
    <row r="145" customFormat="false" ht="15" hidden="false" customHeight="false" outlineLevel="0" collapsed="false">
      <c r="A145" s="2" t="s">
        <v>1206</v>
      </c>
      <c r="B145" s="2" t="s">
        <v>1207</v>
      </c>
      <c r="C145" s="2" t="s">
        <v>736</v>
      </c>
      <c r="D145" s="2" t="n">
        <v>1</v>
      </c>
      <c r="E145" s="2" t="n">
        <v>430</v>
      </c>
      <c r="F145" s="2" t="n">
        <v>473.4</v>
      </c>
      <c r="G145" s="2" t="n">
        <f aca="false">IF(E145="","",F145-E145)</f>
        <v>43.4</v>
      </c>
      <c r="H145" s="13" t="n">
        <f aca="false">IF(E145="","",(F145-E145)/E145)</f>
        <v>0.100930232558139</v>
      </c>
      <c r="I145" s="2" t="n">
        <v>38.3</v>
      </c>
      <c r="J145" s="2" t="n">
        <v>55.2</v>
      </c>
      <c r="K145" s="2" t="n">
        <v>11</v>
      </c>
      <c r="L145" s="2" t="str">
        <f aca="false">IF(E145="","no published figure",IF(ABS(H145)&gt;0.25,"1 - check first",IF(ABS(H145)&gt;0.15,"2 - check","3 - close enough")))</f>
        <v>3 - close enough</v>
      </c>
      <c r="M145" s="2"/>
      <c r="N145" s="10"/>
      <c r="O145" s="10"/>
    </row>
    <row r="146" customFormat="false" ht="15" hidden="false" customHeight="false" outlineLevel="0" collapsed="false">
      <c r="A146" s="2" t="s">
        <v>1266</v>
      </c>
      <c r="B146" s="2" t="s">
        <v>1267</v>
      </c>
      <c r="C146" s="2" t="s">
        <v>736</v>
      </c>
      <c r="D146" s="2" t="n">
        <v>1</v>
      </c>
      <c r="E146" s="2" t="n">
        <v>365</v>
      </c>
      <c r="F146" s="2" t="n">
        <v>401.6</v>
      </c>
      <c r="G146" s="2" t="n">
        <f aca="false">IF(E146="","",F146-E146)</f>
        <v>36.6</v>
      </c>
      <c r="H146" s="13" t="n">
        <f aca="false">IF(E146="","",(F146-E146)/E146)</f>
        <v>0.10027397260274</v>
      </c>
      <c r="I146" s="2" t="n">
        <v>32.4</v>
      </c>
      <c r="J146" s="2" t="n">
        <v>49.3</v>
      </c>
      <c r="K146" s="2" t="n">
        <v>8.3</v>
      </c>
      <c r="L146" s="2" t="str">
        <f aca="false">IF(E146="","no published figure",IF(ABS(H146)&gt;0.25,"1 - check first",IF(ABS(H146)&gt;0.15,"2 - check","3 - close enough")))</f>
        <v>3 - close enough</v>
      </c>
      <c r="M146" s="2"/>
      <c r="N146" s="10"/>
      <c r="O146" s="10"/>
    </row>
    <row r="147" customFormat="false" ht="15" hidden="false" customHeight="false" outlineLevel="0" collapsed="false">
      <c r="A147" s="2" t="s">
        <v>984</v>
      </c>
      <c r="B147" s="2" t="s">
        <v>985</v>
      </c>
      <c r="C147" s="2" t="s">
        <v>736</v>
      </c>
      <c r="D147" s="2" t="n">
        <v>1</v>
      </c>
      <c r="E147" s="2" t="n">
        <v>430</v>
      </c>
      <c r="F147" s="2" t="n">
        <v>473</v>
      </c>
      <c r="G147" s="2" t="n">
        <f aca="false">IF(E147="","",F147-E147)</f>
        <v>43</v>
      </c>
      <c r="H147" s="13" t="n">
        <f aca="false">IF(E147="","",(F147-E147)/E147)</f>
        <v>0.1</v>
      </c>
      <c r="I147" s="2" t="n">
        <v>48.4</v>
      </c>
      <c r="J147" s="2" t="n">
        <v>41.1</v>
      </c>
      <c r="K147" s="2" t="n">
        <v>12.8</v>
      </c>
      <c r="L147" s="2" t="str">
        <f aca="false">IF(E147="","no published figure",IF(ABS(H147)&gt;0.25,"1 - check first",IF(ABS(H147)&gt;0.15,"2 - check","3 - close enough")))</f>
        <v>3 - close enough</v>
      </c>
      <c r="M147" s="2"/>
      <c r="N147" s="10"/>
      <c r="O147" s="10"/>
    </row>
    <row r="148" customFormat="false" ht="15" hidden="false" customHeight="false" outlineLevel="0" collapsed="false">
      <c r="A148" s="2" t="s">
        <v>1414</v>
      </c>
      <c r="B148" s="2" t="s">
        <v>1415</v>
      </c>
      <c r="C148" s="2" t="s">
        <v>736</v>
      </c>
      <c r="D148" s="2" t="n">
        <v>1</v>
      </c>
      <c r="E148" s="2" t="n">
        <v>631</v>
      </c>
      <c r="F148" s="2" t="n">
        <v>694</v>
      </c>
      <c r="G148" s="2" t="n">
        <f aca="false">IF(E148="","",F148-E148)</f>
        <v>63</v>
      </c>
      <c r="H148" s="13" t="n">
        <f aca="false">IF(E148="","",(F148-E148)/E148)</f>
        <v>0.0998415213946117</v>
      </c>
      <c r="I148" s="2" t="n">
        <v>34.6</v>
      </c>
      <c r="J148" s="2" t="n">
        <v>46.9</v>
      </c>
      <c r="K148" s="2" t="n">
        <v>40.9</v>
      </c>
      <c r="L148" s="2" t="str">
        <f aca="false">IF(E148="","no published figure",IF(ABS(H148)&gt;0.25,"1 - check first",IF(ABS(H148)&gt;0.15,"2 - check","3 - close enough")))</f>
        <v>3 - close enough</v>
      </c>
      <c r="M148" s="2"/>
      <c r="N148" s="10"/>
      <c r="O148" s="10"/>
    </row>
    <row r="149" customFormat="false" ht="15" hidden="false" customHeight="false" outlineLevel="0" collapsed="false">
      <c r="A149" s="2" t="s">
        <v>873</v>
      </c>
      <c r="B149" s="2" t="s">
        <v>874</v>
      </c>
      <c r="C149" s="2" t="s">
        <v>736</v>
      </c>
      <c r="D149" s="2" t="n">
        <v>1</v>
      </c>
      <c r="E149" s="2" t="n">
        <v>912</v>
      </c>
      <c r="F149" s="2" t="n">
        <v>821.2</v>
      </c>
      <c r="G149" s="2" t="n">
        <f aca="false">IF(E149="","",F149-E149)</f>
        <v>-90.8</v>
      </c>
      <c r="H149" s="13" t="n">
        <f aca="false">IF(E149="","",(F149-E149)/E149)</f>
        <v>-0.0995614035087719</v>
      </c>
      <c r="I149" s="2" t="n">
        <v>54.9</v>
      </c>
      <c r="J149" s="2" t="n">
        <v>97.3</v>
      </c>
      <c r="K149" s="2" t="n">
        <v>23.6</v>
      </c>
      <c r="L149" s="2" t="str">
        <f aca="false">IF(E149="","no published figure",IF(ABS(H149)&gt;0.25,"1 - check first",IF(ABS(H149)&gt;0.15,"2 - check","3 - close enough")))</f>
        <v>3 - close enough</v>
      </c>
      <c r="M149" s="2" t="s">
        <v>876</v>
      </c>
      <c r="N149" s="10"/>
      <c r="O149" s="10"/>
    </row>
    <row r="150" customFormat="false" ht="15" hidden="false" customHeight="false" outlineLevel="0" collapsed="false">
      <c r="A150" s="2" t="s">
        <v>1510</v>
      </c>
      <c r="B150" s="2" t="s">
        <v>1511</v>
      </c>
      <c r="C150" s="2" t="s">
        <v>736</v>
      </c>
      <c r="D150" s="2" t="n">
        <v>1</v>
      </c>
      <c r="E150" s="2" t="n">
        <v>450</v>
      </c>
      <c r="F150" s="2" t="n">
        <v>405.5</v>
      </c>
      <c r="G150" s="2" t="n">
        <f aca="false">IF(E150="","",F150-E150)</f>
        <v>-44.5</v>
      </c>
      <c r="H150" s="13" t="n">
        <f aca="false">IF(E150="","",(F150-E150)/E150)</f>
        <v>-0.0988888888888889</v>
      </c>
      <c r="I150" s="2" t="n">
        <v>35.7</v>
      </c>
      <c r="J150" s="2" t="n">
        <v>48.6</v>
      </c>
      <c r="K150" s="2" t="n">
        <v>7.6</v>
      </c>
      <c r="L150" s="2" t="str">
        <f aca="false">IF(E150="","no published figure",IF(ABS(H150)&gt;0.25,"1 - check first",IF(ABS(H150)&gt;0.15,"2 - check","3 - close enough")))</f>
        <v>3 - close enough</v>
      </c>
      <c r="M150" s="2"/>
      <c r="N150" s="10"/>
      <c r="O150" s="10"/>
    </row>
    <row r="151" customFormat="false" ht="15" hidden="false" customHeight="false" outlineLevel="0" collapsed="false">
      <c r="A151" s="2" t="s">
        <v>1477</v>
      </c>
      <c r="B151" s="2" t="s">
        <v>1478</v>
      </c>
      <c r="C151" s="2" t="s">
        <v>736</v>
      </c>
      <c r="D151" s="2" t="n">
        <v>1</v>
      </c>
      <c r="E151" s="2" t="n">
        <v>420</v>
      </c>
      <c r="F151" s="2" t="n">
        <v>461.2</v>
      </c>
      <c r="G151" s="2" t="n">
        <f aca="false">IF(E151="","",F151-E151)</f>
        <v>41.2</v>
      </c>
      <c r="H151" s="13" t="n">
        <f aca="false">IF(E151="","",(F151-E151)/E151)</f>
        <v>0.0980952380952381</v>
      </c>
      <c r="I151" s="2" t="n">
        <v>42.3</v>
      </c>
      <c r="J151" s="2" t="n">
        <v>43.6</v>
      </c>
      <c r="K151" s="2" t="n">
        <v>13.1</v>
      </c>
      <c r="L151" s="2" t="str">
        <f aca="false">IF(E151="","no published figure",IF(ABS(H151)&gt;0.25,"1 - check first",IF(ABS(H151)&gt;0.15,"2 - check","3 - close enough")))</f>
        <v>3 - close enough</v>
      </c>
      <c r="M151" s="2"/>
      <c r="N151" s="10"/>
      <c r="O151" s="10"/>
    </row>
    <row r="152" customFormat="false" ht="15" hidden="false" customHeight="false" outlineLevel="0" collapsed="false">
      <c r="A152" s="2" t="s">
        <v>1359</v>
      </c>
      <c r="B152" s="2" t="s">
        <v>1360</v>
      </c>
      <c r="C152" s="2" t="s">
        <v>736</v>
      </c>
      <c r="D152" s="2" t="n">
        <v>1</v>
      </c>
      <c r="E152" s="2" t="n">
        <v>35</v>
      </c>
      <c r="F152" s="2" t="n">
        <v>31.6</v>
      </c>
      <c r="G152" s="2" t="n">
        <f aca="false">IF(E152="","",F152-E152)</f>
        <v>-3.4</v>
      </c>
      <c r="H152" s="13" t="n">
        <f aca="false">IF(E152="","",(F152-E152)/E152)</f>
        <v>-0.0971428571428571</v>
      </c>
      <c r="I152" s="2" t="n">
        <v>1.2</v>
      </c>
      <c r="J152" s="2" t="n">
        <v>3.9</v>
      </c>
      <c r="K152" s="2" t="n">
        <v>1.3</v>
      </c>
      <c r="L152" s="2" t="str">
        <f aca="false">IF(E152="","no published figure",IF(ABS(H152)&gt;0.25,"1 - check first",IF(ABS(H152)&gt;0.15,"2 - check","3 - close enough")))</f>
        <v>3 - close enough</v>
      </c>
      <c r="M152" s="2"/>
      <c r="N152" s="10"/>
      <c r="O152" s="10"/>
    </row>
    <row r="153" customFormat="false" ht="15" hidden="false" customHeight="false" outlineLevel="0" collapsed="false">
      <c r="A153" s="2" t="s">
        <v>1190</v>
      </c>
      <c r="B153" s="2" t="s">
        <v>1191</v>
      </c>
      <c r="C153" s="2" t="s">
        <v>736</v>
      </c>
      <c r="D153" s="2" t="n">
        <v>1</v>
      </c>
      <c r="E153" s="2" t="n">
        <v>430</v>
      </c>
      <c r="F153" s="2" t="n">
        <v>470.7</v>
      </c>
      <c r="G153" s="2" t="n">
        <f aca="false">IF(E153="","",F153-E153)</f>
        <v>40.7</v>
      </c>
      <c r="H153" s="13" t="n">
        <f aca="false">IF(E153="","",(F153-E153)/E153)</f>
        <v>0.0946511627906976</v>
      </c>
      <c r="I153" s="2" t="n">
        <v>37.5</v>
      </c>
      <c r="J153" s="2" t="n">
        <v>57.2</v>
      </c>
      <c r="K153" s="2" t="n">
        <v>10.2</v>
      </c>
      <c r="L153" s="2" t="str">
        <f aca="false">IF(E153="","no published figure",IF(ABS(H153)&gt;0.25,"1 - check first",IF(ABS(H153)&gt;0.15,"2 - check","3 - close enough")))</f>
        <v>3 - close enough</v>
      </c>
      <c r="M153" s="2"/>
      <c r="N153" s="10"/>
      <c r="O153" s="10"/>
    </row>
    <row r="154" customFormat="false" ht="15" hidden="false" customHeight="false" outlineLevel="0" collapsed="false">
      <c r="A154" s="2" t="s">
        <v>1640</v>
      </c>
      <c r="B154" s="2" t="s">
        <v>1641</v>
      </c>
      <c r="C154" s="2" t="s">
        <v>736</v>
      </c>
      <c r="D154" s="2" t="n">
        <v>1</v>
      </c>
      <c r="E154" s="2" t="n">
        <v>782</v>
      </c>
      <c r="F154" s="2" t="n">
        <v>708.3</v>
      </c>
      <c r="G154" s="2" t="n">
        <f aca="false">IF(E154="","",F154-E154)</f>
        <v>-73.7000000000001</v>
      </c>
      <c r="H154" s="13" t="n">
        <f aca="false">IF(E154="","",(F154-E154)/E154)</f>
        <v>-0.0942455242966753</v>
      </c>
      <c r="I154" s="2" t="n">
        <v>42.6</v>
      </c>
      <c r="J154" s="2" t="n">
        <v>65.5</v>
      </c>
      <c r="K154" s="2" t="n">
        <v>30.7</v>
      </c>
      <c r="L154" s="2" t="str">
        <f aca="false">IF(E154="","no published figure",IF(ABS(H154)&gt;0.25,"1 - check first",IF(ABS(H154)&gt;0.15,"2 - check","3 - close enough")))</f>
        <v>3 - close enough</v>
      </c>
      <c r="M154" s="2"/>
      <c r="N154" s="10"/>
      <c r="O154" s="10"/>
    </row>
    <row r="155" customFormat="false" ht="15" hidden="false" customHeight="false" outlineLevel="0" collapsed="false">
      <c r="A155" s="2" t="s">
        <v>1434</v>
      </c>
      <c r="B155" s="2" t="s">
        <v>1435</v>
      </c>
      <c r="C155" s="2" t="s">
        <v>736</v>
      </c>
      <c r="D155" s="2" t="n">
        <v>4</v>
      </c>
      <c r="E155" s="2" t="n">
        <v>461</v>
      </c>
      <c r="F155" s="2" t="n">
        <v>504.2</v>
      </c>
      <c r="G155" s="2" t="n">
        <f aca="false">IF(E155="","",F155-E155)</f>
        <v>43.2</v>
      </c>
      <c r="H155" s="13" t="n">
        <f aca="false">IF(E155="","",(F155-E155)/E155)</f>
        <v>0.0937093275488069</v>
      </c>
      <c r="I155" s="2" t="n">
        <v>19.3</v>
      </c>
      <c r="J155" s="2" t="n">
        <v>72</v>
      </c>
      <c r="K155" s="2" t="n">
        <v>15.4</v>
      </c>
      <c r="L155" s="2" t="str">
        <f aca="false">IF(E155="","no published figure",IF(ABS(H155)&gt;0.25,"1 - check first",IF(ABS(H155)&gt;0.15,"2 - check","3 - close enough")))</f>
        <v>3 - close enough</v>
      </c>
      <c r="M155" s="2" t="s">
        <v>1438</v>
      </c>
      <c r="N155" s="10"/>
      <c r="O155" s="10"/>
    </row>
    <row r="156" customFormat="false" ht="15" hidden="false" customHeight="false" outlineLevel="0" collapsed="false">
      <c r="A156" s="2" t="s">
        <v>1603</v>
      </c>
      <c r="B156" s="2" t="s">
        <v>1604</v>
      </c>
      <c r="C156" s="2" t="s">
        <v>888</v>
      </c>
      <c r="D156" s="2" t="n">
        <v>6</v>
      </c>
      <c r="E156" s="2" t="n">
        <v>70</v>
      </c>
      <c r="F156" s="2" t="n">
        <v>76.5</v>
      </c>
      <c r="G156" s="2" t="n">
        <f aca="false">IF(E156="","",F156-E156)</f>
        <v>6.5</v>
      </c>
      <c r="H156" s="13" t="n">
        <f aca="false">IF(E156="","",(F156-E156)/E156)</f>
        <v>0.0928571428571429</v>
      </c>
      <c r="I156" s="2" t="n">
        <v>6</v>
      </c>
      <c r="J156" s="2" t="n">
        <v>0.6</v>
      </c>
      <c r="K156" s="2" t="n">
        <v>5.6</v>
      </c>
      <c r="L156" s="2" t="str">
        <f aca="false">IF(E156="","no published figure",IF(ABS(H156)&gt;0.25,"1 - check first",IF(ABS(H156)&gt;0.15,"2 - check","3 - close enough")))</f>
        <v>3 - close enough</v>
      </c>
      <c r="M156" s="2" t="s">
        <v>1606</v>
      </c>
      <c r="N156" s="10"/>
      <c r="O156" s="10"/>
    </row>
    <row r="157" customFormat="false" ht="15" hidden="false" customHeight="false" outlineLevel="0" collapsed="false">
      <c r="A157" s="2" t="s">
        <v>1643</v>
      </c>
      <c r="B157" s="2" t="s">
        <v>1644</v>
      </c>
      <c r="C157" s="2" t="s">
        <v>736</v>
      </c>
      <c r="D157" s="2" t="n">
        <v>1</v>
      </c>
      <c r="E157" s="2" t="n">
        <v>605</v>
      </c>
      <c r="F157" s="2" t="n">
        <v>550.9</v>
      </c>
      <c r="G157" s="2" t="n">
        <f aca="false">IF(E157="","",F157-E157)</f>
        <v>-54.1</v>
      </c>
      <c r="H157" s="13" t="n">
        <f aca="false">IF(E157="","",(F157-E157)/E157)</f>
        <v>-0.0894214876033058</v>
      </c>
      <c r="I157" s="2" t="n">
        <v>47.1</v>
      </c>
      <c r="J157" s="2" t="n">
        <v>23</v>
      </c>
      <c r="K157" s="2" t="n">
        <v>30.1</v>
      </c>
      <c r="L157" s="2" t="str">
        <f aca="false">IF(E157="","no published figure",IF(ABS(H157)&gt;0.25,"1 - check first",IF(ABS(H157)&gt;0.15,"2 - check","3 - close enough")))</f>
        <v>3 - close enough</v>
      </c>
      <c r="M157" s="2"/>
      <c r="N157" s="10"/>
      <c r="O157" s="10"/>
    </row>
    <row r="158" customFormat="false" ht="15" hidden="false" customHeight="false" outlineLevel="0" collapsed="false">
      <c r="A158" s="2" t="s">
        <v>1493</v>
      </c>
      <c r="B158" s="2" t="s">
        <v>1494</v>
      </c>
      <c r="C158" s="2" t="s">
        <v>663</v>
      </c>
      <c r="D158" s="2" t="n">
        <v>8</v>
      </c>
      <c r="E158" s="2" t="n">
        <v>180</v>
      </c>
      <c r="F158" s="2" t="n">
        <v>163.9</v>
      </c>
      <c r="G158" s="2" t="n">
        <f aca="false">IF(E158="","",F158-E158)</f>
        <v>-16.1</v>
      </c>
      <c r="H158" s="13" t="n">
        <f aca="false">IF(E158="","",(F158-E158)/E158)</f>
        <v>-0.0894444444444444</v>
      </c>
      <c r="I158" s="2" t="n">
        <v>3.3</v>
      </c>
      <c r="J158" s="2" t="n">
        <v>12.6</v>
      </c>
      <c r="K158" s="2" t="n">
        <v>11.1</v>
      </c>
      <c r="L158" s="2" t="str">
        <f aca="false">IF(E158="","no published figure",IF(ABS(H158)&gt;0.25,"1 - check first",IF(ABS(H158)&gt;0.15,"2 - check","3 - close enough")))</f>
        <v>3 - close enough</v>
      </c>
      <c r="M158" s="2"/>
      <c r="N158" s="10"/>
      <c r="O158" s="10"/>
    </row>
    <row r="159" customFormat="false" ht="15" hidden="false" customHeight="false" outlineLevel="0" collapsed="false">
      <c r="A159" s="2" t="s">
        <v>1550</v>
      </c>
      <c r="B159" s="2" t="s">
        <v>1551</v>
      </c>
      <c r="C159" s="2" t="s">
        <v>736</v>
      </c>
      <c r="D159" s="2" t="n">
        <v>1</v>
      </c>
      <c r="E159" s="2" t="n">
        <v>530</v>
      </c>
      <c r="F159" s="2" t="n">
        <v>574.8</v>
      </c>
      <c r="G159" s="2" t="n">
        <f aca="false">IF(E159="","",F159-E159)</f>
        <v>44.8</v>
      </c>
      <c r="H159" s="13" t="n">
        <f aca="false">IF(E159="","",(F159-E159)/E159)</f>
        <v>0.0845283018867924</v>
      </c>
      <c r="I159" s="2" t="n">
        <v>47.2</v>
      </c>
      <c r="J159" s="2" t="n">
        <v>49.5</v>
      </c>
      <c r="K159" s="2" t="n">
        <v>20.9</v>
      </c>
      <c r="L159" s="2" t="str">
        <f aca="false">IF(E159="","no published figure",IF(ABS(H159)&gt;0.25,"1 - check first",IF(ABS(H159)&gt;0.15,"2 - check","3 - close enough")))</f>
        <v>3 - close enough</v>
      </c>
      <c r="M159" s="2"/>
      <c r="N159" s="10"/>
      <c r="O159" s="10"/>
    </row>
    <row r="160" customFormat="false" ht="15" hidden="false" customHeight="false" outlineLevel="0" collapsed="false">
      <c r="A160" s="2" t="s">
        <v>1299</v>
      </c>
      <c r="B160" s="2" t="s">
        <v>1300</v>
      </c>
      <c r="C160" s="2" t="s">
        <v>736</v>
      </c>
      <c r="D160" s="2" t="n">
        <v>1</v>
      </c>
      <c r="E160" s="2" t="n">
        <v>395</v>
      </c>
      <c r="F160" s="2" t="n">
        <v>363.3</v>
      </c>
      <c r="G160" s="2" t="n">
        <f aca="false">IF(E160="","",F160-E160)</f>
        <v>-31.7</v>
      </c>
      <c r="H160" s="13" t="n">
        <f aca="false">IF(E160="","",(F160-E160)/E160)</f>
        <v>-0.080253164556962</v>
      </c>
      <c r="I160" s="2" t="n">
        <v>24.4</v>
      </c>
      <c r="J160" s="2" t="n">
        <v>51.6</v>
      </c>
      <c r="K160" s="2" t="n">
        <v>6.6</v>
      </c>
      <c r="L160" s="2" t="str">
        <f aca="false">IF(E160="","no published figure",IF(ABS(H160)&gt;0.25,"1 - check first",IF(ABS(H160)&gt;0.15,"2 - check","3 - close enough")))</f>
        <v>3 - close enough</v>
      </c>
      <c r="M160" s="2"/>
      <c r="N160" s="10"/>
      <c r="O160" s="10"/>
    </row>
    <row r="161" customFormat="false" ht="15" hidden="false" customHeight="false" outlineLevel="0" collapsed="false">
      <c r="A161" s="2" t="s">
        <v>1572</v>
      </c>
      <c r="B161" s="2" t="s">
        <v>1573</v>
      </c>
      <c r="C161" s="2" t="s">
        <v>648</v>
      </c>
      <c r="D161" s="2" t="n">
        <v>1</v>
      </c>
      <c r="E161" s="2" t="n">
        <v>303</v>
      </c>
      <c r="F161" s="2" t="n">
        <v>278.8</v>
      </c>
      <c r="G161" s="2" t="n">
        <f aca="false">IF(E161="","",F161-E161)</f>
        <v>-24.2</v>
      </c>
      <c r="H161" s="13" t="n">
        <f aca="false">IF(E161="","",(F161-E161)/E161)</f>
        <v>-0.0798679867986798</v>
      </c>
      <c r="I161" s="2" t="n">
        <v>32.7</v>
      </c>
      <c r="J161" s="2" t="n">
        <v>26.7</v>
      </c>
      <c r="K161" s="2" t="n">
        <v>4.6</v>
      </c>
      <c r="L161" s="2" t="str">
        <f aca="false">IF(E161="","no published figure",IF(ABS(H161)&gt;0.25,"1 - check first",IF(ABS(H161)&gt;0.15,"2 - check","3 - close enough")))</f>
        <v>3 - close enough</v>
      </c>
      <c r="M161" s="2"/>
      <c r="N161" s="10"/>
      <c r="O161" s="10"/>
    </row>
    <row r="162" customFormat="false" ht="15" hidden="false" customHeight="false" outlineLevel="0" collapsed="false">
      <c r="A162" s="2" t="s">
        <v>822</v>
      </c>
      <c r="B162" s="2" t="s">
        <v>823</v>
      </c>
      <c r="C162" s="2" t="s">
        <v>736</v>
      </c>
      <c r="D162" s="2" t="n">
        <v>1</v>
      </c>
      <c r="E162" s="2" t="n">
        <v>512</v>
      </c>
      <c r="F162" s="2" t="n">
        <v>551.9</v>
      </c>
      <c r="G162" s="2" t="n">
        <f aca="false">IF(E162="","",F162-E162)</f>
        <v>39.9</v>
      </c>
      <c r="H162" s="13" t="n">
        <f aca="false">IF(E162="","",(F162-E162)/E162)</f>
        <v>0.0779296875</v>
      </c>
      <c r="I162" s="2" t="n">
        <v>38.6</v>
      </c>
      <c r="J162" s="2" t="n">
        <v>75.1</v>
      </c>
      <c r="K162" s="2" t="n">
        <v>10.8</v>
      </c>
      <c r="L162" s="2" t="str">
        <f aca="false">IF(E162="","no published figure",IF(ABS(H162)&gt;0.25,"1 - check first",IF(ABS(H162)&gt;0.15,"2 - check","3 - close enough")))</f>
        <v>3 - close enough</v>
      </c>
      <c r="M162" s="2"/>
      <c r="N162" s="10"/>
      <c r="O162" s="10"/>
    </row>
    <row r="163" customFormat="false" ht="15" hidden="false" customHeight="false" outlineLevel="0" collapsed="false">
      <c r="A163" s="2" t="s">
        <v>789</v>
      </c>
      <c r="B163" s="2" t="s">
        <v>790</v>
      </c>
      <c r="C163" s="2" t="s">
        <v>736</v>
      </c>
      <c r="D163" s="2" t="n">
        <v>4</v>
      </c>
      <c r="E163" s="2" t="n">
        <v>718</v>
      </c>
      <c r="F163" s="2" t="n">
        <v>772.3</v>
      </c>
      <c r="G163" s="2" t="n">
        <f aca="false">IF(E163="","",F163-E163)</f>
        <v>54.3</v>
      </c>
      <c r="H163" s="13" t="n">
        <f aca="false">IF(E163="","",(F163-E163)/E163)</f>
        <v>0.0756267409470752</v>
      </c>
      <c r="I163" s="2" t="n">
        <v>46</v>
      </c>
      <c r="J163" s="2" t="n">
        <v>91.4</v>
      </c>
      <c r="K163" s="2" t="n">
        <v>24.8</v>
      </c>
      <c r="L163" s="2" t="str">
        <f aca="false">IF(E163="","no published figure",IF(ABS(H163)&gt;0.25,"1 - check first",IF(ABS(H163)&gt;0.15,"2 - check","3 - close enough")))</f>
        <v>3 - close enough</v>
      </c>
      <c r="M163" s="2"/>
      <c r="N163" s="10"/>
      <c r="O163" s="10"/>
    </row>
    <row r="164" customFormat="false" ht="15" hidden="false" customHeight="false" outlineLevel="0" collapsed="false">
      <c r="A164" s="2" t="s">
        <v>1012</v>
      </c>
      <c r="B164" s="2" t="s">
        <v>1013</v>
      </c>
      <c r="C164" s="2" t="s">
        <v>736</v>
      </c>
      <c r="D164" s="2" t="n">
        <v>1</v>
      </c>
      <c r="E164" s="2" t="n">
        <v>290</v>
      </c>
      <c r="F164" s="2" t="n">
        <v>311.5</v>
      </c>
      <c r="G164" s="2" t="n">
        <f aca="false">IF(E164="","",F164-E164)</f>
        <v>21.5</v>
      </c>
      <c r="H164" s="13" t="n">
        <f aca="false">IF(E164="","",(F164-E164)/E164)</f>
        <v>0.0741379310344828</v>
      </c>
      <c r="I164" s="2" t="n">
        <v>32.4</v>
      </c>
      <c r="J164" s="2" t="n">
        <v>20</v>
      </c>
      <c r="K164" s="2" t="n">
        <v>11.3</v>
      </c>
      <c r="L164" s="2" t="str">
        <f aca="false">IF(E164="","no published figure",IF(ABS(H164)&gt;0.25,"1 - check first",IF(ABS(H164)&gt;0.15,"2 - check","3 - close enough")))</f>
        <v>3 - close enough</v>
      </c>
      <c r="M164" s="2"/>
      <c r="N164" s="10"/>
      <c r="O164" s="10"/>
    </row>
    <row r="165" customFormat="false" ht="15" hidden="false" customHeight="false" outlineLevel="0" collapsed="false">
      <c r="A165" s="2" t="s">
        <v>1501</v>
      </c>
      <c r="B165" s="2" t="s">
        <v>1502</v>
      </c>
      <c r="C165" s="2" t="s">
        <v>736</v>
      </c>
      <c r="D165" s="2" t="n">
        <v>1</v>
      </c>
      <c r="E165" s="2" t="n">
        <v>608</v>
      </c>
      <c r="F165" s="2" t="n">
        <v>563</v>
      </c>
      <c r="G165" s="2" t="n">
        <f aca="false">IF(E165="","",F165-E165)</f>
        <v>-45</v>
      </c>
      <c r="H165" s="13" t="n">
        <f aca="false">IF(E165="","",(F165-E165)/E165)</f>
        <v>-0.0740131578947368</v>
      </c>
      <c r="I165" s="2" t="n">
        <v>56.3</v>
      </c>
      <c r="J165" s="2" t="n">
        <v>66.4</v>
      </c>
      <c r="K165" s="2" t="n">
        <v>8</v>
      </c>
      <c r="L165" s="2" t="str">
        <f aca="false">IF(E165="","no published figure",IF(ABS(H165)&gt;0.25,"1 - check first",IF(ABS(H165)&gt;0.15,"2 - check","3 - close enough")))</f>
        <v>3 - close enough</v>
      </c>
      <c r="M165" s="2"/>
      <c r="N165" s="10"/>
      <c r="O165" s="10"/>
    </row>
    <row r="166" customFormat="false" ht="15" hidden="false" customHeight="false" outlineLevel="0" collapsed="false">
      <c r="A166" s="2" t="s">
        <v>1143</v>
      </c>
      <c r="B166" s="2" t="s">
        <v>1144</v>
      </c>
      <c r="C166" s="2" t="s">
        <v>736</v>
      </c>
      <c r="D166" s="2" t="n">
        <v>1</v>
      </c>
      <c r="E166" s="2" t="n">
        <v>375</v>
      </c>
      <c r="F166" s="2" t="n">
        <v>402.7</v>
      </c>
      <c r="G166" s="2" t="n">
        <f aca="false">IF(E166="","",F166-E166)</f>
        <v>27.7</v>
      </c>
      <c r="H166" s="13" t="n">
        <f aca="false">IF(E166="","",(F166-E166)/E166)</f>
        <v>0.0738666666666666</v>
      </c>
      <c r="I166" s="2" t="n">
        <v>34.2</v>
      </c>
      <c r="J166" s="2" t="n">
        <v>47.2</v>
      </c>
      <c r="K166" s="2" t="n">
        <v>8.5</v>
      </c>
      <c r="L166" s="2" t="str">
        <f aca="false">IF(E166="","no published figure",IF(ABS(H166)&gt;0.25,"1 - check first",IF(ABS(H166)&gt;0.15,"2 - check","3 - close enough")))</f>
        <v>3 - close enough</v>
      </c>
      <c r="M166" s="2"/>
      <c r="N166" s="10"/>
      <c r="O166" s="10"/>
    </row>
    <row r="167" customFormat="false" ht="15" hidden="false" customHeight="false" outlineLevel="0" collapsed="false">
      <c r="A167" s="2" t="s">
        <v>1154</v>
      </c>
      <c r="B167" s="2" t="s">
        <v>1155</v>
      </c>
      <c r="C167" s="2" t="s">
        <v>736</v>
      </c>
      <c r="D167" s="2" t="n">
        <v>1</v>
      </c>
      <c r="E167" s="2" t="n">
        <v>365</v>
      </c>
      <c r="F167" s="2" t="n">
        <v>391.9</v>
      </c>
      <c r="G167" s="2" t="n">
        <f aca="false">IF(E167="","",F167-E167)</f>
        <v>26.9</v>
      </c>
      <c r="H167" s="13" t="n">
        <f aca="false">IF(E167="","",(F167-E167)/E167)</f>
        <v>0.0736986301369862</v>
      </c>
      <c r="I167" s="2" t="n">
        <v>38.7</v>
      </c>
      <c r="J167" s="2" t="n">
        <v>33.3</v>
      </c>
      <c r="K167" s="2" t="n">
        <v>11.5</v>
      </c>
      <c r="L167" s="2" t="str">
        <f aca="false">IF(E167="","no published figure",IF(ABS(H167)&gt;0.25,"1 - check first",IF(ABS(H167)&gt;0.15,"2 - check","3 - close enough")))</f>
        <v>3 - close enough</v>
      </c>
      <c r="M167" s="2"/>
      <c r="N167" s="10"/>
      <c r="O167" s="10"/>
    </row>
    <row r="168" customFormat="false" ht="15" hidden="false" customHeight="false" outlineLevel="0" collapsed="false">
      <c r="A168" s="2" t="s">
        <v>856</v>
      </c>
      <c r="B168" s="2" t="s">
        <v>857</v>
      </c>
      <c r="C168" s="2" t="s">
        <v>736</v>
      </c>
      <c r="D168" s="2" t="n">
        <v>1</v>
      </c>
      <c r="E168" s="2" t="n">
        <v>699</v>
      </c>
      <c r="F168" s="2" t="n">
        <v>648.8</v>
      </c>
      <c r="G168" s="2" t="n">
        <f aca="false">IF(E168="","",F168-E168)</f>
        <v>-50.2</v>
      </c>
      <c r="H168" s="13" t="n">
        <f aca="false">IF(E168="","",(F168-E168)/E168)</f>
        <v>-0.0718168812589414</v>
      </c>
      <c r="I168" s="2" t="n">
        <v>44.5</v>
      </c>
      <c r="J168" s="2" t="n">
        <v>93.4</v>
      </c>
      <c r="K168" s="2" t="n">
        <v>10.8</v>
      </c>
      <c r="L168" s="2" t="str">
        <f aca="false">IF(E168="","no published figure",IF(ABS(H168)&gt;0.25,"1 - check first",IF(ABS(H168)&gt;0.15,"2 - check","3 - close enough")))</f>
        <v>3 - close enough</v>
      </c>
      <c r="M168" s="2"/>
      <c r="N168" s="10"/>
      <c r="O168" s="10"/>
    </row>
    <row r="169" customFormat="false" ht="15" hidden="false" customHeight="false" outlineLevel="0" collapsed="false">
      <c r="A169" s="2" t="s">
        <v>1258</v>
      </c>
      <c r="B169" s="2" t="s">
        <v>1259</v>
      </c>
      <c r="C169" s="2" t="s">
        <v>736</v>
      </c>
      <c r="D169" s="2" t="n">
        <v>1</v>
      </c>
      <c r="E169" s="2" t="n">
        <v>250</v>
      </c>
      <c r="F169" s="2" t="n">
        <v>268</v>
      </c>
      <c r="G169" s="2" t="n">
        <f aca="false">IF(E169="","",F169-E169)</f>
        <v>18</v>
      </c>
      <c r="H169" s="13" t="n">
        <f aca="false">IF(E169="","",(F169-E169)/E169)</f>
        <v>0.072</v>
      </c>
      <c r="I169" s="2" t="n">
        <v>32.3</v>
      </c>
      <c r="J169" s="2" t="n">
        <v>25.3</v>
      </c>
      <c r="K169" s="2" t="n">
        <v>4.2</v>
      </c>
      <c r="L169" s="2" t="str">
        <f aca="false">IF(E169="","no published figure",IF(ABS(H169)&gt;0.25,"1 - check first",IF(ABS(H169)&gt;0.15,"2 - check","3 - close enough")))</f>
        <v>3 - close enough</v>
      </c>
      <c r="M169" s="2"/>
      <c r="N169" s="10"/>
      <c r="O169" s="10"/>
    </row>
    <row r="170" customFormat="false" ht="15" hidden="false" customHeight="false" outlineLevel="0" collapsed="false">
      <c r="A170" s="2" t="s">
        <v>869</v>
      </c>
      <c r="B170" s="2" t="s">
        <v>870</v>
      </c>
      <c r="C170" s="2" t="s">
        <v>736</v>
      </c>
      <c r="D170" s="2" t="n">
        <v>1</v>
      </c>
      <c r="E170" s="2" t="n">
        <v>697</v>
      </c>
      <c r="F170" s="2" t="n">
        <v>647</v>
      </c>
      <c r="G170" s="2" t="n">
        <f aca="false">IF(E170="","",F170-E170)</f>
        <v>-50</v>
      </c>
      <c r="H170" s="13" t="n">
        <f aca="false">IF(E170="","",(F170-E170)/E170)</f>
        <v>-0.0717360114777618</v>
      </c>
      <c r="I170" s="2" t="n">
        <v>55.1</v>
      </c>
      <c r="J170" s="2" t="n">
        <v>77.3</v>
      </c>
      <c r="K170" s="2" t="n">
        <v>13</v>
      </c>
      <c r="L170" s="2" t="str">
        <f aca="false">IF(E170="","no published figure",IF(ABS(H170)&gt;0.25,"1 - check first",IF(ABS(H170)&gt;0.15,"2 - check","3 - close enough")))</f>
        <v>3 - close enough</v>
      </c>
      <c r="M170" s="2" t="s">
        <v>872</v>
      </c>
      <c r="N170" s="10"/>
      <c r="O170" s="10"/>
    </row>
    <row r="171" customFormat="false" ht="15" hidden="false" customHeight="false" outlineLevel="0" collapsed="false">
      <c r="A171" s="2" t="s">
        <v>1016</v>
      </c>
      <c r="B171" s="2" t="s">
        <v>1017</v>
      </c>
      <c r="C171" s="2" t="s">
        <v>736</v>
      </c>
      <c r="D171" s="2" t="n">
        <v>1</v>
      </c>
      <c r="E171" s="2" t="n">
        <v>360</v>
      </c>
      <c r="F171" s="2" t="n">
        <v>334.5</v>
      </c>
      <c r="G171" s="2" t="n">
        <f aca="false">IF(E171="","",F171-E171)</f>
        <v>-25.5</v>
      </c>
      <c r="H171" s="13" t="n">
        <f aca="false">IF(E171="","",(F171-E171)/E171)</f>
        <v>-0.0708333333333333</v>
      </c>
      <c r="I171" s="2" t="n">
        <v>44.5</v>
      </c>
      <c r="J171" s="2" t="n">
        <v>22.5</v>
      </c>
      <c r="K171" s="2" t="n">
        <v>7.4</v>
      </c>
      <c r="L171" s="2" t="str">
        <f aca="false">IF(E171="","no published figure",IF(ABS(H171)&gt;0.25,"1 - check first",IF(ABS(H171)&gt;0.15,"2 - check","3 - close enough")))</f>
        <v>3 - close enough</v>
      </c>
      <c r="M171" s="2"/>
      <c r="N171" s="10"/>
      <c r="O171" s="10"/>
    </row>
    <row r="172" customFormat="false" ht="15" hidden="false" customHeight="false" outlineLevel="0" collapsed="false">
      <c r="A172" s="2" t="s">
        <v>1091</v>
      </c>
      <c r="B172" s="2" t="s">
        <v>1092</v>
      </c>
      <c r="C172" s="2" t="s">
        <v>736</v>
      </c>
      <c r="D172" s="2" t="n">
        <v>1</v>
      </c>
      <c r="E172" s="2" t="n">
        <v>430</v>
      </c>
      <c r="F172" s="2" t="n">
        <v>460.2</v>
      </c>
      <c r="G172" s="2" t="n">
        <f aca="false">IF(E172="","",F172-E172)</f>
        <v>30.2</v>
      </c>
      <c r="H172" s="13" t="n">
        <f aca="false">IF(E172="","",(F172-E172)/E172)</f>
        <v>0.0702325581395349</v>
      </c>
      <c r="I172" s="2" t="n">
        <v>41.9</v>
      </c>
      <c r="J172" s="2" t="n">
        <v>50</v>
      </c>
      <c r="K172" s="2" t="n">
        <v>10.3</v>
      </c>
      <c r="L172" s="2" t="str">
        <f aca="false">IF(E172="","no published figure",IF(ABS(H172)&gt;0.25,"1 - check first",IF(ABS(H172)&gt;0.15,"2 - check","3 - close enough")))</f>
        <v>3 - close enough</v>
      </c>
      <c r="M172" s="2"/>
      <c r="N172" s="10"/>
      <c r="O172" s="10"/>
    </row>
    <row r="173" customFormat="false" ht="15" hidden="false" customHeight="false" outlineLevel="0" collapsed="false">
      <c r="A173" s="2" t="s">
        <v>1127</v>
      </c>
      <c r="B173" s="2" t="s">
        <v>1128</v>
      </c>
      <c r="C173" s="2" t="s">
        <v>736</v>
      </c>
      <c r="D173" s="2" t="n">
        <v>1</v>
      </c>
      <c r="E173" s="2" t="n">
        <v>445</v>
      </c>
      <c r="F173" s="2" t="n">
        <v>476.1</v>
      </c>
      <c r="G173" s="2" t="n">
        <f aca="false">IF(E173="","",F173-E173)</f>
        <v>31.1</v>
      </c>
      <c r="H173" s="13" t="n">
        <f aca="false">IF(E173="","",(F173-E173)/E173)</f>
        <v>0.0698876404494383</v>
      </c>
      <c r="I173" s="2" t="n">
        <v>36.5</v>
      </c>
      <c r="J173" s="2" t="n">
        <v>49.6</v>
      </c>
      <c r="K173" s="2" t="n">
        <v>14.6</v>
      </c>
      <c r="L173" s="2" t="str">
        <f aca="false">IF(E173="","no published figure",IF(ABS(H173)&gt;0.25,"1 - check first",IF(ABS(H173)&gt;0.15,"2 - check","3 - close enough")))</f>
        <v>3 - close enough</v>
      </c>
      <c r="M173" s="2"/>
      <c r="N173" s="10"/>
      <c r="O173" s="10"/>
    </row>
    <row r="174" customFormat="false" ht="15" hidden="false" customHeight="false" outlineLevel="0" collapsed="false">
      <c r="A174" s="2" t="s">
        <v>895</v>
      </c>
      <c r="B174" s="2" t="s">
        <v>896</v>
      </c>
      <c r="C174" s="2" t="s">
        <v>888</v>
      </c>
      <c r="D174" s="2" t="n">
        <v>1</v>
      </c>
      <c r="E174" s="2" t="n">
        <v>395</v>
      </c>
      <c r="F174" s="2" t="n">
        <v>421.6</v>
      </c>
      <c r="G174" s="2" t="n">
        <f aca="false">IF(E174="","",F174-E174)</f>
        <v>26.6</v>
      </c>
      <c r="H174" s="13" t="n">
        <f aca="false">IF(E174="","",(F174-E174)/E174)</f>
        <v>0.0673417721518988</v>
      </c>
      <c r="I174" s="2" t="n">
        <v>30.4</v>
      </c>
      <c r="J174" s="2" t="n">
        <v>55.7</v>
      </c>
      <c r="K174" s="2" t="n">
        <v>8.6</v>
      </c>
      <c r="L174" s="2" t="str">
        <f aca="false">IF(E174="","no published figure",IF(ABS(H174)&gt;0.25,"1 - check first",IF(ABS(H174)&gt;0.15,"2 - check","3 - close enough")))</f>
        <v>3 - close enough</v>
      </c>
      <c r="M174" s="2"/>
      <c r="N174" s="10"/>
      <c r="O174" s="10"/>
    </row>
    <row r="175" customFormat="false" ht="15" hidden="false" customHeight="false" outlineLevel="0" collapsed="false">
      <c r="A175" s="2" t="s">
        <v>816</v>
      </c>
      <c r="B175" s="2" t="s">
        <v>817</v>
      </c>
      <c r="C175" s="2" t="s">
        <v>736</v>
      </c>
      <c r="D175" s="2" t="n">
        <v>4</v>
      </c>
      <c r="E175" s="2" t="n">
        <v>762</v>
      </c>
      <c r="F175" s="2" t="n">
        <v>711.1</v>
      </c>
      <c r="G175" s="2" t="n">
        <f aca="false">IF(E175="","",F175-E175)</f>
        <v>-50.9</v>
      </c>
      <c r="H175" s="13" t="n">
        <f aca="false">IF(E175="","",(F175-E175)/E175)</f>
        <v>-0.0667979002624672</v>
      </c>
      <c r="I175" s="2" t="n">
        <v>28.4</v>
      </c>
      <c r="J175" s="2" t="n">
        <v>94.2</v>
      </c>
      <c r="K175" s="2" t="n">
        <v>24.5</v>
      </c>
      <c r="L175" s="2" t="str">
        <f aca="false">IF(E175="","no published figure",IF(ABS(H175)&gt;0.25,"1 - check first",IF(ABS(H175)&gt;0.15,"2 - check","3 - close enough")))</f>
        <v>3 - close enough</v>
      </c>
      <c r="M175" s="2"/>
      <c r="N175" s="10"/>
      <c r="O175" s="10"/>
    </row>
    <row r="176" customFormat="false" ht="15" hidden="false" customHeight="false" outlineLevel="0" collapsed="false">
      <c r="A176" s="2" t="s">
        <v>835</v>
      </c>
      <c r="B176" s="2" t="s">
        <v>836</v>
      </c>
      <c r="C176" s="2" t="s">
        <v>736</v>
      </c>
      <c r="D176" s="2" t="n">
        <v>1</v>
      </c>
      <c r="E176" s="2" t="n">
        <v>754</v>
      </c>
      <c r="F176" s="2" t="n">
        <v>804.1</v>
      </c>
      <c r="G176" s="2" t="n">
        <f aca="false">IF(E176="","",F176-E176)</f>
        <v>50.1</v>
      </c>
      <c r="H176" s="13" t="n">
        <f aca="false">IF(E176="","",(F176-E176)/E176)</f>
        <v>0.0664456233421751</v>
      </c>
      <c r="I176" s="2" t="n">
        <v>54.6</v>
      </c>
      <c r="J176" s="2" t="n">
        <v>75.8</v>
      </c>
      <c r="K176" s="2" t="n">
        <v>31.4</v>
      </c>
      <c r="L176" s="2" t="str">
        <f aca="false">IF(E176="","no published figure",IF(ABS(H176)&gt;0.25,"1 - check first",IF(ABS(H176)&gt;0.15,"2 - check","3 - close enough")))</f>
        <v>3 - close enough</v>
      </c>
      <c r="M176" s="2"/>
      <c r="N176" s="10"/>
      <c r="O176" s="10"/>
    </row>
    <row r="177" customFormat="false" ht="15" hidden="false" customHeight="false" outlineLevel="0" collapsed="false">
      <c r="A177" s="2" t="s">
        <v>1283</v>
      </c>
      <c r="B177" s="2" t="s">
        <v>1284</v>
      </c>
      <c r="C177" s="2" t="s">
        <v>736</v>
      </c>
      <c r="D177" s="2" t="n">
        <v>1</v>
      </c>
      <c r="E177" s="2" t="n">
        <v>385</v>
      </c>
      <c r="F177" s="2" t="n">
        <v>410.3</v>
      </c>
      <c r="G177" s="2" t="n">
        <f aca="false">IF(E177="","",F177-E177)</f>
        <v>25.3</v>
      </c>
      <c r="H177" s="13" t="n">
        <f aca="false">IF(E177="","",(F177-E177)/E177)</f>
        <v>0.0657142857142857</v>
      </c>
      <c r="I177" s="2" t="n">
        <v>39.6</v>
      </c>
      <c r="J177" s="2" t="n">
        <v>35.7</v>
      </c>
      <c r="K177" s="2" t="n">
        <v>12.1</v>
      </c>
      <c r="L177" s="2" t="str">
        <f aca="false">IF(E177="","no published figure",IF(ABS(H177)&gt;0.25,"1 - check first",IF(ABS(H177)&gt;0.15,"2 - check","3 - close enough")))</f>
        <v>3 - close enough</v>
      </c>
      <c r="M177" s="2"/>
      <c r="N177" s="10"/>
      <c r="O177" s="10"/>
    </row>
    <row r="178" customFormat="false" ht="15" hidden="false" customHeight="false" outlineLevel="0" collapsed="false">
      <c r="A178" s="2" t="s">
        <v>721</v>
      </c>
      <c r="B178" s="2" t="s">
        <v>722</v>
      </c>
      <c r="C178" s="2" t="s">
        <v>663</v>
      </c>
      <c r="D178" s="2" t="n">
        <v>1</v>
      </c>
      <c r="E178" s="2" t="n">
        <v>597</v>
      </c>
      <c r="F178" s="2" t="n">
        <v>558.4</v>
      </c>
      <c r="G178" s="2" t="n">
        <f aca="false">IF(E178="","",F178-E178)</f>
        <v>-38.6</v>
      </c>
      <c r="H178" s="13" t="n">
        <f aca="false">IF(E178="","",(F178-E178)/E178)</f>
        <v>-0.0646566164154104</v>
      </c>
      <c r="I178" s="2" t="n">
        <v>26.2</v>
      </c>
      <c r="J178" s="2" t="n">
        <v>96.5</v>
      </c>
      <c r="K178" s="2" t="n">
        <v>7.5</v>
      </c>
      <c r="L178" s="2" t="str">
        <f aca="false">IF(E178="","no published figure",IF(ABS(H178)&gt;0.25,"1 - check first",IF(ABS(H178)&gt;0.15,"2 - check","3 - close enough")))</f>
        <v>3 - close enough</v>
      </c>
      <c r="M178" s="2"/>
      <c r="N178" s="10"/>
      <c r="O178" s="10"/>
    </row>
    <row r="179" customFormat="false" ht="15" hidden="false" customHeight="false" outlineLevel="0" collapsed="false">
      <c r="A179" s="2" t="s">
        <v>692</v>
      </c>
      <c r="B179" s="2" t="s">
        <v>693</v>
      </c>
      <c r="C179" s="2" t="s">
        <v>663</v>
      </c>
      <c r="D179" s="2" t="n">
        <v>1</v>
      </c>
      <c r="E179" s="2" t="n">
        <v>497</v>
      </c>
      <c r="F179" s="2" t="n">
        <v>465.3</v>
      </c>
      <c r="G179" s="2" t="n">
        <f aca="false">IF(E179="","",F179-E179)</f>
        <v>-31.7</v>
      </c>
      <c r="H179" s="13" t="n">
        <f aca="false">IF(E179="","",(F179-E179)/E179)</f>
        <v>-0.0637826961770624</v>
      </c>
      <c r="I179" s="2" t="n">
        <v>24.2</v>
      </c>
      <c r="J179" s="2" t="n">
        <v>41.4</v>
      </c>
      <c r="K179" s="2" t="n">
        <v>22.5</v>
      </c>
      <c r="L179" s="2" t="str">
        <f aca="false">IF(E179="","no published figure",IF(ABS(H179)&gt;0.25,"1 - check first",IF(ABS(H179)&gt;0.15,"2 - check","3 - close enough")))</f>
        <v>3 - close enough</v>
      </c>
      <c r="M179" s="2"/>
      <c r="N179" s="10"/>
      <c r="O179" s="10"/>
    </row>
    <row r="180" customFormat="false" ht="15" hidden="false" customHeight="false" outlineLevel="0" collapsed="false">
      <c r="A180" s="2" t="s">
        <v>810</v>
      </c>
      <c r="B180" s="2" t="s">
        <v>811</v>
      </c>
      <c r="C180" s="2" t="s">
        <v>736</v>
      </c>
      <c r="D180" s="2" t="n">
        <v>4</v>
      </c>
      <c r="E180" s="2" t="n">
        <v>604</v>
      </c>
      <c r="F180" s="2" t="n">
        <v>565.9</v>
      </c>
      <c r="G180" s="2" t="n">
        <f aca="false">IF(E180="","",F180-E180)</f>
        <v>-38.1</v>
      </c>
      <c r="H180" s="13" t="n">
        <f aca="false">IF(E180="","",(F180-E180)/E180)</f>
        <v>-0.0630794701986755</v>
      </c>
      <c r="I180" s="2" t="n">
        <v>23.3</v>
      </c>
      <c r="J180" s="2" t="n">
        <v>62</v>
      </c>
      <c r="K180" s="2" t="n">
        <v>25</v>
      </c>
      <c r="L180" s="2" t="str">
        <f aca="false">IF(E180="","no published figure",IF(ABS(H180)&gt;0.25,"1 - check first",IF(ABS(H180)&gt;0.15,"2 - check","3 - close enough")))</f>
        <v>3 - close enough</v>
      </c>
      <c r="M180" s="2"/>
      <c r="N180" s="10"/>
      <c r="O180" s="10"/>
    </row>
    <row r="181" customFormat="false" ht="15" hidden="false" customHeight="false" outlineLevel="0" collapsed="false">
      <c r="A181" s="2" t="s">
        <v>1008</v>
      </c>
      <c r="B181" s="2" t="s">
        <v>1009</v>
      </c>
      <c r="C181" s="2" t="s">
        <v>736</v>
      </c>
      <c r="D181" s="2" t="n">
        <v>1</v>
      </c>
      <c r="E181" s="2" t="n">
        <v>385</v>
      </c>
      <c r="F181" s="2" t="n">
        <v>361.2</v>
      </c>
      <c r="G181" s="2" t="n">
        <f aca="false">IF(E181="","",F181-E181)</f>
        <v>-23.8</v>
      </c>
      <c r="H181" s="13" t="n">
        <f aca="false">IF(E181="","",(F181-E181)/E181)</f>
        <v>-0.0618181818181819</v>
      </c>
      <c r="I181" s="2" t="n">
        <v>37.6</v>
      </c>
      <c r="J181" s="2" t="n">
        <v>38.7</v>
      </c>
      <c r="K181" s="2" t="n">
        <v>6.2</v>
      </c>
      <c r="L181" s="2" t="str">
        <f aca="false">IF(E181="","no published figure",IF(ABS(H181)&gt;0.25,"1 - check first",IF(ABS(H181)&gt;0.15,"2 - check","3 - close enough")))</f>
        <v>3 - close enough</v>
      </c>
      <c r="M181" s="2"/>
      <c r="N181" s="10"/>
      <c r="O181" s="10"/>
    </row>
    <row r="182" customFormat="false" ht="15" hidden="false" customHeight="false" outlineLevel="0" collapsed="false">
      <c r="A182" s="2" t="s">
        <v>844</v>
      </c>
      <c r="B182" s="2" t="s">
        <v>845</v>
      </c>
      <c r="C182" s="2" t="s">
        <v>736</v>
      </c>
      <c r="D182" s="2" t="n">
        <v>1</v>
      </c>
      <c r="E182" s="2" t="n">
        <v>678</v>
      </c>
      <c r="F182" s="2" t="n">
        <v>637</v>
      </c>
      <c r="G182" s="2" t="n">
        <f aca="false">IF(E182="","",F182-E182)</f>
        <v>-41</v>
      </c>
      <c r="H182" s="13" t="n">
        <f aca="false">IF(E182="","",(F182-E182)/E182)</f>
        <v>-0.0604719764011799</v>
      </c>
      <c r="I182" s="2" t="n">
        <v>47.1</v>
      </c>
      <c r="J182" s="2" t="n">
        <v>80.5</v>
      </c>
      <c r="K182" s="2" t="n">
        <v>14.1</v>
      </c>
      <c r="L182" s="2" t="str">
        <f aca="false">IF(E182="","no published figure",IF(ABS(H182)&gt;0.25,"1 - check first",IF(ABS(H182)&gt;0.15,"2 - check","3 - close enough")))</f>
        <v>3 - close enough</v>
      </c>
      <c r="M182" s="2"/>
      <c r="N182" s="10"/>
      <c r="O182" s="10"/>
    </row>
    <row r="183" customFormat="false" ht="15" hidden="false" customHeight="false" outlineLevel="0" collapsed="false">
      <c r="A183" s="2" t="s">
        <v>1347</v>
      </c>
      <c r="B183" s="2" t="s">
        <v>1348</v>
      </c>
      <c r="C183" s="2" t="s">
        <v>736</v>
      </c>
      <c r="D183" s="2" t="n">
        <v>1</v>
      </c>
      <c r="E183" s="2" t="n">
        <v>140</v>
      </c>
      <c r="F183" s="2" t="n">
        <v>132</v>
      </c>
      <c r="G183" s="2" t="n">
        <f aca="false">IF(E183="","",F183-E183)</f>
        <v>-8</v>
      </c>
      <c r="H183" s="13" t="n">
        <f aca="false">IF(E183="","",(F183-E183)/E183)</f>
        <v>-0.0571428571428571</v>
      </c>
      <c r="I183" s="2" t="n">
        <v>2.9</v>
      </c>
      <c r="J183" s="2" t="n">
        <v>20.3</v>
      </c>
      <c r="K183" s="2" t="n">
        <v>4.4</v>
      </c>
      <c r="L183" s="2" t="str">
        <f aca="false">IF(E183="","no published figure",IF(ABS(H183)&gt;0.25,"1 - check first",IF(ABS(H183)&gt;0.15,"2 - check","3 - close enough")))</f>
        <v>3 - close enough</v>
      </c>
      <c r="M183" s="2"/>
      <c r="N183" s="10"/>
      <c r="O183" s="10"/>
    </row>
    <row r="184" customFormat="false" ht="15" hidden="false" customHeight="false" outlineLevel="0" collapsed="false">
      <c r="A184" s="2" t="s">
        <v>1287</v>
      </c>
      <c r="B184" s="2" t="s">
        <v>1288</v>
      </c>
      <c r="C184" s="2" t="s">
        <v>736</v>
      </c>
      <c r="D184" s="2" t="n">
        <v>1</v>
      </c>
      <c r="E184" s="2" t="n">
        <v>370</v>
      </c>
      <c r="F184" s="2" t="n">
        <v>391</v>
      </c>
      <c r="G184" s="2" t="n">
        <f aca="false">IF(E184="","",F184-E184)</f>
        <v>21</v>
      </c>
      <c r="H184" s="13" t="n">
        <f aca="false">IF(E184="","",(F184-E184)/E184)</f>
        <v>0.0567567567567568</v>
      </c>
      <c r="I184" s="2" t="n">
        <v>35.2</v>
      </c>
      <c r="J184" s="2" t="n">
        <v>42.8</v>
      </c>
      <c r="K184" s="2" t="n">
        <v>8.8</v>
      </c>
      <c r="L184" s="2" t="str">
        <f aca="false">IF(E184="","no published figure",IF(ABS(H184)&gt;0.25,"1 - check first",IF(ABS(H184)&gt;0.15,"2 - check","3 - close enough")))</f>
        <v>3 - close enough</v>
      </c>
      <c r="M184" s="2"/>
      <c r="N184" s="10"/>
      <c r="O184" s="10"/>
    </row>
    <row r="185" customFormat="false" ht="15" hidden="false" customHeight="false" outlineLevel="0" collapsed="false">
      <c r="A185" s="2" t="s">
        <v>865</v>
      </c>
      <c r="B185" s="2" t="s">
        <v>866</v>
      </c>
      <c r="C185" s="2" t="s">
        <v>736</v>
      </c>
      <c r="D185" s="2" t="n">
        <v>1</v>
      </c>
      <c r="E185" s="2" t="n">
        <v>706</v>
      </c>
      <c r="F185" s="2" t="n">
        <v>746.1</v>
      </c>
      <c r="G185" s="2" t="n">
        <f aca="false">IF(E185="","",F185-E185)</f>
        <v>40.1</v>
      </c>
      <c r="H185" s="13" t="n">
        <f aca="false">IF(E185="","",(F185-E185)/E185)</f>
        <v>0.0567988668555241</v>
      </c>
      <c r="I185" s="2" t="n">
        <v>53.4</v>
      </c>
      <c r="J185" s="2" t="n">
        <v>90.9</v>
      </c>
      <c r="K185" s="2" t="n">
        <v>18.8</v>
      </c>
      <c r="L185" s="2" t="str">
        <f aca="false">IF(E185="","no published figure",IF(ABS(H185)&gt;0.25,"1 - check first",IF(ABS(H185)&gt;0.15,"2 - check","3 - close enough")))</f>
        <v>3 - close enough</v>
      </c>
      <c r="M185" s="2" t="s">
        <v>868</v>
      </c>
      <c r="N185" s="10"/>
      <c r="O185" s="10"/>
    </row>
    <row r="186" customFormat="false" ht="15" hidden="false" customHeight="false" outlineLevel="0" collapsed="false">
      <c r="A186" s="2" t="s">
        <v>1178</v>
      </c>
      <c r="B186" s="2" t="s">
        <v>1179</v>
      </c>
      <c r="C186" s="2" t="s">
        <v>736</v>
      </c>
      <c r="D186" s="2" t="n">
        <v>1</v>
      </c>
      <c r="E186" s="2" t="n">
        <v>480</v>
      </c>
      <c r="F186" s="2" t="n">
        <v>506.9</v>
      </c>
      <c r="G186" s="2" t="n">
        <f aca="false">IF(E186="","",F186-E186)</f>
        <v>26.9</v>
      </c>
      <c r="H186" s="13" t="n">
        <f aca="false">IF(E186="","",(F186-E186)/E186)</f>
        <v>0.0560416666666666</v>
      </c>
      <c r="I186" s="2" t="n">
        <v>30.9</v>
      </c>
      <c r="J186" s="2" t="n">
        <v>59.7</v>
      </c>
      <c r="K186" s="2" t="n">
        <v>16.1</v>
      </c>
      <c r="L186" s="2" t="str">
        <f aca="false">IF(E186="","no published figure",IF(ABS(H186)&gt;0.25,"1 - check first",IF(ABS(H186)&gt;0.15,"2 - check","3 - close enough")))</f>
        <v>3 - close enough</v>
      </c>
      <c r="M186" s="2"/>
      <c r="N186" s="10"/>
      <c r="O186" s="10"/>
    </row>
    <row r="187" customFormat="false" ht="15" hidden="false" customHeight="false" outlineLevel="0" collapsed="false">
      <c r="A187" s="2" t="s">
        <v>841</v>
      </c>
      <c r="B187" s="2" t="s">
        <v>842</v>
      </c>
      <c r="C187" s="2" t="s">
        <v>736</v>
      </c>
      <c r="D187" s="2" t="n">
        <v>1</v>
      </c>
      <c r="E187" s="2" t="n">
        <v>787</v>
      </c>
      <c r="F187" s="2" t="n">
        <v>830.6</v>
      </c>
      <c r="G187" s="2" t="n">
        <f aca="false">IF(E187="","",F187-E187)</f>
        <v>43.6</v>
      </c>
      <c r="H187" s="13" t="n">
        <f aca="false">IF(E187="","",(F187-E187)/E187)</f>
        <v>0.0554002541296061</v>
      </c>
      <c r="I187" s="2" t="n">
        <v>43.2</v>
      </c>
      <c r="J187" s="2" t="n">
        <v>83.7</v>
      </c>
      <c r="K187" s="2" t="n">
        <v>35.9</v>
      </c>
      <c r="L187" s="2" t="str">
        <f aca="false">IF(E187="","no published figure",IF(ABS(H187)&gt;0.25,"1 - check first",IF(ABS(H187)&gt;0.15,"2 - check","3 - close enough")))</f>
        <v>3 - close enough</v>
      </c>
      <c r="M187" s="2"/>
      <c r="N187" s="10"/>
      <c r="O187" s="10"/>
    </row>
    <row r="188" customFormat="false" ht="15" hidden="false" customHeight="false" outlineLevel="0" collapsed="false">
      <c r="A188" s="2" t="s">
        <v>1055</v>
      </c>
      <c r="B188" s="2" t="s">
        <v>1056</v>
      </c>
      <c r="C188" s="2" t="s">
        <v>736</v>
      </c>
      <c r="D188" s="2" t="n">
        <v>1</v>
      </c>
      <c r="E188" s="2" t="n">
        <v>505</v>
      </c>
      <c r="F188" s="2" t="n">
        <v>532</v>
      </c>
      <c r="G188" s="2" t="n">
        <f aca="false">IF(E188="","",F188-E188)</f>
        <v>27</v>
      </c>
      <c r="H188" s="13" t="n">
        <f aca="false">IF(E188="","",(F188-E188)/E188)</f>
        <v>0.0534653465346535</v>
      </c>
      <c r="I188" s="2" t="n">
        <v>44.1</v>
      </c>
      <c r="J188" s="2" t="n">
        <v>42.3</v>
      </c>
      <c r="K188" s="2" t="n">
        <v>20.7</v>
      </c>
      <c r="L188" s="2" t="str">
        <f aca="false">IF(E188="","no published figure",IF(ABS(H188)&gt;0.25,"1 - check first",IF(ABS(H188)&gt;0.15,"2 - check","3 - close enough")))</f>
        <v>3 - close enough</v>
      </c>
      <c r="M188" s="2"/>
      <c r="N188" s="10"/>
      <c r="O188" s="10"/>
    </row>
    <row r="189" customFormat="false" ht="15" hidden="false" customHeight="false" outlineLevel="0" collapsed="false">
      <c r="A189" s="2" t="s">
        <v>731</v>
      </c>
      <c r="B189" s="2" t="s">
        <v>732</v>
      </c>
      <c r="C189" s="2" t="s">
        <v>663</v>
      </c>
      <c r="D189" s="2" t="n">
        <v>1</v>
      </c>
      <c r="E189" s="2" t="n">
        <v>539</v>
      </c>
      <c r="F189" s="2" t="n">
        <v>510.3</v>
      </c>
      <c r="G189" s="2" t="n">
        <f aca="false">IF(E189="","",F189-E189)</f>
        <v>-28.7</v>
      </c>
      <c r="H189" s="13" t="n">
        <f aca="false">IF(E189="","",(F189-E189)/E189)</f>
        <v>-0.0532467532467532</v>
      </c>
      <c r="I189" s="2" t="n">
        <v>35.1</v>
      </c>
      <c r="J189" s="2" t="n">
        <v>57.6</v>
      </c>
      <c r="K189" s="2" t="n">
        <v>15.5</v>
      </c>
      <c r="L189" s="2" t="str">
        <f aca="false">IF(E189="","no published figure",IF(ABS(H189)&gt;0.25,"1 - check first",IF(ABS(H189)&gt;0.15,"2 - check","3 - close enough")))</f>
        <v>3 - close enough</v>
      </c>
      <c r="M189" s="2"/>
      <c r="N189" s="10"/>
      <c r="O189" s="10"/>
    </row>
    <row r="190" customFormat="false" ht="15" hidden="false" customHeight="false" outlineLevel="0" collapsed="false">
      <c r="A190" s="2" t="s">
        <v>1107</v>
      </c>
      <c r="B190" s="2" t="s">
        <v>1108</v>
      </c>
      <c r="C190" s="2" t="s">
        <v>736</v>
      </c>
      <c r="D190" s="2" t="n">
        <v>1</v>
      </c>
      <c r="E190" s="2" t="n">
        <v>460</v>
      </c>
      <c r="F190" s="2" t="n">
        <v>435.6</v>
      </c>
      <c r="G190" s="2" t="n">
        <f aca="false">IF(E190="","",F190-E190)</f>
        <v>-24.4</v>
      </c>
      <c r="H190" s="13" t="n">
        <f aca="false">IF(E190="","",(F190-E190)/E190)</f>
        <v>-0.0530434782608695</v>
      </c>
      <c r="I190" s="2" t="n">
        <v>31.2</v>
      </c>
      <c r="J190" s="2" t="n">
        <v>55.9</v>
      </c>
      <c r="K190" s="2" t="n">
        <v>9.7</v>
      </c>
      <c r="L190" s="2" t="str">
        <f aca="false">IF(E190="","no published figure",IF(ABS(H190)&gt;0.25,"1 - check first",IF(ABS(H190)&gt;0.15,"2 - check","3 - close enough")))</f>
        <v>3 - close enough</v>
      </c>
      <c r="M190" s="2"/>
      <c r="N190" s="10"/>
      <c r="O190" s="10"/>
    </row>
    <row r="191" customFormat="false" ht="15" hidden="false" customHeight="false" outlineLevel="0" collapsed="false">
      <c r="A191" s="2" t="s">
        <v>1250</v>
      </c>
      <c r="B191" s="2" t="s">
        <v>1251</v>
      </c>
      <c r="C191" s="2" t="s">
        <v>736</v>
      </c>
      <c r="D191" s="2" t="n">
        <v>1</v>
      </c>
      <c r="E191" s="2" t="n">
        <v>370</v>
      </c>
      <c r="F191" s="2" t="n">
        <v>389.5</v>
      </c>
      <c r="G191" s="2" t="n">
        <f aca="false">IF(E191="","",F191-E191)</f>
        <v>19.5</v>
      </c>
      <c r="H191" s="13" t="n">
        <f aca="false">IF(E191="","",(F191-E191)/E191)</f>
        <v>0.0527027027027027</v>
      </c>
      <c r="I191" s="2" t="n">
        <v>37.3</v>
      </c>
      <c r="J191" s="2" t="n">
        <v>41.3</v>
      </c>
      <c r="K191" s="2" t="n">
        <v>8.3</v>
      </c>
      <c r="L191" s="2" t="str">
        <f aca="false">IF(E191="","no published figure",IF(ABS(H191)&gt;0.25,"1 - check first",IF(ABS(H191)&gt;0.15,"2 - check","3 - close enough")))</f>
        <v>3 - close enough</v>
      </c>
      <c r="M191" s="2"/>
      <c r="N191" s="10"/>
      <c r="O191" s="10"/>
    </row>
    <row r="192" customFormat="false" ht="15" hidden="false" customHeight="false" outlineLevel="0" collapsed="false">
      <c r="A192" s="2" t="s">
        <v>819</v>
      </c>
      <c r="B192" s="2" t="s">
        <v>820</v>
      </c>
      <c r="C192" s="2" t="s">
        <v>736</v>
      </c>
      <c r="D192" s="2" t="n">
        <v>1</v>
      </c>
      <c r="E192" s="2" t="n">
        <v>858</v>
      </c>
      <c r="F192" s="2" t="n">
        <v>813.1</v>
      </c>
      <c r="G192" s="2" t="n">
        <f aca="false">IF(E192="","",F192-E192)</f>
        <v>-44.9</v>
      </c>
      <c r="H192" s="13" t="n">
        <f aca="false">IF(E192="","",(F192-E192)/E192)</f>
        <v>-0.0523310023310023</v>
      </c>
      <c r="I192" s="2" t="n">
        <v>73</v>
      </c>
      <c r="J192" s="2" t="n">
        <v>64.6</v>
      </c>
      <c r="K192" s="2" t="n">
        <v>29.2</v>
      </c>
      <c r="L192" s="2" t="str">
        <f aca="false">IF(E192="","no published figure",IF(ABS(H192)&gt;0.25,"1 - check first",IF(ABS(H192)&gt;0.15,"2 - check","3 - close enough")))</f>
        <v>3 - close enough</v>
      </c>
      <c r="M192" s="2"/>
      <c r="N192" s="10"/>
      <c r="O192" s="10"/>
    </row>
    <row r="193" customFormat="false" ht="15" hidden="false" customHeight="false" outlineLevel="0" collapsed="false">
      <c r="A193" s="2" t="s">
        <v>1103</v>
      </c>
      <c r="B193" s="2" t="s">
        <v>1104</v>
      </c>
      <c r="C193" s="2" t="s">
        <v>736</v>
      </c>
      <c r="D193" s="2" t="n">
        <v>1</v>
      </c>
      <c r="E193" s="2" t="n">
        <v>430</v>
      </c>
      <c r="F193" s="2" t="n">
        <v>408.9</v>
      </c>
      <c r="G193" s="2" t="n">
        <f aca="false">IF(E193="","",F193-E193)</f>
        <v>-21.1</v>
      </c>
      <c r="H193" s="13" t="n">
        <f aca="false">IF(E193="","",(F193-E193)/E193)</f>
        <v>-0.0490697674418605</v>
      </c>
      <c r="I193" s="2" t="n">
        <v>29.9</v>
      </c>
      <c r="J193" s="2" t="n">
        <v>49.4</v>
      </c>
      <c r="K193" s="2" t="n">
        <v>10.2</v>
      </c>
      <c r="L193" s="2" t="str">
        <f aca="false">IF(E193="","no published figure",IF(ABS(H193)&gt;0.25,"1 - check first",IF(ABS(H193)&gt;0.15,"2 - check","3 - close enough")))</f>
        <v>3 - close enough</v>
      </c>
      <c r="M193" s="2"/>
      <c r="N193" s="10"/>
      <c r="O193" s="10"/>
    </row>
    <row r="194" customFormat="false" ht="15" hidden="false" customHeight="false" outlineLevel="0" collapsed="false">
      <c r="A194" s="2" t="s">
        <v>1099</v>
      </c>
      <c r="B194" s="2" t="s">
        <v>1100</v>
      </c>
      <c r="C194" s="2" t="s">
        <v>736</v>
      </c>
      <c r="D194" s="2" t="n">
        <v>1</v>
      </c>
      <c r="E194" s="2" t="n">
        <v>465</v>
      </c>
      <c r="F194" s="2" t="n">
        <v>442.3</v>
      </c>
      <c r="G194" s="2" t="n">
        <f aca="false">IF(E194="","",F194-E194)</f>
        <v>-22.7</v>
      </c>
      <c r="H194" s="13" t="n">
        <f aca="false">IF(E194="","",(F194-E194)/E194)</f>
        <v>-0.0488172043010752</v>
      </c>
      <c r="I194" s="2" t="n">
        <v>36.5</v>
      </c>
      <c r="J194" s="2" t="n">
        <v>44.8</v>
      </c>
      <c r="K194" s="2" t="n">
        <v>13</v>
      </c>
      <c r="L194" s="2" t="str">
        <f aca="false">IF(E194="","no published figure",IF(ABS(H194)&gt;0.25,"1 - check first",IF(ABS(H194)&gt;0.15,"2 - check","3 - close enough")))</f>
        <v>3 - close enough</v>
      </c>
      <c r="M194" s="2"/>
      <c r="N194" s="10"/>
      <c r="O194" s="10"/>
    </row>
    <row r="195" customFormat="false" ht="15" hidden="false" customHeight="false" outlineLevel="0" collapsed="false">
      <c r="A195" s="2" t="s">
        <v>1577</v>
      </c>
      <c r="B195" s="2" t="s">
        <v>1578</v>
      </c>
      <c r="C195" s="2" t="s">
        <v>648</v>
      </c>
      <c r="D195" s="2" t="n">
        <v>1</v>
      </c>
      <c r="E195" s="2" t="n">
        <v>516</v>
      </c>
      <c r="F195" s="2" t="n">
        <v>490.8</v>
      </c>
      <c r="G195" s="2" t="n">
        <f aca="false">IF(E195="","",F195-E195)</f>
        <v>-25.2</v>
      </c>
      <c r="H195" s="13" t="n">
        <f aca="false">IF(E195="","",(F195-E195)/E195)</f>
        <v>-0.0488372093023256</v>
      </c>
      <c r="I195" s="2" t="n">
        <v>35.8</v>
      </c>
      <c r="J195" s="2" t="n">
        <v>54.7</v>
      </c>
      <c r="K195" s="2" t="n">
        <v>14.3</v>
      </c>
      <c r="L195" s="2" t="str">
        <f aca="false">IF(E195="","no published figure",IF(ABS(H195)&gt;0.25,"1 - check first",IF(ABS(H195)&gt;0.15,"2 - check","3 - close enough")))</f>
        <v>3 - close enough</v>
      </c>
      <c r="M195" s="2"/>
      <c r="N195" s="10"/>
      <c r="O195" s="10"/>
    </row>
    <row r="196" customFormat="false" ht="15" hidden="false" customHeight="false" outlineLevel="0" collapsed="false">
      <c r="A196" s="2" t="s">
        <v>1295</v>
      </c>
      <c r="B196" s="2" t="s">
        <v>1296</v>
      </c>
      <c r="C196" s="2" t="s">
        <v>736</v>
      </c>
      <c r="D196" s="2" t="n">
        <v>1</v>
      </c>
      <c r="E196" s="2" t="n">
        <v>400</v>
      </c>
      <c r="F196" s="2" t="n">
        <v>419.2</v>
      </c>
      <c r="G196" s="2" t="n">
        <f aca="false">IF(E196="","",F196-E196)</f>
        <v>19.2</v>
      </c>
      <c r="H196" s="13" t="n">
        <f aca="false">IF(E196="","",(F196-E196)/E196)</f>
        <v>0.048</v>
      </c>
      <c r="I196" s="2" t="n">
        <v>30</v>
      </c>
      <c r="J196" s="2" t="n">
        <v>42.3</v>
      </c>
      <c r="K196" s="2" t="n">
        <v>14.4</v>
      </c>
      <c r="L196" s="2" t="str">
        <f aca="false">IF(E196="","no published figure",IF(ABS(H196)&gt;0.25,"1 - check first",IF(ABS(H196)&gt;0.15,"2 - check","3 - close enough")))</f>
        <v>3 - close enough</v>
      </c>
      <c r="M196" s="2"/>
      <c r="N196" s="10"/>
      <c r="O196" s="10"/>
    </row>
    <row r="197" customFormat="false" ht="15" hidden="false" customHeight="false" outlineLevel="0" collapsed="false">
      <c r="A197" s="2" t="s">
        <v>702</v>
      </c>
      <c r="B197" s="2" t="s">
        <v>703</v>
      </c>
      <c r="C197" s="2" t="s">
        <v>663</v>
      </c>
      <c r="D197" s="2" t="n">
        <v>4</v>
      </c>
      <c r="E197" s="2" t="n">
        <v>350</v>
      </c>
      <c r="F197" s="2" t="n">
        <v>366.8</v>
      </c>
      <c r="G197" s="2" t="n">
        <f aca="false">IF(E197="","",F197-E197)</f>
        <v>16.8</v>
      </c>
      <c r="H197" s="13" t="n">
        <f aca="false">IF(E197="","",(F197-E197)/E197)</f>
        <v>0.048</v>
      </c>
      <c r="I197" s="2" t="n">
        <v>11.5</v>
      </c>
      <c r="J197" s="2" t="n">
        <v>47.8</v>
      </c>
      <c r="K197" s="2" t="n">
        <v>14.4</v>
      </c>
      <c r="L197" s="2" t="str">
        <f aca="false">IF(E197="","no published figure",IF(ABS(H197)&gt;0.25,"1 - check first",IF(ABS(H197)&gt;0.15,"2 - check","3 - close enough")))</f>
        <v>3 - close enough</v>
      </c>
      <c r="M197" s="2"/>
      <c r="N197" s="10"/>
      <c r="O197" s="10"/>
    </row>
    <row r="198" customFormat="false" ht="15" hidden="false" customHeight="false" outlineLevel="0" collapsed="false">
      <c r="A198" s="2" t="s">
        <v>1230</v>
      </c>
      <c r="B198" s="2" t="s">
        <v>1231</v>
      </c>
      <c r="C198" s="2" t="s">
        <v>736</v>
      </c>
      <c r="D198" s="2" t="n">
        <v>1</v>
      </c>
      <c r="E198" s="2" t="n">
        <v>385</v>
      </c>
      <c r="F198" s="2" t="n">
        <v>403.4</v>
      </c>
      <c r="G198" s="2" t="n">
        <f aca="false">IF(E198="","",F198-E198)</f>
        <v>18.4</v>
      </c>
      <c r="H198" s="13" t="n">
        <f aca="false">IF(E198="","",(F198-E198)/E198)</f>
        <v>0.0477922077922077</v>
      </c>
      <c r="I198" s="2" t="n">
        <v>37</v>
      </c>
      <c r="J198" s="2" t="n">
        <v>34</v>
      </c>
      <c r="K198" s="2" t="n">
        <v>13.3</v>
      </c>
      <c r="L198" s="2" t="str">
        <f aca="false">IF(E198="","no published figure",IF(ABS(H198)&gt;0.25,"1 - check first",IF(ABS(H198)&gt;0.15,"2 - check","3 - close enough")))</f>
        <v>3 - close enough</v>
      </c>
      <c r="M198" s="2"/>
      <c r="N198" s="10"/>
      <c r="O198" s="10"/>
    </row>
    <row r="199" customFormat="false" ht="15" hidden="false" customHeight="false" outlineLevel="0" collapsed="false">
      <c r="A199" s="2" t="s">
        <v>1378</v>
      </c>
      <c r="B199" s="2" t="s">
        <v>746</v>
      </c>
      <c r="C199" s="2" t="s">
        <v>736</v>
      </c>
      <c r="D199" s="2" t="n">
        <v>2</v>
      </c>
      <c r="E199" s="2" t="n">
        <v>501</v>
      </c>
      <c r="F199" s="2" t="n">
        <v>524.8</v>
      </c>
      <c r="G199" s="2" t="n">
        <f aca="false">IF(E199="","",F199-E199)</f>
        <v>23.8</v>
      </c>
      <c r="H199" s="13" t="n">
        <f aca="false">IF(E199="","",(F199-E199)/E199)</f>
        <v>0.04750499001996</v>
      </c>
      <c r="I199" s="2" t="n">
        <v>40.3</v>
      </c>
      <c r="J199" s="2" t="n">
        <v>59.1</v>
      </c>
      <c r="K199" s="2" t="n">
        <v>14.1</v>
      </c>
      <c r="L199" s="2" t="str">
        <f aca="false">IF(E199="","no published figure",IF(ABS(H199)&gt;0.25,"1 - check first",IF(ABS(H199)&gt;0.15,"2 - check","3 - close enough")))</f>
        <v>3 - close enough</v>
      </c>
      <c r="M199" s="2"/>
      <c r="N199" s="10"/>
      <c r="O199" s="10"/>
    </row>
    <row r="200" customFormat="false" ht="15" hidden="false" customHeight="false" outlineLevel="0" collapsed="false">
      <c r="A200" s="2" t="s">
        <v>862</v>
      </c>
      <c r="B200" s="2" t="s">
        <v>863</v>
      </c>
      <c r="C200" s="2" t="s">
        <v>736</v>
      </c>
      <c r="D200" s="2" t="n">
        <v>1</v>
      </c>
      <c r="E200" s="2" t="n">
        <v>772</v>
      </c>
      <c r="F200" s="2" t="n">
        <v>735.4</v>
      </c>
      <c r="G200" s="2" t="n">
        <f aca="false">IF(E200="","",F200-E200)</f>
        <v>-36.6</v>
      </c>
      <c r="H200" s="13" t="n">
        <f aca="false">IF(E200="","",(F200-E200)/E200)</f>
        <v>-0.0474093264248705</v>
      </c>
      <c r="I200" s="2" t="n">
        <v>55.8</v>
      </c>
      <c r="J200" s="2" t="n">
        <v>86.1</v>
      </c>
      <c r="K200" s="2" t="n">
        <v>18.7</v>
      </c>
      <c r="L200" s="2" t="str">
        <f aca="false">IF(E200="","no published figure",IF(ABS(H200)&gt;0.25,"1 - check first",IF(ABS(H200)&gt;0.15,"2 - check","3 - close enough")))</f>
        <v>3 - close enough</v>
      </c>
      <c r="M200" s="2"/>
      <c r="N200" s="10"/>
      <c r="O200" s="10"/>
    </row>
    <row r="201" customFormat="false" ht="15" hidden="false" customHeight="false" outlineLevel="0" collapsed="false">
      <c r="A201" s="2" t="s">
        <v>1507</v>
      </c>
      <c r="B201" s="2" t="s">
        <v>1508</v>
      </c>
      <c r="C201" s="2" t="s">
        <v>663</v>
      </c>
      <c r="D201" s="2" t="n">
        <v>2</v>
      </c>
      <c r="E201" s="2" t="n">
        <v>249</v>
      </c>
      <c r="F201" s="2" t="n">
        <v>237.3</v>
      </c>
      <c r="G201" s="2" t="n">
        <f aca="false">IF(E201="","",F201-E201)</f>
        <v>-11.7</v>
      </c>
      <c r="H201" s="13" t="n">
        <f aca="false">IF(E201="","",(F201-E201)/E201)</f>
        <v>-0.0469879518072289</v>
      </c>
      <c r="I201" s="2" t="n">
        <v>17.9</v>
      </c>
      <c r="J201" s="2" t="n">
        <v>1.9</v>
      </c>
      <c r="K201" s="2" t="n">
        <v>17.6</v>
      </c>
      <c r="L201" s="2" t="str">
        <f aca="false">IF(E201="","no published figure",IF(ABS(H201)&gt;0.25,"1 - check first",IF(ABS(H201)&gt;0.15,"2 - check","3 - close enough")))</f>
        <v>3 - close enough</v>
      </c>
      <c r="M201" s="2"/>
      <c r="N201" s="10"/>
      <c r="O201" s="10"/>
    </row>
    <row r="202" customFormat="false" ht="15" hidden="false" customHeight="false" outlineLevel="0" collapsed="false">
      <c r="A202" s="2" t="s">
        <v>1214</v>
      </c>
      <c r="B202" s="2" t="s">
        <v>1215</v>
      </c>
      <c r="C202" s="2" t="s">
        <v>736</v>
      </c>
      <c r="D202" s="2" t="n">
        <v>1</v>
      </c>
      <c r="E202" s="2" t="n">
        <v>405</v>
      </c>
      <c r="F202" s="2" t="n">
        <v>423.9</v>
      </c>
      <c r="G202" s="2" t="n">
        <f aca="false">IF(E202="","",F202-E202)</f>
        <v>18.9</v>
      </c>
      <c r="H202" s="13" t="n">
        <f aca="false">IF(E202="","",(F202-E202)/E202)</f>
        <v>0.0466666666666666</v>
      </c>
      <c r="I202" s="2" t="n">
        <v>32.1</v>
      </c>
      <c r="J202" s="2" t="n">
        <v>44</v>
      </c>
      <c r="K202" s="2" t="n">
        <v>13.3</v>
      </c>
      <c r="L202" s="2" t="str">
        <f aca="false">IF(E202="","no published figure",IF(ABS(H202)&gt;0.25,"1 - check first",IF(ABS(H202)&gt;0.15,"2 - check","3 - close enough")))</f>
        <v>3 - close enough</v>
      </c>
      <c r="M202" s="2"/>
      <c r="N202" s="10"/>
      <c r="O202" s="10"/>
    </row>
    <row r="203" customFormat="false" ht="15" hidden="false" customHeight="false" outlineLevel="0" collapsed="false">
      <c r="A203" s="2" t="s">
        <v>1623</v>
      </c>
      <c r="B203" s="2" t="s">
        <v>1624</v>
      </c>
      <c r="C203" s="2" t="s">
        <v>663</v>
      </c>
      <c r="D203" s="2" t="n">
        <v>8</v>
      </c>
      <c r="E203" s="2" t="n">
        <v>276</v>
      </c>
      <c r="F203" s="2" t="n">
        <v>263.3</v>
      </c>
      <c r="G203" s="2" t="n">
        <f aca="false">IF(E203="","",F203-E203)</f>
        <v>-12.7</v>
      </c>
      <c r="H203" s="13" t="n">
        <f aca="false">IF(E203="","",(F203-E203)/E203)</f>
        <v>-0.0460144927536232</v>
      </c>
      <c r="I203" s="2" t="n">
        <v>7.8</v>
      </c>
      <c r="J203" s="2" t="n">
        <v>38.6</v>
      </c>
      <c r="K203" s="2" t="n">
        <v>8.6</v>
      </c>
      <c r="L203" s="2" t="str">
        <f aca="false">IF(E203="","no published figure",IF(ABS(H203)&gt;0.25,"1 - check first",IF(ABS(H203)&gt;0.15,"2 - check","3 - close enough")))</f>
        <v>3 - close enough</v>
      </c>
      <c r="M203" s="2"/>
      <c r="N203" s="10"/>
      <c r="O203" s="10"/>
    </row>
    <row r="204" customFormat="false" ht="15" hidden="false" customHeight="false" outlineLevel="0" collapsed="false">
      <c r="A204" s="2" t="s">
        <v>1046</v>
      </c>
      <c r="B204" s="2" t="s">
        <v>1047</v>
      </c>
      <c r="C204" s="2" t="s">
        <v>736</v>
      </c>
      <c r="D204" s="2" t="n">
        <v>1</v>
      </c>
      <c r="E204" s="2" t="n">
        <v>732</v>
      </c>
      <c r="F204" s="2" t="n">
        <v>698.7</v>
      </c>
      <c r="G204" s="2" t="n">
        <f aca="false">IF(E204="","",F204-E204)</f>
        <v>-33.3</v>
      </c>
      <c r="H204" s="13" t="n">
        <f aca="false">IF(E204="","",(F204-E204)/E204)</f>
        <v>-0.0454918032786885</v>
      </c>
      <c r="I204" s="2" t="n">
        <v>48.5</v>
      </c>
      <c r="J204" s="2" t="n">
        <v>78.5</v>
      </c>
      <c r="K204" s="2" t="n">
        <v>21.2</v>
      </c>
      <c r="L204" s="2" t="str">
        <f aca="false">IF(E204="","no published figure",IF(ABS(H204)&gt;0.25,"1 - check first",IF(ABS(H204)&gt;0.15,"2 - check","3 - close enough")))</f>
        <v>3 - close enough</v>
      </c>
      <c r="M204" s="2" t="s">
        <v>1050</v>
      </c>
      <c r="N204" s="10"/>
      <c r="O204" s="10"/>
    </row>
    <row r="205" customFormat="false" ht="15" hidden="false" customHeight="false" outlineLevel="0" collapsed="false">
      <c r="A205" s="2" t="s">
        <v>1170</v>
      </c>
      <c r="B205" s="2" t="s">
        <v>1171</v>
      </c>
      <c r="C205" s="2" t="s">
        <v>736</v>
      </c>
      <c r="D205" s="2" t="n">
        <v>1</v>
      </c>
      <c r="E205" s="2" t="n">
        <v>390</v>
      </c>
      <c r="F205" s="2" t="n">
        <v>372.5</v>
      </c>
      <c r="G205" s="2" t="n">
        <f aca="false">IF(E205="","",F205-E205)</f>
        <v>-17.5</v>
      </c>
      <c r="H205" s="13" t="n">
        <f aca="false">IF(E205="","",(F205-E205)/E205)</f>
        <v>-0.0448717948717949</v>
      </c>
      <c r="I205" s="2" t="n">
        <v>30.9</v>
      </c>
      <c r="J205" s="2" t="n">
        <v>34.9</v>
      </c>
      <c r="K205" s="2" t="n">
        <v>12.1</v>
      </c>
      <c r="L205" s="2" t="str">
        <f aca="false">IF(E205="","no published figure",IF(ABS(H205)&gt;0.25,"1 - check first",IF(ABS(H205)&gt;0.15,"2 - check","3 - close enough")))</f>
        <v>3 - close enough</v>
      </c>
      <c r="M205" s="2"/>
      <c r="N205" s="10"/>
      <c r="O205" s="10"/>
    </row>
    <row r="206" customFormat="false" ht="15" hidden="false" customHeight="false" outlineLevel="0" collapsed="false">
      <c r="A206" s="2" t="s">
        <v>1162</v>
      </c>
      <c r="B206" s="2" t="s">
        <v>1163</v>
      </c>
      <c r="C206" s="2" t="s">
        <v>736</v>
      </c>
      <c r="D206" s="2" t="n">
        <v>1</v>
      </c>
      <c r="E206" s="2" t="n">
        <v>395</v>
      </c>
      <c r="F206" s="2" t="n">
        <v>412.1</v>
      </c>
      <c r="G206" s="2" t="n">
        <f aca="false">IF(E206="","",F206-E206)</f>
        <v>17.1</v>
      </c>
      <c r="H206" s="13" t="n">
        <f aca="false">IF(E206="","",(F206-E206)/E206)</f>
        <v>0.0432911392405064</v>
      </c>
      <c r="I206" s="2" t="n">
        <v>33.7</v>
      </c>
      <c r="J206" s="2" t="n">
        <v>34.6</v>
      </c>
      <c r="K206" s="2" t="n">
        <v>15.4</v>
      </c>
      <c r="L206" s="2" t="str">
        <f aca="false">IF(E206="","no published figure",IF(ABS(H206)&gt;0.25,"1 - check first",IF(ABS(H206)&gt;0.15,"2 - check","3 - close enough")))</f>
        <v>3 - close enough</v>
      </c>
      <c r="M206" s="2"/>
      <c r="N206" s="10"/>
      <c r="O206" s="10"/>
    </row>
    <row r="207" customFormat="false" ht="15" hidden="false" customHeight="false" outlineLevel="0" collapsed="false">
      <c r="A207" s="2" t="s">
        <v>1158</v>
      </c>
      <c r="B207" s="2" t="s">
        <v>1159</v>
      </c>
      <c r="C207" s="2" t="s">
        <v>736</v>
      </c>
      <c r="D207" s="2" t="n">
        <v>1</v>
      </c>
      <c r="E207" s="2" t="n">
        <v>350</v>
      </c>
      <c r="F207" s="2" t="n">
        <v>365.1</v>
      </c>
      <c r="G207" s="2" t="n">
        <f aca="false">IF(E207="","",F207-E207)</f>
        <v>15.1</v>
      </c>
      <c r="H207" s="13" t="n">
        <f aca="false">IF(E207="","",(F207-E207)/E207)</f>
        <v>0.0431428571428572</v>
      </c>
      <c r="I207" s="2" t="n">
        <v>34.4</v>
      </c>
      <c r="J207" s="2" t="n">
        <v>31.6</v>
      </c>
      <c r="K207" s="2" t="n">
        <v>11.2</v>
      </c>
      <c r="L207" s="2" t="str">
        <f aca="false">IF(E207="","no published figure",IF(ABS(H207)&gt;0.25,"1 - check first",IF(ABS(H207)&gt;0.15,"2 - check","3 - close enough")))</f>
        <v>3 - close enough</v>
      </c>
      <c r="M207" s="2"/>
      <c r="N207" s="10"/>
      <c r="O207" s="10"/>
    </row>
    <row r="208" customFormat="false" ht="15" hidden="false" customHeight="false" outlineLevel="0" collapsed="false">
      <c r="A208" s="2" t="s">
        <v>891</v>
      </c>
      <c r="B208" s="2" t="s">
        <v>892</v>
      </c>
      <c r="C208" s="2" t="s">
        <v>888</v>
      </c>
      <c r="D208" s="2" t="n">
        <v>1</v>
      </c>
      <c r="E208" s="2" t="n">
        <v>415</v>
      </c>
      <c r="F208" s="2" t="n">
        <v>432.7</v>
      </c>
      <c r="G208" s="2" t="n">
        <f aca="false">IF(E208="","",F208-E208)</f>
        <v>17.7</v>
      </c>
      <c r="H208" s="13" t="n">
        <f aca="false">IF(E208="","",(F208-E208)/E208)</f>
        <v>0.0426506024096385</v>
      </c>
      <c r="I208" s="2" t="n">
        <v>31.3</v>
      </c>
      <c r="J208" s="2" t="n">
        <v>59.3</v>
      </c>
      <c r="K208" s="2" t="n">
        <v>7.8</v>
      </c>
      <c r="L208" s="2" t="str">
        <f aca="false">IF(E208="","no published figure",IF(ABS(H208)&gt;0.25,"1 - check first",IF(ABS(H208)&gt;0.15,"2 - check","3 - close enough")))</f>
        <v>3 - close enough</v>
      </c>
      <c r="M208" s="2"/>
      <c r="N208" s="10"/>
      <c r="O208" s="10"/>
    </row>
    <row r="209" customFormat="false" ht="15" hidden="false" customHeight="false" outlineLevel="0" collapsed="false">
      <c r="A209" s="2" t="s">
        <v>1614</v>
      </c>
      <c r="B209" s="2" t="s">
        <v>1615</v>
      </c>
      <c r="C209" s="2" t="s">
        <v>663</v>
      </c>
      <c r="D209" s="2" t="n">
        <v>20</v>
      </c>
      <c r="E209" s="2" t="n">
        <v>159</v>
      </c>
      <c r="F209" s="2" t="n">
        <v>152.5</v>
      </c>
      <c r="G209" s="2" t="n">
        <f aca="false">IF(E209="","",F209-E209)</f>
        <v>-6.5</v>
      </c>
      <c r="H209" s="13" t="n">
        <f aca="false">IF(E209="","",(F209-E209)/E209)</f>
        <v>-0.0408805031446541</v>
      </c>
      <c r="I209" s="2" t="n">
        <v>2.7</v>
      </c>
      <c r="J209" s="2" t="n">
        <v>16.2</v>
      </c>
      <c r="K209" s="2" t="n">
        <v>8.5</v>
      </c>
      <c r="L209" s="2" t="str">
        <f aca="false">IF(E209="","no published figure",IF(ABS(H209)&gt;0.25,"1 - check first",IF(ABS(H209)&gt;0.15,"2 - check","3 - close enough")))</f>
        <v>3 - close enough</v>
      </c>
      <c r="M209" s="2"/>
      <c r="N209" s="10"/>
      <c r="O209" s="10"/>
    </row>
    <row r="210" customFormat="false" ht="15" hidden="false" customHeight="false" outlineLevel="0" collapsed="false">
      <c r="A210" s="2" t="s">
        <v>1004</v>
      </c>
      <c r="B210" s="2" t="s">
        <v>1005</v>
      </c>
      <c r="C210" s="2" t="s">
        <v>736</v>
      </c>
      <c r="D210" s="2" t="n">
        <v>1</v>
      </c>
      <c r="E210" s="2" t="n">
        <v>410</v>
      </c>
      <c r="F210" s="2" t="n">
        <v>426.7</v>
      </c>
      <c r="G210" s="2" t="n">
        <f aca="false">IF(E210="","",F210-E210)</f>
        <v>16.7</v>
      </c>
      <c r="H210" s="13" t="n">
        <f aca="false">IF(E210="","",(F210-E210)/E210)</f>
        <v>0.0407317073170731</v>
      </c>
      <c r="I210" s="2" t="n">
        <v>44.8</v>
      </c>
      <c r="J210" s="2" t="n">
        <v>49.1</v>
      </c>
      <c r="K210" s="2" t="n">
        <v>5.7</v>
      </c>
      <c r="L210" s="2" t="str">
        <f aca="false">IF(E210="","no published figure",IF(ABS(H210)&gt;0.25,"1 - check first",IF(ABS(H210)&gt;0.15,"2 - check","3 - close enough")))</f>
        <v>3 - close enough</v>
      </c>
      <c r="M210" s="2"/>
      <c r="N210" s="10"/>
      <c r="O210" s="10"/>
    </row>
    <row r="211" customFormat="false" ht="15" hidden="false" customHeight="false" outlineLevel="0" collapsed="false">
      <c r="A211" s="2" t="s">
        <v>659</v>
      </c>
      <c r="B211" s="2" t="s">
        <v>660</v>
      </c>
      <c r="C211" s="2" t="s">
        <v>648</v>
      </c>
      <c r="D211" s="2" t="n">
        <v>1</v>
      </c>
      <c r="E211" s="2" t="n">
        <v>595</v>
      </c>
      <c r="F211" s="2" t="n">
        <v>618.6</v>
      </c>
      <c r="G211" s="2" t="n">
        <f aca="false">IF(E211="","",F211-E211)</f>
        <v>23.6</v>
      </c>
      <c r="H211" s="13" t="n">
        <f aca="false">IF(E211="","",(F211-E211)/E211)</f>
        <v>0.0396638655462185</v>
      </c>
      <c r="I211" s="2" t="n">
        <v>41</v>
      </c>
      <c r="J211" s="2" t="n">
        <v>60.5</v>
      </c>
      <c r="K211" s="2" t="n">
        <v>23.6</v>
      </c>
      <c r="L211" s="2" t="str">
        <f aca="false">IF(E211="","no published figure",IF(ABS(H211)&gt;0.25,"1 - check first",IF(ABS(H211)&gt;0.15,"2 - check","3 - close enough")))</f>
        <v>3 - close enough</v>
      </c>
      <c r="M211" s="2"/>
      <c r="N211" s="10"/>
      <c r="O211" s="10"/>
    </row>
    <row r="212" customFormat="false" ht="15" hidden="false" customHeight="false" outlineLevel="0" collapsed="false">
      <c r="A212" s="2" t="s">
        <v>1095</v>
      </c>
      <c r="B212" s="2" t="s">
        <v>1096</v>
      </c>
      <c r="C212" s="2" t="s">
        <v>736</v>
      </c>
      <c r="D212" s="2" t="n">
        <v>1</v>
      </c>
      <c r="E212" s="2" t="n">
        <v>460</v>
      </c>
      <c r="F212" s="2" t="n">
        <v>478</v>
      </c>
      <c r="G212" s="2" t="n">
        <f aca="false">IF(E212="","",F212-E212)</f>
        <v>18</v>
      </c>
      <c r="H212" s="13" t="n">
        <f aca="false">IF(E212="","",(F212-E212)/E212)</f>
        <v>0.0391304347826087</v>
      </c>
      <c r="I212" s="2" t="n">
        <v>32.4</v>
      </c>
      <c r="J212" s="2" t="n">
        <v>44.2</v>
      </c>
      <c r="K212" s="2" t="n">
        <v>19.1</v>
      </c>
      <c r="L212" s="2" t="str">
        <f aca="false">IF(E212="","no published figure",IF(ABS(H212)&gt;0.25,"1 - check first",IF(ABS(H212)&gt;0.15,"2 - check","3 - close enough")))</f>
        <v>3 - close enough</v>
      </c>
      <c r="M212" s="2"/>
      <c r="N212" s="10"/>
      <c r="O212" s="10"/>
    </row>
    <row r="213" customFormat="false" ht="15" hidden="false" customHeight="false" outlineLevel="0" collapsed="false">
      <c r="A213" s="2" t="s">
        <v>1617</v>
      </c>
      <c r="B213" s="2" t="s">
        <v>1618</v>
      </c>
      <c r="C213" s="2" t="s">
        <v>663</v>
      </c>
      <c r="D213" s="2" t="n">
        <v>12</v>
      </c>
      <c r="E213" s="2" t="n">
        <v>168</v>
      </c>
      <c r="F213" s="2" t="n">
        <v>174.4</v>
      </c>
      <c r="G213" s="2" t="n">
        <f aca="false">IF(E213="","",F213-E213)</f>
        <v>6.40000000000001</v>
      </c>
      <c r="H213" s="13" t="n">
        <f aca="false">IF(E213="","",(F213-E213)/E213)</f>
        <v>0.0380952380952381</v>
      </c>
      <c r="I213" s="2" t="n">
        <v>9.1</v>
      </c>
      <c r="J213" s="2" t="n">
        <v>23.9</v>
      </c>
      <c r="K213" s="2" t="n">
        <v>4.7</v>
      </c>
      <c r="L213" s="2" t="str">
        <f aca="false">IF(E213="","no published figure",IF(ABS(H213)&gt;0.25,"1 - check first",IF(ABS(H213)&gt;0.15,"2 - check","3 - close enough")))</f>
        <v>3 - close enough</v>
      </c>
      <c r="M213" s="2"/>
      <c r="N213" s="10"/>
      <c r="O213" s="10"/>
    </row>
    <row r="214" customFormat="false" ht="15" hidden="false" customHeight="false" outlineLevel="0" collapsed="false">
      <c r="A214" s="2" t="s">
        <v>972</v>
      </c>
      <c r="B214" s="2" t="s">
        <v>973</v>
      </c>
      <c r="C214" s="2" t="s">
        <v>736</v>
      </c>
      <c r="D214" s="2" t="n">
        <v>1</v>
      </c>
      <c r="E214" s="2" t="n">
        <v>425</v>
      </c>
      <c r="F214" s="2" t="n">
        <v>440.1</v>
      </c>
      <c r="G214" s="2" t="n">
        <f aca="false">IF(E214="","",F214-E214)</f>
        <v>15.1</v>
      </c>
      <c r="H214" s="13" t="n">
        <f aca="false">IF(E214="","",(F214-E214)/E214)</f>
        <v>0.0355294117647059</v>
      </c>
      <c r="I214" s="2" t="n">
        <v>44.5</v>
      </c>
      <c r="J214" s="2" t="n">
        <v>45.9</v>
      </c>
      <c r="K214" s="2" t="n">
        <v>8.7</v>
      </c>
      <c r="L214" s="2" t="str">
        <f aca="false">IF(E214="","no published figure",IF(ABS(H214)&gt;0.25,"1 - check first",IF(ABS(H214)&gt;0.15,"2 - check","3 - close enough")))</f>
        <v>3 - close enough</v>
      </c>
      <c r="M214" s="2"/>
      <c r="N214" s="10"/>
      <c r="O214" s="10"/>
    </row>
    <row r="215" customFormat="false" ht="15" hidden="false" customHeight="false" outlineLevel="0" collapsed="false">
      <c r="A215" s="2" t="s">
        <v>1270</v>
      </c>
      <c r="B215" s="2" t="s">
        <v>1271</v>
      </c>
      <c r="C215" s="2" t="s">
        <v>736</v>
      </c>
      <c r="D215" s="2" t="n">
        <v>1</v>
      </c>
      <c r="E215" s="2" t="n">
        <v>400</v>
      </c>
      <c r="F215" s="2" t="n">
        <v>414.2</v>
      </c>
      <c r="G215" s="2" t="n">
        <f aca="false">IF(E215="","",F215-E215)</f>
        <v>14.2</v>
      </c>
      <c r="H215" s="13" t="n">
        <f aca="false">IF(E215="","",(F215-E215)/E215)</f>
        <v>0.0355</v>
      </c>
      <c r="I215" s="2" t="n">
        <v>33.6</v>
      </c>
      <c r="J215" s="2" t="n">
        <v>43.1</v>
      </c>
      <c r="K215" s="2" t="n">
        <v>12</v>
      </c>
      <c r="L215" s="2" t="str">
        <f aca="false">IF(E215="","no published figure",IF(ABS(H215)&gt;0.25,"1 - check first",IF(ABS(H215)&gt;0.15,"2 - check","3 - close enough")))</f>
        <v>3 - close enough</v>
      </c>
      <c r="M215" s="2"/>
      <c r="N215" s="10"/>
      <c r="O215" s="10"/>
    </row>
    <row r="216" customFormat="false" ht="15" hidden="false" customHeight="false" outlineLevel="0" collapsed="false">
      <c r="A216" s="2" t="s">
        <v>976</v>
      </c>
      <c r="B216" s="2" t="s">
        <v>977</v>
      </c>
      <c r="C216" s="2" t="s">
        <v>736</v>
      </c>
      <c r="D216" s="2" t="n">
        <v>1</v>
      </c>
      <c r="E216" s="2" t="n">
        <v>395</v>
      </c>
      <c r="F216" s="2" t="n">
        <v>408.5</v>
      </c>
      <c r="G216" s="2" t="n">
        <f aca="false">IF(E216="","",F216-E216)</f>
        <v>13.5</v>
      </c>
      <c r="H216" s="13" t="n">
        <f aca="false">IF(E216="","",(F216-E216)/E216)</f>
        <v>0.0341772151898734</v>
      </c>
      <c r="I216" s="2" t="n">
        <v>42.4</v>
      </c>
      <c r="J216" s="2" t="n">
        <v>36.3</v>
      </c>
      <c r="K216" s="2" t="n">
        <v>10.4</v>
      </c>
      <c r="L216" s="2" t="str">
        <f aca="false">IF(E216="","no published figure",IF(ABS(H216)&gt;0.25,"1 - check first",IF(ABS(H216)&gt;0.15,"2 - check","3 - close enough")))</f>
        <v>3 - close enough</v>
      </c>
      <c r="M216" s="2"/>
      <c r="N216" s="10"/>
      <c r="O216" s="10"/>
    </row>
    <row r="217" customFormat="false" ht="15" hidden="false" customHeight="false" outlineLevel="0" collapsed="false">
      <c r="A217" s="2" t="s">
        <v>1637</v>
      </c>
      <c r="B217" s="2" t="s">
        <v>1638</v>
      </c>
      <c r="C217" s="2" t="s">
        <v>736</v>
      </c>
      <c r="D217" s="2" t="n">
        <v>4</v>
      </c>
      <c r="E217" s="2" t="n">
        <v>324</v>
      </c>
      <c r="F217" s="2" t="n">
        <v>313</v>
      </c>
      <c r="G217" s="2" t="n">
        <f aca="false">IF(E217="","",F217-E217)</f>
        <v>-11</v>
      </c>
      <c r="H217" s="13" t="n">
        <f aca="false">IF(E217="","",(F217-E217)/E217)</f>
        <v>-0.0339506172839506</v>
      </c>
      <c r="I217" s="2" t="n">
        <v>35</v>
      </c>
      <c r="J217" s="2" t="n">
        <v>26</v>
      </c>
      <c r="K217" s="2" t="n">
        <v>7.7</v>
      </c>
      <c r="L217" s="2" t="str">
        <f aca="false">IF(E217="","no published figure",IF(ABS(H217)&gt;0.25,"1 - check first",IF(ABS(H217)&gt;0.15,"2 - check","3 - close enough")))</f>
        <v>3 - close enough</v>
      </c>
      <c r="M217" s="2"/>
      <c r="N217" s="10"/>
      <c r="O217" s="10"/>
    </row>
    <row r="218" customFormat="false" ht="15" hidden="false" customHeight="false" outlineLevel="0" collapsed="false">
      <c r="A218" s="2" t="s">
        <v>1371</v>
      </c>
      <c r="B218" s="2" t="s">
        <v>1372</v>
      </c>
      <c r="C218" s="2" t="s">
        <v>663</v>
      </c>
      <c r="D218" s="2" t="n">
        <v>6</v>
      </c>
      <c r="E218" s="2" t="n">
        <v>360</v>
      </c>
      <c r="F218" s="2" t="n">
        <v>371.7</v>
      </c>
      <c r="G218" s="2" t="n">
        <f aca="false">IF(E218="","",F218-E218)</f>
        <v>11.7</v>
      </c>
      <c r="H218" s="13" t="n">
        <f aca="false">IF(E218="","",(F218-E218)/E218)</f>
        <v>0.0325</v>
      </c>
      <c r="I218" s="2" t="n">
        <v>23.2</v>
      </c>
      <c r="J218" s="2" t="n">
        <v>27.6</v>
      </c>
      <c r="K218" s="2" t="n">
        <v>18.7</v>
      </c>
      <c r="L218" s="2" t="str">
        <f aca="false">IF(E218="","no published figure",IF(ABS(H218)&gt;0.25,"1 - check first",IF(ABS(H218)&gt;0.15,"2 - check","3 - close enough")))</f>
        <v>3 - close enough</v>
      </c>
      <c r="M218" s="2"/>
      <c r="N218" s="10"/>
      <c r="O218" s="10"/>
    </row>
    <row r="219" customFormat="false" ht="15" hidden="false" customHeight="false" outlineLevel="0" collapsed="false">
      <c r="A219" s="2" t="s">
        <v>1526</v>
      </c>
      <c r="B219" s="2" t="s">
        <v>1527</v>
      </c>
      <c r="C219" s="2" t="s">
        <v>888</v>
      </c>
      <c r="D219" s="2" t="n">
        <v>1</v>
      </c>
      <c r="E219" s="2" t="n">
        <v>507</v>
      </c>
      <c r="F219" s="2" t="n">
        <v>523.5</v>
      </c>
      <c r="G219" s="2" t="n">
        <f aca="false">IF(E219="","",F219-E219)</f>
        <v>16.5</v>
      </c>
      <c r="H219" s="13" t="n">
        <f aca="false">IF(E219="","",(F219-E219)/E219)</f>
        <v>0.0325443786982249</v>
      </c>
      <c r="I219" s="2" t="n">
        <v>22.6</v>
      </c>
      <c r="J219" s="2" t="n">
        <v>61</v>
      </c>
      <c r="K219" s="2" t="n">
        <v>21</v>
      </c>
      <c r="L219" s="2" t="str">
        <f aca="false">IF(E219="","no published figure",IF(ABS(H219)&gt;0.25,"1 - check first",IF(ABS(H219)&gt;0.15,"2 - check","3 - close enough")))</f>
        <v>3 - close enough</v>
      </c>
      <c r="M219" s="2"/>
      <c r="N219" s="10"/>
      <c r="O219" s="10"/>
    </row>
    <row r="220" customFormat="false" ht="15" hidden="false" customHeight="false" outlineLevel="0" collapsed="false">
      <c r="A220" s="2" t="s">
        <v>792</v>
      </c>
      <c r="B220" s="2" t="s">
        <v>793</v>
      </c>
      <c r="C220" s="2" t="s">
        <v>736</v>
      </c>
      <c r="D220" s="2" t="n">
        <v>1</v>
      </c>
      <c r="E220" s="2" t="n">
        <v>696</v>
      </c>
      <c r="F220" s="2" t="n">
        <v>718.6</v>
      </c>
      <c r="G220" s="2" t="n">
        <f aca="false">IF(E220="","",F220-E220)</f>
        <v>22.6</v>
      </c>
      <c r="H220" s="13" t="n">
        <f aca="false">IF(E220="","",(F220-E220)/E220)</f>
        <v>0.0324712643678161</v>
      </c>
      <c r="I220" s="2" t="n">
        <v>51.1</v>
      </c>
      <c r="J220" s="2" t="n">
        <v>87.3</v>
      </c>
      <c r="K220" s="2" t="n">
        <v>18.3</v>
      </c>
      <c r="L220" s="2" t="str">
        <f aca="false">IF(E220="","no published figure",IF(ABS(H220)&gt;0.25,"1 - check first",IF(ABS(H220)&gt;0.15,"2 - check","3 - close enough")))</f>
        <v>3 - close enough</v>
      </c>
      <c r="M220" s="2"/>
      <c r="N220" s="10"/>
      <c r="O220" s="10"/>
    </row>
    <row r="221" customFormat="false" ht="15" hidden="false" customHeight="false" outlineLevel="0" collapsed="false">
      <c r="A221" s="2" t="s">
        <v>1498</v>
      </c>
      <c r="B221" s="2" t="s">
        <v>1499</v>
      </c>
      <c r="C221" s="2" t="s">
        <v>736</v>
      </c>
      <c r="D221" s="2" t="n">
        <v>1</v>
      </c>
      <c r="E221" s="2" t="n">
        <v>606</v>
      </c>
      <c r="F221" s="2" t="n">
        <v>586.4</v>
      </c>
      <c r="G221" s="2" t="n">
        <f aca="false">IF(E221="","",F221-E221)</f>
        <v>-19.6</v>
      </c>
      <c r="H221" s="13" t="n">
        <f aca="false">IF(E221="","",(F221-E221)/E221)</f>
        <v>-0.0323432343234324</v>
      </c>
      <c r="I221" s="2" t="n">
        <v>44.1</v>
      </c>
      <c r="J221" s="2" t="n">
        <v>55.9</v>
      </c>
      <c r="K221" s="2" t="n">
        <v>20.7</v>
      </c>
      <c r="L221" s="2" t="str">
        <f aca="false">IF(E221="","no published figure",IF(ABS(H221)&gt;0.25,"1 - check first",IF(ABS(H221)&gt;0.15,"2 - check","3 - close enough")))</f>
        <v>3 - close enough</v>
      </c>
      <c r="M221" s="2"/>
      <c r="N221" s="10"/>
      <c r="O221" s="10"/>
    </row>
    <row r="222" customFormat="false" ht="15" hidden="false" customHeight="false" outlineLevel="0" collapsed="false">
      <c r="A222" s="2" t="s">
        <v>813</v>
      </c>
      <c r="B222" s="2" t="s">
        <v>814</v>
      </c>
      <c r="C222" s="2" t="s">
        <v>736</v>
      </c>
      <c r="D222" s="2" t="n">
        <v>2</v>
      </c>
      <c r="E222" s="2" t="n">
        <v>755</v>
      </c>
      <c r="F222" s="2" t="n">
        <v>778.3</v>
      </c>
      <c r="G222" s="2" t="n">
        <f aca="false">IF(E222="","",F222-E222)</f>
        <v>23.3</v>
      </c>
      <c r="H222" s="13" t="n">
        <f aca="false">IF(E222="","",(F222-E222)/E222)</f>
        <v>0.0308609271523178</v>
      </c>
      <c r="I222" s="2" t="n">
        <v>39.3</v>
      </c>
      <c r="J222" s="2" t="n">
        <v>119.6</v>
      </c>
      <c r="K222" s="2" t="n">
        <v>15.9</v>
      </c>
      <c r="L222" s="2" t="str">
        <f aca="false">IF(E222="","no published figure",IF(ABS(H222)&gt;0.25,"1 - check first",IF(ABS(H222)&gt;0.15,"2 - check","3 - close enough")))</f>
        <v>3 - close enough</v>
      </c>
      <c r="M222" s="2"/>
      <c r="N222" s="10"/>
      <c r="O222" s="10"/>
    </row>
    <row r="223" customFormat="false" ht="15" hidden="false" customHeight="false" outlineLevel="0" collapsed="false">
      <c r="A223" s="2" t="s">
        <v>913</v>
      </c>
      <c r="B223" s="2" t="s">
        <v>914</v>
      </c>
      <c r="C223" s="2" t="s">
        <v>736</v>
      </c>
      <c r="D223" s="2" t="n">
        <v>1</v>
      </c>
      <c r="E223" s="2" t="n">
        <v>270</v>
      </c>
      <c r="F223" s="2" t="n">
        <v>261.7</v>
      </c>
      <c r="G223" s="2" t="n">
        <f aca="false">IF(E223="","",F223-E223)</f>
        <v>-8.30000000000001</v>
      </c>
      <c r="H223" s="13" t="n">
        <f aca="false">IF(E223="","",(F223-E223)/E223)</f>
        <v>-0.0307407407407408</v>
      </c>
      <c r="I223" s="2" t="n">
        <v>19.3</v>
      </c>
      <c r="J223" s="2" t="n">
        <v>21.5</v>
      </c>
      <c r="K223" s="2" t="n">
        <v>11</v>
      </c>
      <c r="L223" s="2" t="str">
        <f aca="false">IF(E223="","no published figure",IF(ABS(H223)&gt;0.25,"1 - check first",IF(ABS(H223)&gt;0.15,"2 - check","3 - close enough")))</f>
        <v>3 - close enough</v>
      </c>
      <c r="M223" s="2"/>
      <c r="N223" s="10"/>
      <c r="O223" s="10"/>
    </row>
    <row r="224" customFormat="false" ht="15" hidden="false" customHeight="false" outlineLevel="0" collapsed="false">
      <c r="A224" s="2" t="s">
        <v>1650</v>
      </c>
      <c r="B224" s="2" t="s">
        <v>1651</v>
      </c>
      <c r="C224" s="2" t="s">
        <v>736</v>
      </c>
      <c r="D224" s="2" t="n">
        <v>4</v>
      </c>
      <c r="E224" s="2" t="n">
        <v>301</v>
      </c>
      <c r="F224" s="2" t="n">
        <v>309.9</v>
      </c>
      <c r="G224" s="2" t="n">
        <f aca="false">IF(E224="","",F224-E224)</f>
        <v>8.89999999999998</v>
      </c>
      <c r="H224" s="13" t="n">
        <f aca="false">IF(E224="","",(F224-E224)/E224)</f>
        <v>0.0295681063122923</v>
      </c>
      <c r="I224" s="2" t="n">
        <v>36</v>
      </c>
      <c r="J224" s="2" t="n">
        <v>23.6</v>
      </c>
      <c r="K224" s="2" t="n">
        <v>8</v>
      </c>
      <c r="L224" s="2" t="str">
        <f aca="false">IF(E224="","no published figure",IF(ABS(H224)&gt;0.25,"1 - check first",IF(ABS(H224)&gt;0.15,"2 - check","3 - close enough")))</f>
        <v>3 - close enough</v>
      </c>
      <c r="M224" s="2"/>
      <c r="N224" s="10"/>
      <c r="O224" s="10"/>
    </row>
    <row r="225" customFormat="false" ht="15" hidden="false" customHeight="false" outlineLevel="0" collapsed="false">
      <c r="A225" s="2" t="s">
        <v>1388</v>
      </c>
      <c r="B225" s="2" t="s">
        <v>1389</v>
      </c>
      <c r="C225" s="2" t="s">
        <v>888</v>
      </c>
      <c r="D225" s="2" t="n">
        <v>1</v>
      </c>
      <c r="E225" s="2" t="n">
        <v>629</v>
      </c>
      <c r="F225" s="2" t="n">
        <v>611.2</v>
      </c>
      <c r="G225" s="2" t="n">
        <f aca="false">IF(E225="","",F225-E225)</f>
        <v>-17.8</v>
      </c>
      <c r="H225" s="13" t="n">
        <f aca="false">IF(E225="","",(F225-E225)/E225)</f>
        <v>-0.0282988871224165</v>
      </c>
      <c r="I225" s="2" t="n">
        <v>39.2</v>
      </c>
      <c r="J225" s="2" t="n">
        <v>60.4</v>
      </c>
      <c r="K225" s="2" t="n">
        <v>23.7</v>
      </c>
      <c r="L225" s="2" t="str">
        <f aca="false">IF(E225="","no published figure",IF(ABS(H225)&gt;0.25,"1 - check first",IF(ABS(H225)&gt;0.15,"2 - check","3 - close enough")))</f>
        <v>3 - close enough</v>
      </c>
      <c r="M225" s="2"/>
      <c r="N225" s="10"/>
      <c r="O225" s="10"/>
    </row>
    <row r="226" customFormat="false" ht="15" hidden="false" customHeight="false" outlineLevel="0" collapsed="false">
      <c r="A226" s="2" t="s">
        <v>1303</v>
      </c>
      <c r="B226" s="2" t="s">
        <v>1304</v>
      </c>
      <c r="C226" s="2" t="s">
        <v>736</v>
      </c>
      <c r="D226" s="2" t="n">
        <v>1</v>
      </c>
      <c r="E226" s="2" t="n">
        <v>390</v>
      </c>
      <c r="F226" s="2" t="n">
        <v>379.2</v>
      </c>
      <c r="G226" s="2" t="n">
        <f aca="false">IF(E226="","",F226-E226)</f>
        <v>-10.8</v>
      </c>
      <c r="H226" s="13" t="n">
        <f aca="false">IF(E226="","",(F226-E226)/E226)</f>
        <v>-0.0276923076923077</v>
      </c>
      <c r="I226" s="2" t="n">
        <v>32.1</v>
      </c>
      <c r="J226" s="2" t="n">
        <v>26.6</v>
      </c>
      <c r="K226" s="2" t="n">
        <v>16</v>
      </c>
      <c r="L226" s="2" t="str">
        <f aca="false">IF(E226="","no published figure",IF(ABS(H226)&gt;0.25,"1 - check first",IF(ABS(H226)&gt;0.15,"2 - check","3 - close enough")))</f>
        <v>3 - close enough</v>
      </c>
      <c r="M226" s="2"/>
      <c r="N226" s="10"/>
      <c r="O226" s="10"/>
    </row>
    <row r="227" customFormat="false" ht="15" hidden="false" customHeight="false" outlineLevel="0" collapsed="false">
      <c r="A227" s="2" t="s">
        <v>734</v>
      </c>
      <c r="B227" s="2" t="s">
        <v>735</v>
      </c>
      <c r="C227" s="2" t="s">
        <v>736</v>
      </c>
      <c r="D227" s="2" t="n">
        <v>1</v>
      </c>
      <c r="E227" s="2" t="n">
        <v>484</v>
      </c>
      <c r="F227" s="2" t="n">
        <v>471</v>
      </c>
      <c r="G227" s="2" t="n">
        <f aca="false">IF(E227="","",F227-E227)</f>
        <v>-13</v>
      </c>
      <c r="H227" s="13" t="n">
        <f aca="false">IF(E227="","",(F227-E227)/E227)</f>
        <v>-0.0268595041322314</v>
      </c>
      <c r="I227" s="2" t="n">
        <v>48.7</v>
      </c>
      <c r="J227" s="2" t="n">
        <v>27.8</v>
      </c>
      <c r="K227" s="2" t="n">
        <v>18.3</v>
      </c>
      <c r="L227" s="2" t="str">
        <f aca="false">IF(E227="","no published figure",IF(ABS(H227)&gt;0.25,"1 - check first",IF(ABS(H227)&gt;0.15,"2 - check","3 - close enough")))</f>
        <v>3 - close enough</v>
      </c>
      <c r="M227" s="2"/>
      <c r="N227" s="10"/>
      <c r="O227" s="10"/>
    </row>
    <row r="228" customFormat="false" ht="15" hidden="false" customHeight="false" outlineLevel="0" collapsed="false">
      <c r="A228" s="2" t="s">
        <v>1274</v>
      </c>
      <c r="B228" s="2" t="s">
        <v>1275</v>
      </c>
      <c r="C228" s="2" t="s">
        <v>736</v>
      </c>
      <c r="D228" s="2" t="n">
        <v>1</v>
      </c>
      <c r="E228" s="2" t="n">
        <v>155</v>
      </c>
      <c r="F228" s="2" t="n">
        <v>159.1</v>
      </c>
      <c r="G228" s="2" t="n">
        <f aca="false">IF(E228="","",F228-E228)</f>
        <v>4.09999999999999</v>
      </c>
      <c r="H228" s="13" t="n">
        <f aca="false">IF(E228="","",(F228-E228)/E228)</f>
        <v>0.0264516129032258</v>
      </c>
      <c r="I228" s="2" t="n">
        <v>14</v>
      </c>
      <c r="J228" s="2" t="n">
        <v>16.5</v>
      </c>
      <c r="K228" s="2" t="n">
        <v>4.2</v>
      </c>
      <c r="L228" s="2" t="str">
        <f aca="false">IF(E228="","no published figure",IF(ABS(H228)&gt;0.25,"1 - check first",IF(ABS(H228)&gt;0.15,"2 - check","3 - close enough")))</f>
        <v>3 - close enough</v>
      </c>
      <c r="M228" s="2"/>
      <c r="N228" s="10"/>
      <c r="O228" s="10"/>
    </row>
    <row r="229" customFormat="false" ht="15" hidden="false" customHeight="false" outlineLevel="0" collapsed="false">
      <c r="A229" s="2" t="s">
        <v>1262</v>
      </c>
      <c r="B229" s="2" t="s">
        <v>1263</v>
      </c>
      <c r="C229" s="2" t="s">
        <v>736</v>
      </c>
      <c r="D229" s="2" t="n">
        <v>1</v>
      </c>
      <c r="E229" s="2" t="n">
        <v>430</v>
      </c>
      <c r="F229" s="2" t="n">
        <v>441.3</v>
      </c>
      <c r="G229" s="2" t="n">
        <f aca="false">IF(E229="","",F229-E229)</f>
        <v>11.3</v>
      </c>
      <c r="H229" s="13" t="n">
        <f aca="false">IF(E229="","",(F229-E229)/E229)</f>
        <v>0.0262790697674419</v>
      </c>
      <c r="I229" s="2" t="n">
        <v>34.7</v>
      </c>
      <c r="J229" s="2" t="n">
        <v>56.3</v>
      </c>
      <c r="K229" s="2" t="n">
        <v>8.6</v>
      </c>
      <c r="L229" s="2" t="str">
        <f aca="false">IF(E229="","no published figure",IF(ABS(H229)&gt;0.25,"1 - check first",IF(ABS(H229)&gt;0.15,"2 - check","3 - close enough")))</f>
        <v>3 - close enough</v>
      </c>
      <c r="M229" s="2"/>
      <c r="N229" s="10"/>
      <c r="O229" s="10"/>
    </row>
    <row r="230" customFormat="false" ht="15" hidden="false" customHeight="false" outlineLevel="0" collapsed="false">
      <c r="A230" s="2" t="s">
        <v>780</v>
      </c>
      <c r="B230" s="2" t="s">
        <v>781</v>
      </c>
      <c r="C230" s="2" t="s">
        <v>736</v>
      </c>
      <c r="D230" s="2" t="n">
        <v>1</v>
      </c>
      <c r="E230" s="2" t="n">
        <v>556</v>
      </c>
      <c r="F230" s="2" t="n">
        <v>570</v>
      </c>
      <c r="G230" s="2" t="n">
        <f aca="false">IF(E230="","",F230-E230)</f>
        <v>14</v>
      </c>
      <c r="H230" s="13" t="n">
        <f aca="false">IF(E230="","",(F230-E230)/E230)</f>
        <v>0.0251798561151079</v>
      </c>
      <c r="I230" s="2" t="n">
        <v>37.8</v>
      </c>
      <c r="J230" s="2" t="n">
        <v>49.9</v>
      </c>
      <c r="K230" s="2" t="n">
        <v>24.3</v>
      </c>
      <c r="L230" s="2" t="str">
        <f aca="false">IF(E230="","no published figure",IF(ABS(H230)&gt;0.25,"1 - check first",IF(ABS(H230)&gt;0.15,"2 - check","3 - close enough")))</f>
        <v>3 - close enough</v>
      </c>
      <c r="M230" s="2"/>
      <c r="N230" s="10"/>
      <c r="O230" s="10"/>
    </row>
    <row r="231" customFormat="false" ht="15" hidden="false" customHeight="false" outlineLevel="0" collapsed="false">
      <c r="A231" s="2" t="s">
        <v>996</v>
      </c>
      <c r="B231" s="2" t="s">
        <v>997</v>
      </c>
      <c r="C231" s="2" t="s">
        <v>736</v>
      </c>
      <c r="D231" s="2" t="n">
        <v>1</v>
      </c>
      <c r="E231" s="2" t="n">
        <v>350</v>
      </c>
      <c r="F231" s="2" t="n">
        <v>341.2</v>
      </c>
      <c r="G231" s="2" t="n">
        <f aca="false">IF(E231="","",F231-E231)</f>
        <v>-8.80000000000001</v>
      </c>
      <c r="H231" s="13" t="n">
        <f aca="false">IF(E231="","",(F231-E231)/E231)</f>
        <v>-0.0251428571428572</v>
      </c>
      <c r="I231" s="2" t="n">
        <v>34.3</v>
      </c>
      <c r="J231" s="2" t="n">
        <v>36.3</v>
      </c>
      <c r="K231" s="2" t="n">
        <v>6.6</v>
      </c>
      <c r="L231" s="2" t="str">
        <f aca="false">IF(E231="","no published figure",IF(ABS(H231)&gt;0.25,"1 - check first",IF(ABS(H231)&gt;0.15,"2 - check","3 - close enough")))</f>
        <v>3 - close enough</v>
      </c>
      <c r="M231" s="2"/>
      <c r="N231" s="10"/>
      <c r="O231" s="10"/>
    </row>
    <row r="232" customFormat="false" ht="15" hidden="false" customHeight="false" outlineLevel="0" collapsed="false">
      <c r="A232" s="2" t="s">
        <v>832</v>
      </c>
      <c r="B232" s="2" t="s">
        <v>833</v>
      </c>
      <c r="C232" s="2" t="s">
        <v>736</v>
      </c>
      <c r="D232" s="2" t="n">
        <v>1</v>
      </c>
      <c r="E232" s="2" t="n">
        <v>818</v>
      </c>
      <c r="F232" s="2" t="n">
        <v>838.1</v>
      </c>
      <c r="G232" s="2" t="n">
        <f aca="false">IF(E232="","",F232-E232)</f>
        <v>20.1</v>
      </c>
      <c r="H232" s="13" t="n">
        <f aca="false">IF(E232="","",(F232-E232)/E232)</f>
        <v>0.0245721271393643</v>
      </c>
      <c r="I232" s="2" t="n">
        <v>42.8</v>
      </c>
      <c r="J232" s="2" t="n">
        <v>81.5</v>
      </c>
      <c r="K232" s="2" t="n">
        <v>37.9</v>
      </c>
      <c r="L232" s="2" t="str">
        <f aca="false">IF(E232="","no published figure",IF(ABS(H232)&gt;0.25,"1 - check first",IF(ABS(H232)&gt;0.15,"2 - check","3 - close enough")))</f>
        <v>3 - close enough</v>
      </c>
      <c r="M232" s="2"/>
      <c r="N232" s="10"/>
      <c r="O232" s="10"/>
    </row>
    <row r="233" customFormat="false" ht="15" hidden="false" customHeight="false" outlineLevel="0" collapsed="false">
      <c r="A233" s="2" t="s">
        <v>1480</v>
      </c>
      <c r="B233" s="2" t="s">
        <v>1481</v>
      </c>
      <c r="C233" s="2" t="s">
        <v>736</v>
      </c>
      <c r="D233" s="2" t="n">
        <v>1</v>
      </c>
      <c r="E233" s="2" t="n">
        <v>670</v>
      </c>
      <c r="F233" s="2" t="n">
        <v>653.6</v>
      </c>
      <c r="G233" s="2" t="n">
        <f aca="false">IF(E233="","",F233-E233)</f>
        <v>-16.4</v>
      </c>
      <c r="H233" s="13" t="n">
        <f aca="false">IF(E233="","",(F233-E233)/E233)</f>
        <v>-0.0244776119402985</v>
      </c>
      <c r="I233" s="2" t="n">
        <v>41.8</v>
      </c>
      <c r="J233" s="2" t="n">
        <v>61.5</v>
      </c>
      <c r="K233" s="2" t="n">
        <v>26.7</v>
      </c>
      <c r="L233" s="2" t="str">
        <f aca="false">IF(E233="","no published figure",IF(ABS(H233)&gt;0.25,"1 - check first",IF(ABS(H233)&gt;0.15,"2 - check","3 - close enough")))</f>
        <v>3 - close enough</v>
      </c>
      <c r="M233" s="2" t="s">
        <v>1483</v>
      </c>
      <c r="N233" s="10"/>
      <c r="O233" s="10"/>
    </row>
    <row r="234" customFormat="false" ht="15" hidden="false" customHeight="false" outlineLevel="0" collapsed="false">
      <c r="A234" s="2" t="s">
        <v>686</v>
      </c>
      <c r="B234" s="2" t="s">
        <v>687</v>
      </c>
      <c r="C234" s="2" t="s">
        <v>663</v>
      </c>
      <c r="D234" s="2" t="n">
        <v>1</v>
      </c>
      <c r="E234" s="2" t="n">
        <v>366</v>
      </c>
      <c r="F234" s="2" t="n">
        <v>374.9</v>
      </c>
      <c r="G234" s="2" t="n">
        <f aca="false">IF(E234="","",F234-E234)</f>
        <v>8.89999999999998</v>
      </c>
      <c r="H234" s="13" t="n">
        <f aca="false">IF(E234="","",(F234-E234)/E234)</f>
        <v>0.0243169398907103</v>
      </c>
      <c r="I234" s="2" t="n">
        <v>24.4</v>
      </c>
      <c r="J234" s="2" t="n">
        <v>41</v>
      </c>
      <c r="K234" s="2" t="n">
        <v>12.6</v>
      </c>
      <c r="L234" s="2" t="str">
        <f aca="false">IF(E234="","no published figure",IF(ABS(H234)&gt;0.25,"1 - check first",IF(ABS(H234)&gt;0.15,"2 - check","3 - close enough")))</f>
        <v>3 - close enough</v>
      </c>
      <c r="M234" s="2"/>
      <c r="N234" s="10"/>
      <c r="O234" s="10"/>
    </row>
    <row r="235" customFormat="false" ht="15" hidden="false" customHeight="false" outlineLevel="0" collapsed="false">
      <c r="A235" s="2" t="s">
        <v>1427</v>
      </c>
      <c r="B235" s="2" t="s">
        <v>1428</v>
      </c>
      <c r="C235" s="2" t="s">
        <v>648</v>
      </c>
      <c r="D235" s="2" t="n">
        <v>1</v>
      </c>
      <c r="E235" s="2" t="n">
        <v>291</v>
      </c>
      <c r="F235" s="2" t="n">
        <v>284</v>
      </c>
      <c r="G235" s="2" t="n">
        <f aca="false">IF(E235="","",F235-E235)</f>
        <v>-7</v>
      </c>
      <c r="H235" s="13" t="n">
        <f aca="false">IF(E235="","",(F235-E235)/E235)</f>
        <v>-0.0240549828178694</v>
      </c>
      <c r="I235" s="2" t="n">
        <v>38.4</v>
      </c>
      <c r="J235" s="2" t="n">
        <v>9</v>
      </c>
      <c r="K235" s="2" t="n">
        <v>10.5</v>
      </c>
      <c r="L235" s="2" t="str">
        <f aca="false">IF(E235="","no published figure",IF(ABS(H235)&gt;0.25,"1 - check first",IF(ABS(H235)&gt;0.15,"2 - check","3 - close enough")))</f>
        <v>3 - close enough</v>
      </c>
      <c r="M235" s="2"/>
      <c r="N235" s="10"/>
      <c r="O235" s="10"/>
    </row>
    <row r="236" customFormat="false" ht="15" hidden="false" customHeight="false" outlineLevel="0" collapsed="false">
      <c r="A236" s="2" t="s">
        <v>1147</v>
      </c>
      <c r="B236" s="2" t="s">
        <v>1148</v>
      </c>
      <c r="C236" s="2" t="s">
        <v>736</v>
      </c>
      <c r="D236" s="2" t="n">
        <v>1</v>
      </c>
      <c r="E236" s="2" t="n">
        <v>395</v>
      </c>
      <c r="F236" s="2" t="n">
        <v>404.4</v>
      </c>
      <c r="G236" s="2" t="n">
        <f aca="false">IF(E236="","",F236-E236)</f>
        <v>9.39999999999998</v>
      </c>
      <c r="H236" s="13" t="n">
        <f aca="false">IF(E236="","",(F236-E236)/E236)</f>
        <v>0.0237974683544303</v>
      </c>
      <c r="I236" s="2" t="n">
        <v>32.8</v>
      </c>
      <c r="J236" s="2" t="n">
        <v>37</v>
      </c>
      <c r="K236" s="2" t="n">
        <v>13.9</v>
      </c>
      <c r="L236" s="2" t="str">
        <f aca="false">IF(E236="","no published figure",IF(ABS(H236)&gt;0.25,"1 - check first",IF(ABS(H236)&gt;0.15,"2 - check","3 - close enough")))</f>
        <v>3 - close enough</v>
      </c>
      <c r="M236" s="2"/>
      <c r="N236" s="10"/>
      <c r="O236" s="10"/>
    </row>
    <row r="237" customFormat="false" ht="15" hidden="false" customHeight="false" outlineLevel="0" collapsed="false">
      <c r="A237" s="2" t="s">
        <v>804</v>
      </c>
      <c r="B237" s="2" t="s">
        <v>805</v>
      </c>
      <c r="C237" s="2" t="s">
        <v>736</v>
      </c>
      <c r="D237" s="2" t="n">
        <v>2</v>
      </c>
      <c r="E237" s="2" t="n">
        <v>520</v>
      </c>
      <c r="F237" s="2" t="n">
        <v>507.8</v>
      </c>
      <c r="G237" s="2" t="n">
        <f aca="false">IF(E237="","",F237-E237)</f>
        <v>-12.2</v>
      </c>
      <c r="H237" s="13" t="n">
        <f aca="false">IF(E237="","",(F237-E237)/E237)</f>
        <v>-0.0234615384615384</v>
      </c>
      <c r="I237" s="2" t="n">
        <v>39</v>
      </c>
      <c r="J237" s="2" t="n">
        <v>71.6</v>
      </c>
      <c r="K237" s="2" t="n">
        <v>7.3</v>
      </c>
      <c r="L237" s="2" t="str">
        <f aca="false">IF(E237="","no published figure",IF(ABS(H237)&gt;0.25,"1 - check first",IF(ABS(H237)&gt;0.15,"2 - check","3 - close enough")))</f>
        <v>3 - close enough</v>
      </c>
      <c r="M237" s="2"/>
      <c r="N237" s="10"/>
      <c r="O237" s="10"/>
    </row>
    <row r="238" customFormat="false" ht="15" hidden="false" customHeight="false" outlineLevel="0" collapsed="false">
      <c r="A238" s="2" t="s">
        <v>1626</v>
      </c>
      <c r="B238" s="2" t="s">
        <v>1627</v>
      </c>
      <c r="C238" s="2" t="s">
        <v>663</v>
      </c>
      <c r="D238" s="2" t="n">
        <v>4</v>
      </c>
      <c r="E238" s="2" t="n">
        <v>200</v>
      </c>
      <c r="F238" s="2" t="n">
        <v>195.3</v>
      </c>
      <c r="G238" s="2" t="n">
        <f aca="false">IF(E238="","",F238-E238)</f>
        <v>-4.69999999999999</v>
      </c>
      <c r="H238" s="13" t="n">
        <f aca="false">IF(E238="","",(F238-E238)/E238)</f>
        <v>-0.0234999999999999</v>
      </c>
      <c r="I238" s="2" t="n">
        <v>2.2</v>
      </c>
      <c r="J238" s="2" t="n">
        <v>28.7</v>
      </c>
      <c r="K238" s="2" t="n">
        <v>8</v>
      </c>
      <c r="L238" s="2" t="str">
        <f aca="false">IF(E238="","no published figure",IF(ABS(H238)&gt;0.25,"1 - check first",IF(ABS(H238)&gt;0.15,"2 - check","3 - close enough")))</f>
        <v>3 - close enough</v>
      </c>
      <c r="M238" s="2"/>
      <c r="N238" s="10"/>
      <c r="O238" s="10"/>
    </row>
    <row r="239" customFormat="false" ht="15" hidden="false" customHeight="false" outlineLevel="0" collapsed="false">
      <c r="A239" s="2" t="s">
        <v>1647</v>
      </c>
      <c r="B239" s="2" t="s">
        <v>1648</v>
      </c>
      <c r="C239" s="2" t="s">
        <v>888</v>
      </c>
      <c r="D239" s="2" t="n">
        <v>1</v>
      </c>
      <c r="E239" s="2" t="n">
        <v>618</v>
      </c>
      <c r="F239" s="2" t="n">
        <v>604</v>
      </c>
      <c r="G239" s="2" t="n">
        <f aca="false">IF(E239="","",F239-E239)</f>
        <v>-14</v>
      </c>
      <c r="H239" s="13" t="n">
        <f aca="false">IF(E239="","",(F239-E239)/E239)</f>
        <v>-0.0226537216828479</v>
      </c>
      <c r="I239" s="2" t="n">
        <v>44.9</v>
      </c>
      <c r="J239" s="2" t="n">
        <v>32.1</v>
      </c>
      <c r="K239" s="2" t="n">
        <v>32.9</v>
      </c>
      <c r="L239" s="2" t="str">
        <f aca="false">IF(E239="","no published figure",IF(ABS(H239)&gt;0.25,"1 - check first",IF(ABS(H239)&gt;0.15,"2 - check","3 - close enough")))</f>
        <v>3 - close enough</v>
      </c>
      <c r="M239" s="2"/>
      <c r="N239" s="10"/>
      <c r="O239" s="10"/>
    </row>
    <row r="240" customFormat="false" ht="15" hidden="false" customHeight="false" outlineLevel="0" collapsed="false">
      <c r="A240" s="2" t="s">
        <v>1484</v>
      </c>
      <c r="B240" s="2" t="s">
        <v>1485</v>
      </c>
      <c r="C240" s="2" t="s">
        <v>736</v>
      </c>
      <c r="D240" s="2" t="n">
        <v>1</v>
      </c>
      <c r="E240" s="2" t="n">
        <v>403</v>
      </c>
      <c r="F240" s="2" t="n">
        <v>411.3</v>
      </c>
      <c r="G240" s="2" t="n">
        <f aca="false">IF(E240="","",F240-E240)</f>
        <v>8.30000000000001</v>
      </c>
      <c r="H240" s="13" t="n">
        <f aca="false">IF(E240="","",(F240-E240)/E240)</f>
        <v>0.0205955334987593</v>
      </c>
      <c r="I240" s="2" t="n">
        <v>44.1</v>
      </c>
      <c r="J240" s="2" t="n">
        <v>36.8</v>
      </c>
      <c r="K240" s="2" t="n">
        <v>9.7</v>
      </c>
      <c r="L240" s="2" t="str">
        <f aca="false">IF(E240="","no published figure",IF(ABS(H240)&gt;0.25,"1 - check first",IF(ABS(H240)&gt;0.15,"2 - check","3 - close enough")))</f>
        <v>3 - close enough</v>
      </c>
      <c r="M240" s="2"/>
      <c r="N240" s="10"/>
      <c r="O240" s="10"/>
    </row>
    <row r="241" customFormat="false" ht="15" hidden="false" customHeight="false" outlineLevel="0" collapsed="false">
      <c r="A241" s="2" t="s">
        <v>1424</v>
      </c>
      <c r="B241" s="2" t="s">
        <v>1425</v>
      </c>
      <c r="C241" s="2" t="s">
        <v>648</v>
      </c>
      <c r="D241" s="2" t="n">
        <v>1</v>
      </c>
      <c r="E241" s="2" t="n">
        <v>282</v>
      </c>
      <c r="F241" s="2" t="n">
        <v>276.3</v>
      </c>
      <c r="G241" s="2" t="n">
        <f aca="false">IF(E241="","",F241-E241)</f>
        <v>-5.69999999999999</v>
      </c>
      <c r="H241" s="13" t="n">
        <f aca="false">IF(E241="","",(F241-E241)/E241)</f>
        <v>-0.0202127659574468</v>
      </c>
      <c r="I241" s="2" t="n">
        <v>35.5</v>
      </c>
      <c r="J241" s="2" t="n">
        <v>10.5</v>
      </c>
      <c r="K241" s="2" t="n">
        <v>10.3</v>
      </c>
      <c r="L241" s="2" t="str">
        <f aca="false">IF(E241="","no published figure",IF(ABS(H241)&gt;0.25,"1 - check first",IF(ABS(H241)&gt;0.15,"2 - check","3 - close enough")))</f>
        <v>3 - close enough</v>
      </c>
      <c r="M241" s="2"/>
      <c r="N241" s="10"/>
      <c r="O241" s="10"/>
    </row>
    <row r="242" customFormat="false" ht="15" hidden="false" customHeight="false" outlineLevel="0" collapsed="false">
      <c r="A242" s="2" t="s">
        <v>1658</v>
      </c>
      <c r="B242" s="2" t="s">
        <v>1659</v>
      </c>
      <c r="C242" s="2" t="s">
        <v>888</v>
      </c>
      <c r="D242" s="2" t="n">
        <v>4</v>
      </c>
      <c r="E242" s="2" t="n">
        <v>60</v>
      </c>
      <c r="F242" s="2" t="n">
        <v>61.2</v>
      </c>
      <c r="G242" s="2" t="n">
        <f aca="false">IF(E242="","",F242-E242)</f>
        <v>1.2</v>
      </c>
      <c r="H242" s="13" t="n">
        <f aca="false">IF(E242="","",(F242-E242)/E242)</f>
        <v>0.0200000000000001</v>
      </c>
      <c r="I242" s="2" t="n">
        <v>7.5</v>
      </c>
      <c r="J242" s="2" t="n">
        <v>0.8</v>
      </c>
      <c r="K242" s="2" t="n">
        <v>3.1</v>
      </c>
      <c r="L242" s="2" t="str">
        <f aca="false">IF(E242="","no published figure",IF(ABS(H242)&gt;0.25,"1 - check first",IF(ABS(H242)&gt;0.15,"2 - check","3 - close enough")))</f>
        <v>3 - close enough</v>
      </c>
      <c r="M242" s="2" t="s">
        <v>1661</v>
      </c>
      <c r="N242" s="10"/>
      <c r="O242" s="10"/>
    </row>
    <row r="243" customFormat="false" ht="15" hidden="false" customHeight="false" outlineLevel="0" collapsed="false">
      <c r="A243" s="2" t="s">
        <v>1351</v>
      </c>
      <c r="B243" s="2" t="s">
        <v>1352</v>
      </c>
      <c r="C243" s="2" t="s">
        <v>736</v>
      </c>
      <c r="D243" s="2" t="n">
        <v>1</v>
      </c>
      <c r="E243" s="2" t="n">
        <v>140</v>
      </c>
      <c r="F243" s="2" t="n">
        <v>137.2</v>
      </c>
      <c r="G243" s="2" t="n">
        <f aca="false">IF(E243="","",F243-E243)</f>
        <v>-2.80000000000001</v>
      </c>
      <c r="H243" s="13" t="n">
        <f aca="false">IF(E243="","",(F243-E243)/E243)</f>
        <v>-0.0200000000000001</v>
      </c>
      <c r="I243" s="2" t="n">
        <v>5.8</v>
      </c>
      <c r="J243" s="2" t="n">
        <v>13.2</v>
      </c>
      <c r="K243" s="2" t="n">
        <v>6.8</v>
      </c>
      <c r="L243" s="2" t="str">
        <f aca="false">IF(E243="","no published figure",IF(ABS(H243)&gt;0.25,"1 - check first",IF(ABS(H243)&gt;0.15,"2 - check","3 - close enough")))</f>
        <v>3 - close enough</v>
      </c>
      <c r="M243" s="2"/>
      <c r="N243" s="10"/>
      <c r="O243" s="10"/>
    </row>
    <row r="244" customFormat="false" ht="15" hidden="false" customHeight="false" outlineLevel="0" collapsed="false">
      <c r="A244" s="2" t="s">
        <v>1319</v>
      </c>
      <c r="B244" s="2" t="s">
        <v>1320</v>
      </c>
      <c r="C244" s="2" t="s">
        <v>736</v>
      </c>
      <c r="D244" s="2" t="n">
        <v>1</v>
      </c>
      <c r="E244" s="2" t="n">
        <v>70</v>
      </c>
      <c r="F244" s="2" t="n">
        <v>68.6</v>
      </c>
      <c r="G244" s="2" t="n">
        <f aca="false">IF(E244="","",F244-E244)</f>
        <v>-1.40000000000001</v>
      </c>
      <c r="H244" s="13" t="n">
        <f aca="false">IF(E244="","",(F244-E244)/E244)</f>
        <v>-0.0200000000000001</v>
      </c>
      <c r="I244" s="2" t="n">
        <v>5.4</v>
      </c>
      <c r="J244" s="2" t="n">
        <v>6</v>
      </c>
      <c r="K244" s="2" t="n">
        <v>2.6</v>
      </c>
      <c r="L244" s="2" t="str">
        <f aca="false">IF(E244="","no published figure",IF(ABS(H244)&gt;0.25,"1 - check first",IF(ABS(H244)&gt;0.15,"2 - check","3 - close enough")))</f>
        <v>3 - close enough</v>
      </c>
      <c r="M244" s="2"/>
      <c r="N244" s="10"/>
      <c r="O244" s="10"/>
    </row>
    <row r="245" customFormat="false" ht="15" hidden="false" customHeight="false" outlineLevel="0" collapsed="false">
      <c r="A245" s="2" t="s">
        <v>1222</v>
      </c>
      <c r="B245" s="2" t="s">
        <v>1223</v>
      </c>
      <c r="C245" s="2" t="s">
        <v>736</v>
      </c>
      <c r="D245" s="2" t="n">
        <v>1</v>
      </c>
      <c r="E245" s="2" t="n">
        <v>390</v>
      </c>
      <c r="F245" s="2" t="n">
        <v>397.7</v>
      </c>
      <c r="G245" s="2" t="n">
        <f aca="false">IF(E245="","",F245-E245)</f>
        <v>7.69999999999999</v>
      </c>
      <c r="H245" s="13" t="n">
        <f aca="false">IF(E245="","",(F245-E245)/E245)</f>
        <v>0.0197435897435897</v>
      </c>
      <c r="I245" s="2" t="n">
        <v>32.9</v>
      </c>
      <c r="J245" s="2" t="n">
        <v>47.3</v>
      </c>
      <c r="K245" s="2" t="n">
        <v>8.5</v>
      </c>
      <c r="L245" s="2" t="str">
        <f aca="false">IF(E245="","no published figure",IF(ABS(H245)&gt;0.25,"1 - check first",IF(ABS(H245)&gt;0.15,"2 - check","3 - close enough")))</f>
        <v>3 - close enough</v>
      </c>
      <c r="M245" s="2"/>
      <c r="N245" s="10"/>
      <c r="O245" s="10"/>
    </row>
    <row r="246" customFormat="false" ht="15" hidden="false" customHeight="false" outlineLevel="0" collapsed="false">
      <c r="A246" s="2" t="s">
        <v>727</v>
      </c>
      <c r="B246" s="2" t="s">
        <v>728</v>
      </c>
      <c r="C246" s="2" t="s">
        <v>663</v>
      </c>
      <c r="D246" s="2" t="n">
        <v>1</v>
      </c>
      <c r="E246" s="2" t="n">
        <v>802</v>
      </c>
      <c r="F246" s="2" t="n">
        <v>817</v>
      </c>
      <c r="G246" s="2" t="n">
        <f aca="false">IF(E246="","",F246-E246)</f>
        <v>15</v>
      </c>
      <c r="H246" s="13" t="n">
        <f aca="false">IF(E246="","",(F246-E246)/E246)</f>
        <v>0.0187032418952618</v>
      </c>
      <c r="I246" s="2" t="n">
        <v>57.9</v>
      </c>
      <c r="J246" s="2" t="n">
        <v>84.7</v>
      </c>
      <c r="K246" s="2" t="n">
        <v>27.4</v>
      </c>
      <c r="L246" s="2" t="str">
        <f aca="false">IF(E246="","no published figure",IF(ABS(H246)&gt;0.25,"1 - check first",IF(ABS(H246)&gt;0.15,"2 - check","3 - close enough")))</f>
        <v>3 - close enough</v>
      </c>
      <c r="M246" s="2" t="s">
        <v>730</v>
      </c>
      <c r="N246" s="10"/>
      <c r="O246" s="10"/>
    </row>
    <row r="247" customFormat="false" ht="15" hidden="false" customHeight="false" outlineLevel="0" collapsed="false">
      <c r="A247" s="2" t="s">
        <v>1439</v>
      </c>
      <c r="B247" s="2" t="s">
        <v>1440</v>
      </c>
      <c r="C247" s="2" t="s">
        <v>888</v>
      </c>
      <c r="D247" s="2" t="n">
        <v>1</v>
      </c>
      <c r="E247" s="2" t="n">
        <v>343.6</v>
      </c>
      <c r="F247" s="2" t="n">
        <v>337.2</v>
      </c>
      <c r="G247" s="2" t="n">
        <f aca="false">IF(E247="","",F247-E247)</f>
        <v>-6.40000000000003</v>
      </c>
      <c r="H247" s="13" t="n">
        <f aca="false">IF(E247="","",(F247-E247)/E247)</f>
        <v>-0.0186263096623982</v>
      </c>
      <c r="I247" s="2" t="n">
        <v>21.9</v>
      </c>
      <c r="J247" s="2" t="n">
        <v>35.5</v>
      </c>
      <c r="K247" s="2" t="n">
        <v>12</v>
      </c>
      <c r="L247" s="2" t="str">
        <f aca="false">IF(E247="","no published figure",IF(ABS(H247)&gt;0.25,"1 - check first",IF(ABS(H247)&gt;0.15,"2 - check","3 - close enough")))</f>
        <v>3 - close enough</v>
      </c>
      <c r="M247" s="2"/>
      <c r="N247" s="10"/>
      <c r="O247" s="10"/>
    </row>
    <row r="248" customFormat="false" ht="15" hidden="false" customHeight="false" outlineLevel="0" collapsed="false">
      <c r="A248" s="2" t="s">
        <v>675</v>
      </c>
      <c r="B248" s="2" t="s">
        <v>676</v>
      </c>
      <c r="C248" s="2" t="s">
        <v>663</v>
      </c>
      <c r="D248" s="2" t="n">
        <v>10</v>
      </c>
      <c r="E248" s="2" t="n">
        <v>165</v>
      </c>
      <c r="F248" s="2" t="n">
        <v>162.1</v>
      </c>
      <c r="G248" s="2" t="n">
        <f aca="false">IF(E248="","",F248-E248)</f>
        <v>-2.90000000000001</v>
      </c>
      <c r="H248" s="13" t="n">
        <f aca="false">IF(E248="","",(F248-E248)/E248)</f>
        <v>-0.0175757575757576</v>
      </c>
      <c r="I248" s="2" t="n">
        <v>7.7</v>
      </c>
      <c r="J248" s="2" t="n">
        <v>13.5</v>
      </c>
      <c r="K248" s="2" t="n">
        <v>8.6</v>
      </c>
      <c r="L248" s="2" t="str">
        <f aca="false">IF(E248="","no published figure",IF(ABS(H248)&gt;0.25,"1 - check first",IF(ABS(H248)&gt;0.15,"2 - check","3 - close enough")))</f>
        <v>3 - close enough</v>
      </c>
      <c r="M248" s="2"/>
      <c r="N248" s="10"/>
      <c r="O248" s="10"/>
    </row>
    <row r="249" customFormat="false" ht="15" hidden="false" customHeight="false" outlineLevel="0" collapsed="false">
      <c r="A249" s="2" t="s">
        <v>904</v>
      </c>
      <c r="B249" s="2" t="s">
        <v>905</v>
      </c>
      <c r="C249" s="2" t="s">
        <v>736</v>
      </c>
      <c r="D249" s="2" t="n">
        <v>1</v>
      </c>
      <c r="E249" s="2" t="n">
        <v>515</v>
      </c>
      <c r="F249" s="2" t="n">
        <v>524.1</v>
      </c>
      <c r="G249" s="2" t="n">
        <f aca="false">IF(E249="","",F249-E249)</f>
        <v>9.10000000000002</v>
      </c>
      <c r="H249" s="13" t="n">
        <f aca="false">IF(E249="","",(F249-E249)/E249)</f>
        <v>0.0176699029126214</v>
      </c>
      <c r="I249" s="2" t="n">
        <v>50</v>
      </c>
      <c r="J249" s="2" t="n">
        <v>57.7</v>
      </c>
      <c r="K249" s="2" t="n">
        <v>10.4</v>
      </c>
      <c r="L249" s="2" t="str">
        <f aca="false">IF(E249="","no published figure",IF(ABS(H249)&gt;0.25,"1 - check first",IF(ABS(H249)&gt;0.15,"2 - check","3 - close enough")))</f>
        <v>3 - close enough</v>
      </c>
      <c r="M249" s="2" t="s">
        <v>908</v>
      </c>
      <c r="N249" s="10"/>
      <c r="O249" s="10"/>
    </row>
    <row r="250" customFormat="false" ht="15" hidden="false" customHeight="false" outlineLevel="0" collapsed="false">
      <c r="A250" s="2" t="s">
        <v>899</v>
      </c>
      <c r="B250" s="2" t="s">
        <v>900</v>
      </c>
      <c r="C250" s="2" t="s">
        <v>736</v>
      </c>
      <c r="D250" s="2" t="n">
        <v>1</v>
      </c>
      <c r="E250" s="2" t="n">
        <v>675</v>
      </c>
      <c r="F250" s="2" t="n">
        <v>686.8</v>
      </c>
      <c r="G250" s="2" t="n">
        <f aca="false">IF(E250="","",F250-E250)</f>
        <v>11.8</v>
      </c>
      <c r="H250" s="13" t="n">
        <f aca="false">IF(E250="","",(F250-E250)/E250)</f>
        <v>0.0174814814814814</v>
      </c>
      <c r="I250" s="2" t="n">
        <v>41.5</v>
      </c>
      <c r="J250" s="2" t="n">
        <v>94.4</v>
      </c>
      <c r="K250" s="2" t="n">
        <v>15.9</v>
      </c>
      <c r="L250" s="2" t="str">
        <f aca="false">IF(E250="","no published figure",IF(ABS(H250)&gt;0.25,"1 - check first",IF(ABS(H250)&gt;0.15,"2 - check","3 - close enough")))</f>
        <v>3 - close enough</v>
      </c>
      <c r="M250" s="2" t="s">
        <v>903</v>
      </c>
      <c r="N250" s="10"/>
      <c r="O250" s="10"/>
    </row>
    <row r="251" customFormat="false" ht="15" hidden="false" customHeight="false" outlineLevel="0" collapsed="false">
      <c r="A251" s="2" t="s">
        <v>1331</v>
      </c>
      <c r="B251" s="2" t="s">
        <v>1332</v>
      </c>
      <c r="C251" s="2" t="s">
        <v>736</v>
      </c>
      <c r="D251" s="2" t="n">
        <v>1</v>
      </c>
      <c r="E251" s="2" t="n">
        <v>155</v>
      </c>
      <c r="F251" s="2" t="n">
        <v>157.6</v>
      </c>
      <c r="G251" s="2" t="n">
        <f aca="false">IF(E251="","",F251-E251)</f>
        <v>2.59999999999999</v>
      </c>
      <c r="H251" s="13" t="n">
        <f aca="false">IF(E251="","",(F251-E251)/E251)</f>
        <v>0.0167741935483871</v>
      </c>
      <c r="I251" s="2" t="n">
        <v>3.4</v>
      </c>
      <c r="J251" s="2" t="n">
        <v>24.9</v>
      </c>
      <c r="K251" s="2" t="n">
        <v>4.9</v>
      </c>
      <c r="L251" s="2" t="str">
        <f aca="false">IF(E251="","no published figure",IF(ABS(H251)&gt;0.25,"1 - check first",IF(ABS(H251)&gt;0.15,"2 - check","3 - close enough")))</f>
        <v>3 - close enough</v>
      </c>
      <c r="M251" s="2"/>
      <c r="N251" s="10"/>
      <c r="O251" s="10"/>
    </row>
    <row r="252" customFormat="false" ht="15" hidden="false" customHeight="false" outlineLevel="0" collapsed="false">
      <c r="A252" s="2" t="s">
        <v>1421</v>
      </c>
      <c r="B252" s="2" t="s">
        <v>1422</v>
      </c>
      <c r="C252" s="2" t="s">
        <v>736</v>
      </c>
      <c r="D252" s="2" t="n">
        <v>4</v>
      </c>
      <c r="E252" s="2" t="n">
        <v>507</v>
      </c>
      <c r="F252" s="2" t="n">
        <v>515.4</v>
      </c>
      <c r="G252" s="2" t="n">
        <f aca="false">IF(E252="","",F252-E252)</f>
        <v>8.39999999999998</v>
      </c>
      <c r="H252" s="13" t="n">
        <f aca="false">IF(E252="","",(F252-E252)/E252)</f>
        <v>0.0165680473372781</v>
      </c>
      <c r="I252" s="2" t="n">
        <v>32.3</v>
      </c>
      <c r="J252" s="2" t="n">
        <v>57.7</v>
      </c>
      <c r="K252" s="2" t="n">
        <v>17.3</v>
      </c>
      <c r="L252" s="2" t="str">
        <f aca="false">IF(E252="","no published figure",IF(ABS(H252)&gt;0.25,"1 - check first",IF(ABS(H252)&gt;0.15,"2 - check","3 - close enough")))</f>
        <v>3 - close enough</v>
      </c>
      <c r="M252" s="2"/>
      <c r="N252" s="10"/>
      <c r="O252" s="10"/>
    </row>
    <row r="253" customFormat="false" ht="15" hidden="false" customHeight="false" outlineLevel="0" collapsed="false">
      <c r="A253" s="2" t="s">
        <v>807</v>
      </c>
      <c r="B253" s="2" t="s">
        <v>808</v>
      </c>
      <c r="C253" s="2" t="s">
        <v>736</v>
      </c>
      <c r="D253" s="2" t="n">
        <v>4</v>
      </c>
      <c r="E253" s="2" t="n">
        <v>709</v>
      </c>
      <c r="F253" s="2" t="n">
        <v>697.3</v>
      </c>
      <c r="G253" s="2" t="n">
        <f aca="false">IF(E253="","",F253-E253)</f>
        <v>-11.7</v>
      </c>
      <c r="H253" s="13" t="n">
        <f aca="false">IF(E253="","",(F253-E253)/E253)</f>
        <v>-0.0165021156558534</v>
      </c>
      <c r="I253" s="2" t="n">
        <v>43.7</v>
      </c>
      <c r="J253" s="2" t="n">
        <v>102.4</v>
      </c>
      <c r="K253" s="2" t="n">
        <v>12.5</v>
      </c>
      <c r="L253" s="2" t="str">
        <f aca="false">IF(E253="","no published figure",IF(ABS(H253)&gt;0.25,"1 - check first",IF(ABS(H253)&gt;0.15,"2 - check","3 - close enough")))</f>
        <v>3 - close enough</v>
      </c>
      <c r="M253" s="2"/>
      <c r="N253" s="10"/>
      <c r="O253" s="10"/>
    </row>
    <row r="254" customFormat="false" ht="15" hidden="false" customHeight="false" outlineLevel="0" collapsed="false">
      <c r="A254" s="2" t="s">
        <v>850</v>
      </c>
      <c r="B254" s="2" t="s">
        <v>851</v>
      </c>
      <c r="C254" s="2" t="s">
        <v>736</v>
      </c>
      <c r="D254" s="2" t="n">
        <v>1</v>
      </c>
      <c r="E254" s="2" t="n">
        <v>796</v>
      </c>
      <c r="F254" s="2" t="n">
        <v>808.4</v>
      </c>
      <c r="G254" s="2" t="n">
        <f aca="false">IF(E254="","",F254-E254)</f>
        <v>12.4</v>
      </c>
      <c r="H254" s="13" t="n">
        <f aca="false">IF(E254="","",(F254-E254)/E254)</f>
        <v>0.0155778894472362</v>
      </c>
      <c r="I254" s="2" t="n">
        <v>45.1</v>
      </c>
      <c r="J254" s="2" t="n">
        <v>86.5</v>
      </c>
      <c r="K254" s="2" t="n">
        <v>31.3</v>
      </c>
      <c r="L254" s="2" t="str">
        <f aca="false">IF(E254="","no published figure",IF(ABS(H254)&gt;0.25,"1 - check first",IF(ABS(H254)&gt;0.15,"2 - check","3 - close enough")))</f>
        <v>3 - close enough</v>
      </c>
      <c r="M254" s="2"/>
      <c r="N254" s="10"/>
      <c r="O254" s="10"/>
    </row>
    <row r="255" customFormat="false" ht="15" hidden="false" customHeight="false" outlineLevel="0" collapsed="false">
      <c r="A255" s="2" t="s">
        <v>877</v>
      </c>
      <c r="B255" s="2" t="s">
        <v>878</v>
      </c>
      <c r="C255" s="2" t="s">
        <v>736</v>
      </c>
      <c r="D255" s="2" t="n">
        <v>1</v>
      </c>
      <c r="E255" s="2" t="n">
        <v>692</v>
      </c>
      <c r="F255" s="2" t="n">
        <v>681.3</v>
      </c>
      <c r="G255" s="2" t="n">
        <f aca="false">IF(E255="","",F255-E255)</f>
        <v>-10.7</v>
      </c>
      <c r="H255" s="13" t="n">
        <f aca="false">IF(E255="","",(F255-E255)/E255)</f>
        <v>-0.0154624277456648</v>
      </c>
      <c r="I255" s="2" t="n">
        <v>47.3</v>
      </c>
      <c r="J255" s="2" t="n">
        <v>90.8</v>
      </c>
      <c r="K255" s="2" t="n">
        <v>14.3</v>
      </c>
      <c r="L255" s="2" t="str">
        <f aca="false">IF(E255="","no published figure",IF(ABS(H255)&gt;0.25,"1 - check first",IF(ABS(H255)&gt;0.15,"2 - check","3 - close enough")))</f>
        <v>3 - close enough</v>
      </c>
      <c r="M255" s="2"/>
      <c r="N255" s="10"/>
      <c r="O255" s="10"/>
    </row>
    <row r="256" customFormat="false" ht="15" hidden="false" customHeight="false" outlineLevel="0" collapsed="false">
      <c r="A256" s="2" t="s">
        <v>1633</v>
      </c>
      <c r="B256" s="2" t="s">
        <v>1634</v>
      </c>
      <c r="C256" s="2" t="s">
        <v>736</v>
      </c>
      <c r="D256" s="2" t="n">
        <v>4</v>
      </c>
      <c r="E256" s="2" t="n">
        <v>429</v>
      </c>
      <c r="F256" s="2" t="n">
        <v>422.4</v>
      </c>
      <c r="G256" s="2" t="n">
        <f aca="false">IF(E256="","",F256-E256)</f>
        <v>-6.60000000000002</v>
      </c>
      <c r="H256" s="13" t="n">
        <f aca="false">IF(E256="","",(F256-E256)/E256)</f>
        <v>-0.0153846153846154</v>
      </c>
      <c r="I256" s="2" t="n">
        <v>34.7</v>
      </c>
      <c r="J256" s="2" t="n">
        <v>39.2</v>
      </c>
      <c r="K256" s="2" t="n">
        <v>14.1</v>
      </c>
      <c r="L256" s="2" t="str">
        <f aca="false">IF(E256="","no published figure",IF(ABS(H256)&gt;0.25,"1 - check first",IF(ABS(H256)&gt;0.15,"2 - check","3 - close enough")))</f>
        <v>3 - close enough</v>
      </c>
      <c r="M256" s="2"/>
      <c r="N256" s="10"/>
      <c r="O256" s="10"/>
    </row>
    <row r="257" customFormat="false" ht="15" hidden="false" customHeight="false" outlineLevel="0" collapsed="false">
      <c r="A257" s="2" t="s">
        <v>838</v>
      </c>
      <c r="B257" s="2" t="s">
        <v>839</v>
      </c>
      <c r="C257" s="2" t="s">
        <v>736</v>
      </c>
      <c r="D257" s="2" t="n">
        <v>1</v>
      </c>
      <c r="E257" s="2" t="n">
        <v>784</v>
      </c>
      <c r="F257" s="2" t="n">
        <v>772.1</v>
      </c>
      <c r="G257" s="2" t="n">
        <f aca="false">IF(E257="","",F257-E257)</f>
        <v>-11.9</v>
      </c>
      <c r="H257" s="13" t="n">
        <f aca="false">IF(E257="","",(F257-E257)/E257)</f>
        <v>-0.0151785714285714</v>
      </c>
      <c r="I257" s="2" t="n">
        <v>41.1</v>
      </c>
      <c r="J257" s="2" t="n">
        <v>77.8</v>
      </c>
      <c r="K257" s="2" t="n">
        <v>32.9</v>
      </c>
      <c r="L257" s="2" t="str">
        <f aca="false">IF(E257="","no published figure",IF(ABS(H257)&gt;0.25,"1 - check first",IF(ABS(H257)&gt;0.15,"2 - check","3 - close enough")))</f>
        <v>3 - close enough</v>
      </c>
      <c r="M257" s="2"/>
      <c r="N257" s="10"/>
      <c r="O257" s="10"/>
    </row>
    <row r="258" customFormat="false" ht="15" hidden="false" customHeight="false" outlineLevel="0" collapsed="false">
      <c r="A258" s="2" t="s">
        <v>1672</v>
      </c>
      <c r="B258" s="2" t="s">
        <v>1673</v>
      </c>
      <c r="C258" s="2" t="s">
        <v>736</v>
      </c>
      <c r="D258" s="2" t="n">
        <v>1</v>
      </c>
      <c r="E258" s="2" t="n">
        <v>747</v>
      </c>
      <c r="F258" s="2" t="n">
        <v>758</v>
      </c>
      <c r="G258" s="2" t="n">
        <f aca="false">IF(E258="","",F258-E258)</f>
        <v>11</v>
      </c>
      <c r="H258" s="13" t="n">
        <f aca="false">IF(E258="","",(F258-E258)/E258)</f>
        <v>0.0147255689424364</v>
      </c>
      <c r="I258" s="2" t="n">
        <v>44.6</v>
      </c>
      <c r="J258" s="2" t="n">
        <v>51.3</v>
      </c>
      <c r="K258" s="2" t="n">
        <v>41.6</v>
      </c>
      <c r="L258" s="2" t="str">
        <f aca="false">IF(E258="","no published figure",IF(ABS(H258)&gt;0.25,"1 - check first",IF(ABS(H258)&gt;0.15,"2 - check","3 - close enough")))</f>
        <v>3 - close enough</v>
      </c>
      <c r="M258" s="2"/>
      <c r="N258" s="10"/>
      <c r="O258" s="10"/>
    </row>
    <row r="259" customFormat="false" ht="15" hidden="false" customHeight="false" outlineLevel="0" collapsed="false">
      <c r="A259" s="2" t="s">
        <v>847</v>
      </c>
      <c r="B259" s="2" t="s">
        <v>848</v>
      </c>
      <c r="C259" s="2" t="s">
        <v>736</v>
      </c>
      <c r="D259" s="2" t="n">
        <v>1</v>
      </c>
      <c r="E259" s="2" t="n">
        <v>733</v>
      </c>
      <c r="F259" s="2" t="n">
        <v>722.5</v>
      </c>
      <c r="G259" s="2" t="n">
        <f aca="false">IF(E259="","",F259-E259)</f>
        <v>-10.5</v>
      </c>
      <c r="H259" s="13" t="n">
        <f aca="false">IF(E259="","",(F259-E259)/E259)</f>
        <v>-0.014324693042292</v>
      </c>
      <c r="I259" s="2" t="n">
        <v>61.6</v>
      </c>
      <c r="J259" s="2" t="n">
        <v>74.8</v>
      </c>
      <c r="K259" s="2" t="n">
        <v>19.7</v>
      </c>
      <c r="L259" s="2" t="str">
        <f aca="false">IF(E259="","no published figure",IF(ABS(H259)&gt;0.25,"1 - check first",IF(ABS(H259)&gt;0.15,"2 - check","3 - close enough")))</f>
        <v>3 - close enough</v>
      </c>
      <c r="M259" s="2"/>
      <c r="N259" s="10"/>
      <c r="O259" s="10"/>
    </row>
    <row r="260" customFormat="false" ht="15" hidden="false" customHeight="false" outlineLevel="0" collapsed="false">
      <c r="A260" s="2" t="s">
        <v>771</v>
      </c>
      <c r="B260" s="2" t="s">
        <v>772</v>
      </c>
      <c r="C260" s="2" t="s">
        <v>736</v>
      </c>
      <c r="D260" s="2" t="n">
        <v>4</v>
      </c>
      <c r="E260" s="2" t="n">
        <v>508</v>
      </c>
      <c r="F260" s="2" t="n">
        <v>500.9</v>
      </c>
      <c r="G260" s="2" t="n">
        <f aca="false">IF(E260="","",F260-E260)</f>
        <v>-7.10000000000002</v>
      </c>
      <c r="H260" s="13" t="n">
        <f aca="false">IF(E260="","",(F260-E260)/E260)</f>
        <v>-0.013976377952756</v>
      </c>
      <c r="I260" s="2" t="n">
        <v>29.7</v>
      </c>
      <c r="J260" s="2" t="n">
        <v>55.4</v>
      </c>
      <c r="K260" s="2" t="n">
        <v>17.8</v>
      </c>
      <c r="L260" s="2" t="str">
        <f aca="false">IF(E260="","no published figure",IF(ABS(H260)&gt;0.25,"1 - check first",IF(ABS(H260)&gt;0.15,"2 - check","3 - close enough")))</f>
        <v>3 - close enough</v>
      </c>
      <c r="M260" s="2"/>
      <c r="N260" s="10"/>
      <c r="O260" s="10"/>
    </row>
    <row r="261" customFormat="false" ht="15" hidden="false" customHeight="false" outlineLevel="0" collapsed="false">
      <c r="A261" s="2" t="s">
        <v>829</v>
      </c>
      <c r="B261" s="2" t="s">
        <v>830</v>
      </c>
      <c r="C261" s="2" t="s">
        <v>736</v>
      </c>
      <c r="D261" s="2" t="n">
        <v>1</v>
      </c>
      <c r="E261" s="2" t="n">
        <v>823</v>
      </c>
      <c r="F261" s="2" t="n">
        <v>811.8</v>
      </c>
      <c r="G261" s="2" t="n">
        <f aca="false">IF(E261="","",F261-E261)</f>
        <v>-11.2</v>
      </c>
      <c r="H261" s="13" t="n">
        <f aca="false">IF(E261="","",(F261-E261)/E261)</f>
        <v>-0.0136087484811665</v>
      </c>
      <c r="I261" s="2" t="n">
        <v>49.9</v>
      </c>
      <c r="J261" s="2" t="n">
        <v>80.2</v>
      </c>
      <c r="K261" s="2" t="n">
        <v>32.4</v>
      </c>
      <c r="L261" s="2" t="str">
        <f aca="false">IF(E261="","no published figure",IF(ABS(H261)&gt;0.25,"1 - check first",IF(ABS(H261)&gt;0.15,"2 - check","3 - close enough")))</f>
        <v>3 - close enough</v>
      </c>
      <c r="M261" s="2"/>
      <c r="N261" s="10"/>
      <c r="O261" s="10"/>
    </row>
    <row r="262" customFormat="false" ht="15" hidden="false" customHeight="false" outlineLevel="0" collapsed="false">
      <c r="A262" s="2" t="s">
        <v>1343</v>
      </c>
      <c r="B262" s="2" t="s">
        <v>1344</v>
      </c>
      <c r="C262" s="2" t="s">
        <v>736</v>
      </c>
      <c r="D262" s="2" t="n">
        <v>1</v>
      </c>
      <c r="E262" s="2" t="n">
        <v>170</v>
      </c>
      <c r="F262" s="2" t="n">
        <v>172.1</v>
      </c>
      <c r="G262" s="2" t="n">
        <f aca="false">IF(E262="","",F262-E262)</f>
        <v>2.09999999999999</v>
      </c>
      <c r="H262" s="13" t="n">
        <f aca="false">IF(E262="","",(F262-E262)/E262)</f>
        <v>0.0123529411764706</v>
      </c>
      <c r="I262" s="2" t="n">
        <v>5.1</v>
      </c>
      <c r="J262" s="2" t="n">
        <v>25</v>
      </c>
      <c r="K262" s="2" t="n">
        <v>5.7</v>
      </c>
      <c r="L262" s="2" t="str">
        <f aca="false">IF(E262="","no published figure",IF(ABS(H262)&gt;0.25,"1 - check first",IF(ABS(H262)&gt;0.15,"2 - check","3 - close enough")))</f>
        <v>3 - close enough</v>
      </c>
      <c r="M262" s="2"/>
      <c r="N262" s="10"/>
      <c r="O262" s="10"/>
    </row>
    <row r="263" customFormat="false" ht="15" hidden="false" customHeight="false" outlineLevel="0" collapsed="false">
      <c r="A263" s="2" t="s">
        <v>1194</v>
      </c>
      <c r="B263" s="2" t="s">
        <v>1195</v>
      </c>
      <c r="C263" s="2" t="s">
        <v>736</v>
      </c>
      <c r="D263" s="2" t="n">
        <v>1</v>
      </c>
      <c r="E263" s="2" t="n">
        <v>455</v>
      </c>
      <c r="F263" s="2" t="n">
        <v>459.6</v>
      </c>
      <c r="G263" s="2" t="n">
        <f aca="false">IF(E263="","",F263-E263)</f>
        <v>4.60000000000002</v>
      </c>
      <c r="H263" s="13" t="n">
        <f aca="false">IF(E263="","",(F263-E263)/E263)</f>
        <v>0.0101098901098902</v>
      </c>
      <c r="I263" s="2" t="n">
        <v>31.1</v>
      </c>
      <c r="J263" s="2" t="n">
        <v>52.5</v>
      </c>
      <c r="K263" s="2" t="n">
        <v>13.9</v>
      </c>
      <c r="L263" s="2" t="str">
        <f aca="false">IF(E263="","no published figure",IF(ABS(H263)&gt;0.25,"1 - check first",IF(ABS(H263)&gt;0.15,"2 - check","3 - close enough")))</f>
        <v>3 - close enough</v>
      </c>
      <c r="M263" s="2"/>
      <c r="N263" s="10"/>
      <c r="O263" s="10"/>
    </row>
    <row r="264" customFormat="false" ht="15" hidden="false" customHeight="false" outlineLevel="0" collapsed="false">
      <c r="A264" s="2" t="s">
        <v>980</v>
      </c>
      <c r="B264" s="2" t="s">
        <v>981</v>
      </c>
      <c r="C264" s="2" t="s">
        <v>736</v>
      </c>
      <c r="D264" s="2" t="n">
        <v>1</v>
      </c>
      <c r="E264" s="2" t="n">
        <v>415</v>
      </c>
      <c r="F264" s="2" t="n">
        <v>411</v>
      </c>
      <c r="G264" s="2" t="n">
        <f aca="false">IF(E264="","",F264-E264)</f>
        <v>-4</v>
      </c>
      <c r="H264" s="13" t="n">
        <f aca="false">IF(E264="","",(F264-E264)/E264)</f>
        <v>-0.00963855421686747</v>
      </c>
      <c r="I264" s="2" t="n">
        <v>47.3</v>
      </c>
      <c r="J264" s="2" t="n">
        <v>44.8</v>
      </c>
      <c r="K264" s="2" t="n">
        <v>4.7</v>
      </c>
      <c r="L264" s="2" t="str">
        <f aca="false">IF(E264="","no published figure",IF(ABS(H264)&gt;0.25,"1 - check first",IF(ABS(H264)&gt;0.15,"2 - check","3 - close enough")))</f>
        <v>3 - close enough</v>
      </c>
      <c r="M264" s="2"/>
      <c r="N264" s="10"/>
      <c r="O264" s="10"/>
    </row>
    <row r="265" customFormat="false" ht="15" hidden="false" customHeight="false" outlineLevel="0" collapsed="false">
      <c r="A265" s="2" t="s">
        <v>1394</v>
      </c>
      <c r="B265" s="2" t="s">
        <v>1395</v>
      </c>
      <c r="C265" s="2" t="s">
        <v>888</v>
      </c>
      <c r="D265" s="2" t="n">
        <v>1</v>
      </c>
      <c r="E265" s="2" t="n">
        <v>504</v>
      </c>
      <c r="F265" s="2" t="n">
        <v>499.6</v>
      </c>
      <c r="G265" s="2" t="n">
        <f aca="false">IF(E265="","",F265-E265)</f>
        <v>-4.39999999999998</v>
      </c>
      <c r="H265" s="13" t="n">
        <f aca="false">IF(E265="","",(F265-E265)/E265)</f>
        <v>-0.00873015873015869</v>
      </c>
      <c r="I265" s="2" t="n">
        <v>18.1</v>
      </c>
      <c r="J265" s="2" t="n">
        <v>64.5</v>
      </c>
      <c r="K265" s="2" t="n">
        <v>18.8</v>
      </c>
      <c r="L265" s="2" t="str">
        <f aca="false">IF(E265="","no published figure",IF(ABS(H265)&gt;0.25,"1 - check first",IF(ABS(H265)&gt;0.15,"2 - check","3 - close enough")))</f>
        <v>3 - close enough</v>
      </c>
      <c r="M265" s="2"/>
      <c r="N265" s="10"/>
      <c r="O265" s="10"/>
    </row>
    <row r="266" customFormat="false" ht="15" hidden="false" customHeight="false" outlineLevel="0" collapsed="false">
      <c r="A266" s="2" t="s">
        <v>1380</v>
      </c>
      <c r="B266" s="2" t="s">
        <v>699</v>
      </c>
      <c r="C266" s="2" t="s">
        <v>663</v>
      </c>
      <c r="D266" s="2" t="n">
        <v>5</v>
      </c>
      <c r="E266" s="2" t="n">
        <v>369</v>
      </c>
      <c r="F266" s="2" t="n">
        <v>366</v>
      </c>
      <c r="G266" s="2" t="n">
        <f aca="false">IF(E266="","",F266-E266)</f>
        <v>-3</v>
      </c>
      <c r="H266" s="13" t="n">
        <f aca="false">IF(E266="","",(F266-E266)/E266)</f>
        <v>-0.00813008130081301</v>
      </c>
      <c r="I266" s="2" t="n">
        <v>11.4</v>
      </c>
      <c r="J266" s="2" t="n">
        <v>58.2</v>
      </c>
      <c r="K266" s="2" t="n">
        <v>9.8</v>
      </c>
      <c r="L266" s="2" t="str">
        <f aca="false">IF(E266="","no published figure",IF(ABS(H266)&gt;0.25,"1 - check first",IF(ABS(H266)&gt;0.15,"2 - check","3 - close enough")))</f>
        <v>3 - close enough</v>
      </c>
      <c r="M266" s="2"/>
      <c r="N266" s="10"/>
      <c r="O266" s="10"/>
    </row>
    <row r="267" customFormat="false" ht="15" hidden="false" customHeight="false" outlineLevel="0" collapsed="false">
      <c r="A267" s="2" t="s">
        <v>1429</v>
      </c>
      <c r="B267" s="2" t="s">
        <v>1430</v>
      </c>
      <c r="C267" s="2" t="s">
        <v>648</v>
      </c>
      <c r="D267" s="2" t="n">
        <v>1</v>
      </c>
      <c r="E267" s="2" t="n">
        <v>292</v>
      </c>
      <c r="F267" s="2" t="n">
        <v>289.6</v>
      </c>
      <c r="G267" s="2" t="n">
        <f aca="false">IF(E267="","",F267-E267)</f>
        <v>-2.39999999999998</v>
      </c>
      <c r="H267" s="13" t="n">
        <f aca="false">IF(E267="","",(F267-E267)/E267)</f>
        <v>-0.0082191780821917</v>
      </c>
      <c r="I267" s="2" t="n">
        <v>37</v>
      </c>
      <c r="J267" s="2" t="n">
        <v>17.8</v>
      </c>
      <c r="K267" s="2" t="n">
        <v>7.8</v>
      </c>
      <c r="L267" s="2" t="str">
        <f aca="false">IF(E267="","no published figure",IF(ABS(H267)&gt;0.25,"1 - check first",IF(ABS(H267)&gt;0.15,"2 - check","3 - close enough")))</f>
        <v>3 - close enough</v>
      </c>
      <c r="M267" s="2"/>
      <c r="N267" s="10"/>
      <c r="O267" s="10"/>
    </row>
    <row r="268" customFormat="false" ht="15" hidden="false" customHeight="false" outlineLevel="0" collapsed="false">
      <c r="A268" s="2" t="s">
        <v>1401</v>
      </c>
      <c r="B268" s="2" t="s">
        <v>811</v>
      </c>
      <c r="C268" s="2" t="s">
        <v>736</v>
      </c>
      <c r="D268" s="2" t="n">
        <v>4</v>
      </c>
      <c r="E268" s="2" t="n">
        <v>611</v>
      </c>
      <c r="F268" s="2" t="n">
        <v>606.7</v>
      </c>
      <c r="G268" s="2" t="n">
        <f aca="false">IF(E268="","",F268-E268)</f>
        <v>-4.29999999999995</v>
      </c>
      <c r="H268" s="13" t="n">
        <f aca="false">IF(E268="","",(F268-E268)/E268)</f>
        <v>-0.0070376432078559</v>
      </c>
      <c r="I268" s="2" t="n">
        <v>25.2</v>
      </c>
      <c r="J268" s="2" t="n">
        <v>68.5</v>
      </c>
      <c r="K268" s="2" t="n">
        <v>25.8</v>
      </c>
      <c r="L268" s="2" t="str">
        <f aca="false">IF(E268="","no published figure",IF(ABS(H268)&gt;0.25,"1 - check first",IF(ABS(H268)&gt;0.15,"2 - check","3 - close enough")))</f>
        <v>3 - close enough</v>
      </c>
      <c r="M268" s="2"/>
      <c r="N268" s="10"/>
      <c r="O268" s="10"/>
    </row>
    <row r="269" customFormat="false" ht="15" hidden="false" customHeight="false" outlineLevel="0" collapsed="false">
      <c r="A269" s="2" t="s">
        <v>698</v>
      </c>
      <c r="B269" s="2" t="s">
        <v>699</v>
      </c>
      <c r="C269" s="2" t="s">
        <v>663</v>
      </c>
      <c r="D269" s="2" t="n">
        <v>5</v>
      </c>
      <c r="E269" s="2" t="n">
        <v>369</v>
      </c>
      <c r="F269" s="2" t="n">
        <v>371.5</v>
      </c>
      <c r="G269" s="2" t="n">
        <f aca="false">IF(E269="","",F269-E269)</f>
        <v>2.5</v>
      </c>
      <c r="H269" s="13" t="n">
        <f aca="false">IF(E269="","",(F269-E269)/E269)</f>
        <v>0.00677506775067751</v>
      </c>
      <c r="I269" s="2" t="n">
        <v>11.4</v>
      </c>
      <c r="J269" s="2" t="n">
        <v>60</v>
      </c>
      <c r="K269" s="2" t="n">
        <v>9.6</v>
      </c>
      <c r="L269" s="2" t="str">
        <f aca="false">IF(E269="","no published figure",IF(ABS(H269)&gt;0.25,"1 - check first",IF(ABS(H269)&gt;0.15,"2 - check","3 - close enough")))</f>
        <v>3 - close enough</v>
      </c>
      <c r="M269" s="2"/>
      <c r="N269" s="10"/>
      <c r="O269" s="10"/>
    </row>
    <row r="270" customFormat="false" ht="15" hidden="false" customHeight="false" outlineLevel="0" collapsed="false">
      <c r="A270" s="2" t="s">
        <v>1443</v>
      </c>
      <c r="B270" s="2" t="s">
        <v>1444</v>
      </c>
      <c r="C270" s="2" t="s">
        <v>648</v>
      </c>
      <c r="D270" s="2" t="n">
        <v>1</v>
      </c>
      <c r="E270" s="2" t="n">
        <v>269.1</v>
      </c>
      <c r="F270" s="2" t="n">
        <v>270.9</v>
      </c>
      <c r="G270" s="2" t="n">
        <f aca="false">IF(E270="","",F270-E270)</f>
        <v>1.79999999999995</v>
      </c>
      <c r="H270" s="13" t="n">
        <f aca="false">IF(E270="","",(F270-E270)/E270)</f>
        <v>0.00668896321070217</v>
      </c>
      <c r="I270" s="2" t="n">
        <v>15.5</v>
      </c>
      <c r="J270" s="2" t="n">
        <v>27.8</v>
      </c>
      <c r="K270" s="2" t="n">
        <v>10.8</v>
      </c>
      <c r="L270" s="2" t="str">
        <f aca="false">IF(E270="","no published figure",IF(ABS(H270)&gt;0.25,"1 - check first",IF(ABS(H270)&gt;0.15,"2 - check","3 - close enough")))</f>
        <v>3 - close enough</v>
      </c>
      <c r="M270" s="2"/>
      <c r="N270" s="10"/>
      <c r="O270" s="10"/>
    </row>
    <row r="271" customFormat="false" ht="15" hidden="false" customHeight="false" outlineLevel="0" collapsed="false">
      <c r="A271" s="2" t="s">
        <v>1600</v>
      </c>
      <c r="B271" s="2" t="s">
        <v>1601</v>
      </c>
      <c r="C271" s="2" t="s">
        <v>888</v>
      </c>
      <c r="D271" s="2" t="n">
        <v>1</v>
      </c>
      <c r="E271" s="2" t="n">
        <v>408</v>
      </c>
      <c r="F271" s="2" t="n">
        <v>405.4</v>
      </c>
      <c r="G271" s="2" t="n">
        <f aca="false">IF(E271="","",F271-E271)</f>
        <v>-2.60000000000002</v>
      </c>
      <c r="H271" s="13" t="n">
        <f aca="false">IF(E271="","",(F271-E271)/E271)</f>
        <v>-0.0063725490196079</v>
      </c>
      <c r="I271" s="2" t="n">
        <v>29.2</v>
      </c>
      <c r="J271" s="2" t="n">
        <v>40.7</v>
      </c>
      <c r="K271" s="2" t="n">
        <v>14</v>
      </c>
      <c r="L271" s="2" t="str">
        <f aca="false">IF(E271="","no published figure",IF(ABS(H271)&gt;0.25,"1 - check first",IF(ABS(H271)&gt;0.15,"2 - check","3 - close enough")))</f>
        <v>3 - close enough</v>
      </c>
      <c r="M271" s="2"/>
      <c r="N271" s="10"/>
      <c r="O271" s="10"/>
    </row>
    <row r="272" customFormat="false" ht="15" hidden="false" customHeight="false" outlineLevel="0" collapsed="false">
      <c r="A272" s="2" t="s">
        <v>1385</v>
      </c>
      <c r="B272" s="2" t="s">
        <v>1386</v>
      </c>
      <c r="C272" s="2" t="s">
        <v>736</v>
      </c>
      <c r="D272" s="2" t="n">
        <v>4</v>
      </c>
      <c r="E272" s="2" t="n">
        <v>726</v>
      </c>
      <c r="F272" s="2" t="n">
        <v>730.6</v>
      </c>
      <c r="G272" s="2" t="n">
        <f aca="false">IF(E272="","",F272-E272)</f>
        <v>4.60000000000002</v>
      </c>
      <c r="H272" s="13" t="n">
        <f aca="false">IF(E272="","",(F272-E272)/E272)</f>
        <v>0.00633608815427</v>
      </c>
      <c r="I272" s="2" t="n">
        <v>45.6</v>
      </c>
      <c r="J272" s="2" t="n">
        <v>106.8</v>
      </c>
      <c r="K272" s="2" t="n">
        <v>13.5</v>
      </c>
      <c r="L272" s="2" t="str">
        <f aca="false">IF(E272="","no published figure",IF(ABS(H272)&gt;0.25,"1 - check first",IF(ABS(H272)&gt;0.15,"2 - check","3 - close enough")))</f>
        <v>3 - close enough</v>
      </c>
      <c r="M272" s="2"/>
      <c r="N272" s="10"/>
      <c r="O272" s="10"/>
    </row>
    <row r="273" customFormat="false" ht="15" hidden="false" customHeight="false" outlineLevel="0" collapsed="false">
      <c r="A273" s="2" t="s">
        <v>1450</v>
      </c>
      <c r="B273" s="2" t="s">
        <v>1451</v>
      </c>
      <c r="C273" s="2" t="s">
        <v>888</v>
      </c>
      <c r="D273" s="2" t="n">
        <v>1</v>
      </c>
      <c r="E273" s="2" t="n">
        <v>481.3</v>
      </c>
      <c r="F273" s="2" t="n">
        <v>484.1</v>
      </c>
      <c r="G273" s="2" t="n">
        <f aca="false">IF(E273="","",F273-E273)</f>
        <v>2.80000000000001</v>
      </c>
      <c r="H273" s="13" t="n">
        <f aca="false">IF(E273="","",(F273-E273)/E273)</f>
        <v>0.00581757739455643</v>
      </c>
      <c r="I273" s="2" t="n">
        <v>24.7</v>
      </c>
      <c r="J273" s="2" t="n">
        <v>70.8</v>
      </c>
      <c r="K273" s="2" t="n">
        <v>11.3</v>
      </c>
      <c r="L273" s="2" t="str">
        <f aca="false">IF(E273="","no published figure",IF(ABS(H273)&gt;0.25,"1 - check first",IF(ABS(H273)&gt;0.15,"2 - check","3 - close enough")))</f>
        <v>3 - close enough</v>
      </c>
      <c r="M273" s="2"/>
      <c r="N273" s="10"/>
      <c r="O273" s="10"/>
    </row>
    <row r="274" customFormat="false" ht="15" hidden="false" customHeight="false" outlineLevel="0" collapsed="false">
      <c r="A274" s="2" t="s">
        <v>1654</v>
      </c>
      <c r="B274" s="2" t="s">
        <v>1655</v>
      </c>
      <c r="C274" s="2" t="s">
        <v>736</v>
      </c>
      <c r="D274" s="2" t="n">
        <v>1</v>
      </c>
      <c r="E274" s="2" t="n">
        <v>325</v>
      </c>
      <c r="F274" s="2" t="n">
        <v>323.1</v>
      </c>
      <c r="G274" s="2" t="n">
        <f aca="false">IF(E274="","",F274-E274)</f>
        <v>-1.89999999999998</v>
      </c>
      <c r="H274" s="13" t="n">
        <f aca="false">IF(E274="","",(F274-E274)/E274)</f>
        <v>-0.00584615384615378</v>
      </c>
      <c r="I274" s="2" t="n">
        <v>20</v>
      </c>
      <c r="J274" s="2" t="n">
        <v>33.6</v>
      </c>
      <c r="K274" s="2" t="n">
        <v>12.1</v>
      </c>
      <c r="L274" s="2" t="str">
        <f aca="false">IF(E274="","no published figure",IF(ABS(H274)&gt;0.25,"1 - check first",IF(ABS(H274)&gt;0.15,"2 - check","3 - close enough")))</f>
        <v>3 - close enough</v>
      </c>
      <c r="M274" s="2" t="s">
        <v>1657</v>
      </c>
      <c r="N274" s="10"/>
      <c r="O274" s="10"/>
    </row>
    <row r="275" customFormat="false" ht="15" hidden="false" customHeight="false" outlineLevel="0" collapsed="false">
      <c r="A275" s="2" t="s">
        <v>798</v>
      </c>
      <c r="B275" s="2" t="s">
        <v>799</v>
      </c>
      <c r="C275" s="2" t="s">
        <v>736</v>
      </c>
      <c r="D275" s="2" t="n">
        <v>2</v>
      </c>
      <c r="E275" s="2" t="n">
        <v>549</v>
      </c>
      <c r="F275" s="2" t="n">
        <v>546.2</v>
      </c>
      <c r="G275" s="2" t="n">
        <f aca="false">IF(E275="","",F275-E275)</f>
        <v>-2.79999999999995</v>
      </c>
      <c r="H275" s="13" t="n">
        <f aca="false">IF(E275="","",(F275-E275)/E275)</f>
        <v>-0.0051001821493624</v>
      </c>
      <c r="I275" s="2" t="n">
        <v>38.4</v>
      </c>
      <c r="J275" s="2" t="n">
        <v>86.4</v>
      </c>
      <c r="K275" s="2" t="n">
        <v>5.2</v>
      </c>
      <c r="L275" s="2" t="str">
        <f aca="false">IF(E275="","no published figure",IF(ABS(H275)&gt;0.25,"1 - check first",IF(ABS(H275)&gt;0.15,"2 - check","3 - close enough")))</f>
        <v>3 - close enough</v>
      </c>
      <c r="M275" s="2"/>
      <c r="N275" s="10"/>
      <c r="O275" s="10"/>
    </row>
    <row r="276" customFormat="false" ht="15" hidden="false" customHeight="false" outlineLevel="0" collapsed="false">
      <c r="A276" s="2" t="s">
        <v>1553</v>
      </c>
      <c r="B276" s="2" t="s">
        <v>1554</v>
      </c>
      <c r="C276" s="2" t="s">
        <v>736</v>
      </c>
      <c r="D276" s="2" t="n">
        <v>5</v>
      </c>
      <c r="E276" s="2" t="n">
        <v>463</v>
      </c>
      <c r="F276" s="2" t="n">
        <v>465.2</v>
      </c>
      <c r="G276" s="2" t="n">
        <f aca="false">IF(E276="","",F276-E276)</f>
        <v>2.19999999999999</v>
      </c>
      <c r="H276" s="13" t="n">
        <f aca="false">IF(E276="","",(F276-E276)/E276)</f>
        <v>0.00475161987041034</v>
      </c>
      <c r="I276" s="2" t="n">
        <v>33.7</v>
      </c>
      <c r="J276" s="2" t="n">
        <v>65.5</v>
      </c>
      <c r="K276" s="2" t="n">
        <v>7.6</v>
      </c>
      <c r="L276" s="2" t="str">
        <f aca="false">IF(E276="","no published figure",IF(ABS(H276)&gt;0.25,"1 - check first",IF(ABS(H276)&gt;0.15,"2 - check","3 - close enough")))</f>
        <v>3 - close enough</v>
      </c>
      <c r="M276" s="2"/>
      <c r="N276" s="10"/>
      <c r="O276" s="10"/>
    </row>
    <row r="277" customFormat="false" ht="15" hidden="false" customHeight="false" outlineLevel="0" collapsed="false">
      <c r="A277" s="2" t="s">
        <v>1431</v>
      </c>
      <c r="B277" s="2" t="s">
        <v>1432</v>
      </c>
      <c r="C277" s="2" t="s">
        <v>736</v>
      </c>
      <c r="D277" s="2" t="n">
        <v>1</v>
      </c>
      <c r="E277" s="2" t="n">
        <v>556</v>
      </c>
      <c r="F277" s="2" t="n">
        <v>558.6</v>
      </c>
      <c r="G277" s="2" t="n">
        <f aca="false">IF(E277="","",F277-E277)</f>
        <v>2.60000000000002</v>
      </c>
      <c r="H277" s="13" t="n">
        <f aca="false">IF(E277="","",(F277-E277)/E277)</f>
        <v>0.0046762589928058</v>
      </c>
      <c r="I277" s="2" t="n">
        <v>37.8</v>
      </c>
      <c r="J277" s="2" t="n">
        <v>45</v>
      </c>
      <c r="K277" s="2" t="n">
        <v>25.2</v>
      </c>
      <c r="L277" s="2" t="str">
        <f aca="false">IF(E277="","no published figure",IF(ABS(H277)&gt;0.25,"1 - check first",IF(ABS(H277)&gt;0.15,"2 - check","3 - close enough")))</f>
        <v>3 - close enough</v>
      </c>
      <c r="M277" s="2"/>
      <c r="N277" s="10"/>
      <c r="O277" s="10"/>
    </row>
    <row r="278" customFormat="false" ht="15" hidden="false" customHeight="false" outlineLevel="0" collapsed="false">
      <c r="A278" s="2" t="s">
        <v>1407</v>
      </c>
      <c r="B278" s="2" t="s">
        <v>1408</v>
      </c>
      <c r="C278" s="2" t="s">
        <v>736</v>
      </c>
      <c r="D278" s="2" t="n">
        <v>1</v>
      </c>
      <c r="E278" s="2" t="n">
        <v>533.8</v>
      </c>
      <c r="F278" s="2" t="n">
        <v>531.4</v>
      </c>
      <c r="G278" s="2" t="n">
        <f aca="false">IF(E278="","",F278-E278)</f>
        <v>-2.39999999999998</v>
      </c>
      <c r="H278" s="13" t="n">
        <f aca="false">IF(E278="","",(F278-E278)/E278)</f>
        <v>-0.00449606594230045</v>
      </c>
      <c r="I278" s="2" t="n">
        <v>34.8</v>
      </c>
      <c r="J278" s="2" t="n">
        <v>37.6</v>
      </c>
      <c r="K278" s="2" t="n">
        <v>26.9</v>
      </c>
      <c r="L278" s="2" t="str">
        <f aca="false">IF(E278="","no published figure",IF(ABS(H278)&gt;0.25,"1 - check first",IF(ABS(H278)&gt;0.15,"2 - check","3 - close enough")))</f>
        <v>3 - close enough</v>
      </c>
      <c r="M278" s="2"/>
      <c r="N278" s="10"/>
      <c r="O278" s="10"/>
    </row>
    <row r="279" customFormat="false" ht="15" hidden="false" customHeight="false" outlineLevel="0" collapsed="false">
      <c r="A279" s="2" t="s">
        <v>777</v>
      </c>
      <c r="B279" s="2" t="s">
        <v>778</v>
      </c>
      <c r="C279" s="2" t="s">
        <v>736</v>
      </c>
      <c r="D279" s="2" t="n">
        <v>1</v>
      </c>
      <c r="E279" s="2" t="n">
        <v>639</v>
      </c>
      <c r="F279" s="2" t="n">
        <v>641.7</v>
      </c>
      <c r="G279" s="2" t="n">
        <f aca="false">IF(E279="","",F279-E279)</f>
        <v>2.70000000000005</v>
      </c>
      <c r="H279" s="13" t="n">
        <f aca="false">IF(E279="","",(F279-E279)/E279)</f>
        <v>0.00422535211267613</v>
      </c>
      <c r="I279" s="2" t="n">
        <v>44.5</v>
      </c>
      <c r="J279" s="2" t="n">
        <v>73.2</v>
      </c>
      <c r="K279" s="2" t="n">
        <v>19</v>
      </c>
      <c r="L279" s="2" t="str">
        <f aca="false">IF(E279="","no published figure",IF(ABS(H279)&gt;0.25,"1 - check first",IF(ABS(H279)&gt;0.15,"2 - check","3 - close enough")))</f>
        <v>3 - close enough</v>
      </c>
      <c r="M279" s="2"/>
      <c r="N279" s="10"/>
      <c r="O279" s="10"/>
    </row>
    <row r="280" customFormat="false" ht="15" hidden="false" customHeight="false" outlineLevel="0" collapsed="false">
      <c r="A280" s="2" t="s">
        <v>859</v>
      </c>
      <c r="B280" s="2" t="s">
        <v>860</v>
      </c>
      <c r="C280" s="2" t="s">
        <v>736</v>
      </c>
      <c r="D280" s="2" t="n">
        <v>1</v>
      </c>
      <c r="E280" s="2" t="n">
        <v>664</v>
      </c>
      <c r="F280" s="2" t="n">
        <v>666.7</v>
      </c>
      <c r="G280" s="2" t="n">
        <f aca="false">IF(E280="","",F280-E280)</f>
        <v>2.70000000000005</v>
      </c>
      <c r="H280" s="13" t="n">
        <f aca="false">IF(E280="","",(F280-E280)/E280)</f>
        <v>0.00406626506024103</v>
      </c>
      <c r="I280" s="2" t="n">
        <v>58.5</v>
      </c>
      <c r="J280" s="2" t="n">
        <v>87.8</v>
      </c>
      <c r="K280" s="2" t="n">
        <v>9.1</v>
      </c>
      <c r="L280" s="2" t="str">
        <f aca="false">IF(E280="","no published figure",IF(ABS(H280)&gt;0.25,"1 - check first",IF(ABS(H280)&gt;0.15,"2 - check","3 - close enough")))</f>
        <v>3 - close enough</v>
      </c>
      <c r="M280" s="2"/>
      <c r="N280" s="10"/>
      <c r="O280" s="10"/>
    </row>
    <row r="281" customFormat="false" ht="15" hidden="false" customHeight="false" outlineLevel="0" collapsed="false">
      <c r="A281" s="2" t="s">
        <v>1135</v>
      </c>
      <c r="B281" s="2" t="s">
        <v>1136</v>
      </c>
      <c r="C281" s="2" t="s">
        <v>736</v>
      </c>
      <c r="D281" s="2" t="n">
        <v>1</v>
      </c>
      <c r="E281" s="2" t="n">
        <v>435</v>
      </c>
      <c r="F281" s="2" t="n">
        <v>436.7</v>
      </c>
      <c r="G281" s="2" t="n">
        <f aca="false">IF(E281="","",F281-E281)</f>
        <v>1.69999999999999</v>
      </c>
      <c r="H281" s="13" t="n">
        <f aca="false">IF(E281="","",(F281-E281)/E281)</f>
        <v>0.00390804597701147</v>
      </c>
      <c r="I281" s="2" t="n">
        <v>32.5</v>
      </c>
      <c r="J281" s="2" t="n">
        <v>45.5</v>
      </c>
      <c r="K281" s="2" t="n">
        <v>13.9</v>
      </c>
      <c r="L281" s="2" t="str">
        <f aca="false">IF(E281="","no published figure",IF(ABS(H281)&gt;0.25,"1 - check first",IF(ABS(H281)&gt;0.15,"2 - check","3 - close enough")))</f>
        <v>3 - close enough</v>
      </c>
      <c r="M281" s="2"/>
      <c r="N281" s="10"/>
      <c r="O281" s="10"/>
    </row>
    <row r="282" customFormat="false" ht="15" hidden="false" customHeight="false" outlineLevel="0" collapsed="false">
      <c r="A282" s="2" t="s">
        <v>1464</v>
      </c>
      <c r="B282" s="2" t="s">
        <v>1465</v>
      </c>
      <c r="C282" s="2" t="s">
        <v>736</v>
      </c>
      <c r="D282" s="2" t="n">
        <v>1</v>
      </c>
      <c r="E282" s="2" t="n">
        <v>521</v>
      </c>
      <c r="F282" s="2" t="n">
        <v>519.2</v>
      </c>
      <c r="G282" s="2" t="n">
        <f aca="false">IF(E282="","",F282-E282)</f>
        <v>-1.79999999999995</v>
      </c>
      <c r="H282" s="13" t="n">
        <f aca="false">IF(E282="","",(F282-E282)/E282)</f>
        <v>-0.0034548944337811</v>
      </c>
      <c r="I282" s="2" t="n">
        <v>44.6</v>
      </c>
      <c r="J282" s="2" t="n">
        <v>64.2</v>
      </c>
      <c r="K282" s="2" t="n">
        <v>9.3</v>
      </c>
      <c r="L282" s="2" t="str">
        <f aca="false">IF(E282="","no published figure",IF(ABS(H282)&gt;0.25,"1 - check first",IF(ABS(H282)&gt;0.15,"2 - check","3 - close enough")))</f>
        <v>3 - close enough</v>
      </c>
      <c r="M282" s="2"/>
      <c r="N282" s="10"/>
      <c r="O282" s="10"/>
    </row>
    <row r="283" customFormat="false" ht="15" hidden="false" customHeight="false" outlineLevel="0" collapsed="false">
      <c r="A283" s="2" t="s">
        <v>1111</v>
      </c>
      <c r="B283" s="2" t="s">
        <v>1112</v>
      </c>
      <c r="C283" s="2" t="s">
        <v>736</v>
      </c>
      <c r="D283" s="2" t="n">
        <v>1</v>
      </c>
      <c r="E283" s="2" t="n">
        <v>450</v>
      </c>
      <c r="F283" s="2" t="n">
        <v>451.4</v>
      </c>
      <c r="G283" s="2" t="n">
        <f aca="false">IF(E283="","",F283-E283)</f>
        <v>1.39999999999998</v>
      </c>
      <c r="H283" s="13" t="n">
        <f aca="false">IF(E283="","",(F283-E283)/E283)</f>
        <v>0.00311111111111106</v>
      </c>
      <c r="I283" s="2" t="n">
        <v>29.4</v>
      </c>
      <c r="J283" s="2" t="n">
        <v>45.2</v>
      </c>
      <c r="K283" s="2" t="n">
        <v>17</v>
      </c>
      <c r="L283" s="2" t="str">
        <f aca="false">IF(E283="","no published figure",IF(ABS(H283)&gt;0.25,"1 - check first",IF(ABS(H283)&gt;0.15,"2 - check","3 - close enough")))</f>
        <v>3 - close enough</v>
      </c>
      <c r="M283" s="2"/>
      <c r="N283" s="10"/>
      <c r="O283" s="10"/>
    </row>
    <row r="284" customFormat="false" ht="15" hidden="false" customHeight="false" outlineLevel="0" collapsed="false">
      <c r="A284" s="2" t="s">
        <v>1139</v>
      </c>
      <c r="B284" s="2" t="s">
        <v>1140</v>
      </c>
      <c r="C284" s="2" t="s">
        <v>736</v>
      </c>
      <c r="D284" s="2" t="n">
        <v>1</v>
      </c>
      <c r="E284" s="2" t="n">
        <v>475</v>
      </c>
      <c r="F284" s="2" t="n">
        <v>473.9</v>
      </c>
      <c r="G284" s="2" t="n">
        <f aca="false">IF(E284="","",F284-E284)</f>
        <v>-1.10000000000002</v>
      </c>
      <c r="H284" s="13" t="n">
        <f aca="false">IF(E284="","",(F284-E284)/E284)</f>
        <v>-0.00231578947368426</v>
      </c>
      <c r="I284" s="2" t="n">
        <v>38.7</v>
      </c>
      <c r="J284" s="2" t="n">
        <v>46.3</v>
      </c>
      <c r="K284" s="2" t="n">
        <v>14.9</v>
      </c>
      <c r="L284" s="2" t="str">
        <f aca="false">IF(E284="","no published figure",IF(ABS(H284)&gt;0.25,"1 - check first",IF(ABS(H284)&gt;0.15,"2 - check","3 - close enough")))</f>
        <v>3 - close enough</v>
      </c>
      <c r="M284" s="2"/>
      <c r="N284" s="10"/>
      <c r="O284" s="10"/>
    </row>
    <row r="285" customFormat="false" ht="15" hidden="false" customHeight="false" outlineLevel="0" collapsed="false">
      <c r="A285" s="2" t="s">
        <v>695</v>
      </c>
      <c r="B285" s="2" t="s">
        <v>696</v>
      </c>
      <c r="C285" s="2" t="s">
        <v>663</v>
      </c>
      <c r="D285" s="2" t="n">
        <v>1</v>
      </c>
      <c r="E285" s="2" t="n">
        <v>422</v>
      </c>
      <c r="F285" s="2" t="n">
        <v>422.8</v>
      </c>
      <c r="G285" s="2" t="n">
        <f aca="false">IF(E285="","",F285-E285)</f>
        <v>0.800000000000011</v>
      </c>
      <c r="H285" s="13" t="n">
        <f aca="false">IF(E285="","",(F285-E285)/E285)</f>
        <v>0.00189573459715643</v>
      </c>
      <c r="I285" s="2" t="n">
        <v>26.7</v>
      </c>
      <c r="J285" s="2" t="n">
        <v>59.4</v>
      </c>
      <c r="K285" s="2" t="n">
        <v>8.7</v>
      </c>
      <c r="L285" s="2" t="str">
        <f aca="false">IF(E285="","no published figure",IF(ABS(H285)&gt;0.25,"1 - check first",IF(ABS(H285)&gt;0.15,"2 - check","3 - close enough")))</f>
        <v>3 - close enough</v>
      </c>
      <c r="M285" s="2"/>
      <c r="N285" s="10"/>
      <c r="O285" s="10"/>
    </row>
    <row r="286" customFormat="false" ht="15" hidden="false" customHeight="false" outlineLevel="0" collapsed="false">
      <c r="A286" s="2" t="s">
        <v>1403</v>
      </c>
      <c r="B286" s="2" t="s">
        <v>1404</v>
      </c>
      <c r="C286" s="2" t="s">
        <v>736</v>
      </c>
      <c r="D286" s="2" t="n">
        <v>1</v>
      </c>
      <c r="E286" s="2" t="n">
        <v>490</v>
      </c>
      <c r="F286" s="2" t="n">
        <v>489.1</v>
      </c>
      <c r="G286" s="2" t="n">
        <f aca="false">IF(E286="","",F286-E286)</f>
        <v>-0.899999999999977</v>
      </c>
      <c r="H286" s="13" t="n">
        <f aca="false">IF(E286="","",(F286-E286)/E286)</f>
        <v>-0.0018367346938775</v>
      </c>
      <c r="I286" s="2" t="n">
        <v>35.7</v>
      </c>
      <c r="J286" s="2" t="n">
        <v>47.8</v>
      </c>
      <c r="K286" s="2" t="n">
        <v>17.2</v>
      </c>
      <c r="L286" s="2" t="str">
        <f aca="false">IF(E286="","no published figure",IF(ABS(H286)&gt;0.25,"1 - check first",IF(ABS(H286)&gt;0.15,"2 - check","3 - close enough")))</f>
        <v>3 - close enough</v>
      </c>
      <c r="M286" s="2"/>
      <c r="N286" s="10"/>
      <c r="O286" s="10"/>
    </row>
    <row r="287" customFormat="false" ht="15" hidden="false" customHeight="false" outlineLevel="0" collapsed="false">
      <c r="A287" s="2" t="s">
        <v>709</v>
      </c>
      <c r="B287" s="2" t="s">
        <v>710</v>
      </c>
      <c r="C287" s="2" t="s">
        <v>663</v>
      </c>
      <c r="D287" s="2" t="n">
        <v>1</v>
      </c>
      <c r="E287" s="2" t="n">
        <v>467</v>
      </c>
      <c r="F287" s="2" t="n">
        <v>466.2</v>
      </c>
      <c r="G287" s="2" t="n">
        <f aca="false">IF(E287="","",F287-E287)</f>
        <v>-0.800000000000011</v>
      </c>
      <c r="H287" s="13" t="n">
        <f aca="false">IF(E287="","",(F287-E287)/E287)</f>
        <v>-0.0017130620985011</v>
      </c>
      <c r="I287" s="2" t="n">
        <v>24.6</v>
      </c>
      <c r="J287" s="2" t="n">
        <v>28.5</v>
      </c>
      <c r="K287" s="2" t="n">
        <v>28.2</v>
      </c>
      <c r="L287" s="2" t="str">
        <f aca="false">IF(E287="","no published figure",IF(ABS(H287)&gt;0.25,"1 - check first",IF(ABS(H287)&gt;0.15,"2 - check","3 - close enough")))</f>
        <v>3 - close enough</v>
      </c>
      <c r="M287" s="2"/>
      <c r="N287" s="10"/>
      <c r="O287" s="10"/>
    </row>
    <row r="288" customFormat="false" ht="15" hidden="false" customHeight="false" outlineLevel="0" collapsed="false">
      <c r="A288" s="2" t="s">
        <v>1411</v>
      </c>
      <c r="B288" s="2" t="s">
        <v>1412</v>
      </c>
      <c r="C288" s="2" t="s">
        <v>736</v>
      </c>
      <c r="D288" s="2" t="n">
        <v>1</v>
      </c>
      <c r="E288" s="2" t="n">
        <v>399.8</v>
      </c>
      <c r="F288" s="2" t="n">
        <v>399.2</v>
      </c>
      <c r="G288" s="2" t="n">
        <f aca="false">IF(E288="","",F288-E288)</f>
        <v>-0.600000000000023</v>
      </c>
      <c r="H288" s="13" t="n">
        <f aca="false">IF(E288="","",(F288-E288)/E288)</f>
        <v>-0.00150075037518765</v>
      </c>
      <c r="I288" s="2" t="n">
        <v>33.3</v>
      </c>
      <c r="J288" s="2" t="n">
        <v>27.4</v>
      </c>
      <c r="K288" s="2" t="n">
        <v>17.3</v>
      </c>
      <c r="L288" s="2" t="str">
        <f aca="false">IF(E288="","no published figure",IF(ABS(H288)&gt;0.25,"1 - check first",IF(ABS(H288)&gt;0.15,"2 - check","3 - close enough")))</f>
        <v>3 - close enough</v>
      </c>
      <c r="M288" s="2"/>
      <c r="N288" s="10"/>
      <c r="O288" s="10"/>
    </row>
    <row r="289" customFormat="false" ht="15" hidden="false" customHeight="false" outlineLevel="0" collapsed="false">
      <c r="A289" s="2" t="s">
        <v>925</v>
      </c>
      <c r="B289" s="2" t="s">
        <v>926</v>
      </c>
      <c r="C289" s="2" t="s">
        <v>736</v>
      </c>
      <c r="D289" s="2" t="n">
        <v>1</v>
      </c>
      <c r="E289" s="2" t="n">
        <v>559</v>
      </c>
      <c r="F289" s="2" t="n">
        <v>559.8</v>
      </c>
      <c r="G289" s="2" t="n">
        <f aca="false">IF(E289="","",F289-E289)</f>
        <v>0.799999999999955</v>
      </c>
      <c r="H289" s="13" t="n">
        <f aca="false">IF(E289="","",(F289-E289)/E289)</f>
        <v>0.00143112701252228</v>
      </c>
      <c r="I289" s="2" t="n">
        <v>50</v>
      </c>
      <c r="J289" s="2" t="n">
        <v>55.2</v>
      </c>
      <c r="K289" s="2" t="n">
        <v>15.4</v>
      </c>
      <c r="L289" s="2" t="str">
        <f aca="false">IF(E289="","no published figure",IF(ABS(H289)&gt;0.25,"1 - check first",IF(ABS(H289)&gt;0.15,"2 - check","3 - close enough")))</f>
        <v>3 - close enough</v>
      </c>
      <c r="M289" s="2" t="s">
        <v>929</v>
      </c>
      <c r="N289" s="10"/>
      <c r="O289" s="10"/>
    </row>
    <row r="290" customFormat="false" ht="15" hidden="false" customHeight="false" outlineLevel="0" collapsed="false">
      <c r="A290" s="2" t="s">
        <v>1445</v>
      </c>
      <c r="B290" s="2" t="s">
        <v>1446</v>
      </c>
      <c r="C290" s="2" t="s">
        <v>648</v>
      </c>
      <c r="D290" s="2" t="n">
        <v>1</v>
      </c>
      <c r="E290" s="2" t="n">
        <v>268.2</v>
      </c>
      <c r="F290" s="2" t="n">
        <v>268.5</v>
      </c>
      <c r="G290" s="2" t="n">
        <f aca="false">IF(E290="","",F290-E290)</f>
        <v>0.300000000000011</v>
      </c>
      <c r="H290" s="13" t="n">
        <f aca="false">IF(E290="","",(F290-E290)/E290)</f>
        <v>0.00111856823266223</v>
      </c>
      <c r="I290" s="2" t="n">
        <v>13.2</v>
      </c>
      <c r="J290" s="2" t="n">
        <v>45.7</v>
      </c>
      <c r="K290" s="2" t="n">
        <v>3.7</v>
      </c>
      <c r="L290" s="2" t="str">
        <f aca="false">IF(E290="","no published figure",IF(ABS(H290)&gt;0.25,"1 - check first",IF(ABS(H290)&gt;0.15,"2 - check","3 - close enough")))</f>
        <v>3 - close enough</v>
      </c>
      <c r="M290" s="2"/>
      <c r="N290" s="10"/>
      <c r="O290" s="10"/>
    </row>
    <row r="291" customFormat="false" ht="15" hidden="false" customHeight="false" outlineLevel="0" collapsed="false">
      <c r="A291" s="2" t="s">
        <v>786</v>
      </c>
      <c r="B291" s="2" t="s">
        <v>787</v>
      </c>
      <c r="C291" s="2" t="s">
        <v>736</v>
      </c>
      <c r="D291" s="2" t="n">
        <v>4</v>
      </c>
      <c r="E291" s="2" t="n">
        <v>552</v>
      </c>
      <c r="F291" s="2" t="n">
        <v>552.6</v>
      </c>
      <c r="G291" s="2" t="n">
        <f aca="false">IF(E291="","",F291-E291)</f>
        <v>0.600000000000023</v>
      </c>
      <c r="H291" s="13" t="n">
        <f aca="false">IF(E291="","",(F291-E291)/E291)</f>
        <v>0.00108695652173917</v>
      </c>
      <c r="I291" s="2" t="n">
        <v>40.7</v>
      </c>
      <c r="J291" s="2" t="n">
        <v>66.1</v>
      </c>
      <c r="K291" s="2" t="n">
        <v>13.9</v>
      </c>
      <c r="L291" s="2" t="str">
        <f aca="false">IF(E291="","no published figure",IF(ABS(H291)&gt;0.25,"1 - check first",IF(ABS(H291)&gt;0.15,"2 - check","3 - close enough")))</f>
        <v>3 - close enough</v>
      </c>
      <c r="M291" s="2"/>
      <c r="N291" s="10"/>
      <c r="O291" s="10"/>
    </row>
    <row r="292" customFormat="false" ht="15" hidden="false" customHeight="false" outlineLevel="0" collapsed="false">
      <c r="A292" s="2" t="s">
        <v>1226</v>
      </c>
      <c r="B292" s="2" t="s">
        <v>1227</v>
      </c>
      <c r="C292" s="2" t="s">
        <v>736</v>
      </c>
      <c r="D292" s="2" t="n">
        <v>1</v>
      </c>
      <c r="E292" s="2" t="n">
        <v>370</v>
      </c>
      <c r="F292" s="2" t="n">
        <v>369.9</v>
      </c>
      <c r="G292" s="2" t="n">
        <f aca="false">IF(E292="","",F292-E292)</f>
        <v>-0.100000000000023</v>
      </c>
      <c r="H292" s="13" t="n">
        <f aca="false">IF(E292="","",(F292-E292)/E292)</f>
        <v>-0.000270270270270332</v>
      </c>
      <c r="I292" s="2" t="n">
        <v>35.4</v>
      </c>
      <c r="J292" s="2" t="n">
        <v>39.9</v>
      </c>
      <c r="K292" s="2" t="n">
        <v>7.6</v>
      </c>
      <c r="L292" s="2" t="str">
        <f aca="false">IF(E292="","no published figure",IF(ABS(H292)&gt;0.25,"1 - check first",IF(ABS(H292)&gt;0.15,"2 - check","3 - close enough")))</f>
        <v>3 - close enough</v>
      </c>
      <c r="M292" s="2"/>
      <c r="N292" s="10"/>
      <c r="O292" s="10"/>
    </row>
    <row r="293" customFormat="false" ht="15" hidden="false" customHeight="false" outlineLevel="0" collapsed="false">
      <c r="A293" s="2" t="s">
        <v>1454</v>
      </c>
      <c r="B293" s="2" t="s">
        <v>1455</v>
      </c>
      <c r="C293" s="2" t="s">
        <v>888</v>
      </c>
      <c r="D293" s="2" t="n">
        <v>1</v>
      </c>
      <c r="E293" s="2" t="n">
        <v>342</v>
      </c>
      <c r="F293" s="2" t="n">
        <v>342</v>
      </c>
      <c r="G293" s="2" t="n">
        <f aca="false">IF(E293="","",F293-E293)</f>
        <v>0</v>
      </c>
      <c r="H293" s="13" t="n">
        <f aca="false">IF(E293="","",(F293-E293)/E293)</f>
        <v>0</v>
      </c>
      <c r="I293" s="2" t="n">
        <v>25.6</v>
      </c>
      <c r="J293" s="2" t="n">
        <v>50</v>
      </c>
      <c r="K293" s="2" t="n">
        <v>4.4</v>
      </c>
      <c r="L293" s="2" t="str">
        <f aca="false">IF(E293="","no published figure",IF(ABS(H293)&gt;0.25,"1 - check first",IF(ABS(H293)&gt;0.15,"2 - check","3 - close enough")))</f>
        <v>3 - close enough</v>
      </c>
      <c r="M293" s="2"/>
      <c r="N293" s="10"/>
      <c r="O293" s="10"/>
    </row>
    <row r="294" customFormat="false" ht="15" hidden="false" customHeight="false" outlineLevel="0" collapsed="false">
      <c r="A294" s="2" t="s">
        <v>801</v>
      </c>
      <c r="B294" s="2" t="s">
        <v>802</v>
      </c>
      <c r="C294" s="2" t="s">
        <v>736</v>
      </c>
      <c r="D294" s="2" t="n">
        <v>2</v>
      </c>
      <c r="E294" s="2" t="n">
        <v>779</v>
      </c>
      <c r="F294" s="2" t="n">
        <v>779</v>
      </c>
      <c r="G294" s="2" t="n">
        <f aca="false">IF(E294="","",F294-E294)</f>
        <v>0</v>
      </c>
      <c r="H294" s="13" t="n">
        <f aca="false">IF(E294="","",(F294-E294)/E294)</f>
        <v>0</v>
      </c>
      <c r="I294" s="2" t="n">
        <v>35.2</v>
      </c>
      <c r="J294" s="2" t="n">
        <v>73.3</v>
      </c>
      <c r="K294" s="2" t="n">
        <v>38.4</v>
      </c>
      <c r="L294" s="2" t="str">
        <f aca="false">IF(E294="","no published figure",IF(ABS(H294)&gt;0.25,"1 - check first",IF(ABS(H294)&gt;0.15,"2 - check","3 - close enough")))</f>
        <v>3 - close enough</v>
      </c>
      <c r="M294" s="2"/>
      <c r="N294" s="10"/>
      <c r="O294" s="10"/>
    </row>
    <row r="295" customFormat="false" ht="15" hidden="false" customHeight="false" outlineLevel="0" collapsed="false">
      <c r="A295" s="2" t="s">
        <v>1448</v>
      </c>
      <c r="B295" s="2" t="s">
        <v>1449</v>
      </c>
      <c r="C295" s="2" t="s">
        <v>648</v>
      </c>
      <c r="D295" s="2" t="n">
        <v>1</v>
      </c>
      <c r="E295" s="2" t="n">
        <v>393.9</v>
      </c>
      <c r="F295" s="2" t="n">
        <v>393.9</v>
      </c>
      <c r="G295" s="2" t="n">
        <f aca="false">IF(E295="","",F295-E295)</f>
        <v>0</v>
      </c>
      <c r="H295" s="13" t="n">
        <f aca="false">IF(E295="","",(F295-E295)/E295)</f>
        <v>0</v>
      </c>
      <c r="I295" s="2" t="n">
        <v>17.9</v>
      </c>
      <c r="J295" s="2" t="n">
        <v>58.7</v>
      </c>
      <c r="K295" s="2" t="n">
        <v>9.7</v>
      </c>
      <c r="L295" s="2" t="str">
        <f aca="false">IF(E295="","no published figure",IF(ABS(H295)&gt;0.25,"1 - check first",IF(ABS(H295)&gt;0.15,"2 - check","3 - close enough")))</f>
        <v>3 - close enough</v>
      </c>
      <c r="M295" s="2"/>
      <c r="N295" s="10"/>
      <c r="O295" s="10"/>
    </row>
    <row r="296" customFormat="false" ht="15" hidden="false" customHeight="false" outlineLevel="0" collapsed="false">
      <c r="A296" s="2" t="s">
        <v>880</v>
      </c>
      <c r="B296" s="2" t="s">
        <v>881</v>
      </c>
      <c r="C296" s="2" t="s">
        <v>736</v>
      </c>
      <c r="D296" s="2" t="n">
        <v>1</v>
      </c>
      <c r="E296" s="2"/>
      <c r="F296" s="2" t="n">
        <v>220.9</v>
      </c>
      <c r="G296" s="2" t="str">
        <f aca="false">IF(E296="","",F296-E296)</f>
        <v/>
      </c>
      <c r="H296" s="13" t="str">
        <f aca="false">IF(E296="","",(F296-E296)/E296)</f>
        <v/>
      </c>
      <c r="I296" s="2" t="n">
        <v>13.7</v>
      </c>
      <c r="J296" s="2" t="n">
        <v>10.8</v>
      </c>
      <c r="K296" s="2" t="n">
        <v>13.6</v>
      </c>
      <c r="L296" s="2" t="str">
        <f aca="false">IF(E296="","no published figure",IF(ABS(H296)&gt;0.25,"1 - check first",IF(ABS(H296)&gt;0.15,"2 - check","3 - close enough")))</f>
        <v>no published figure</v>
      </c>
      <c r="M296" s="2"/>
      <c r="N296" s="10"/>
      <c r="O296" s="10"/>
    </row>
    <row r="297" customFormat="false" ht="15" hidden="false" customHeight="false" outlineLevel="0" collapsed="false">
      <c r="A297" s="2" t="s">
        <v>884</v>
      </c>
      <c r="B297" s="2" t="s">
        <v>885</v>
      </c>
      <c r="C297" s="2" t="s">
        <v>736</v>
      </c>
      <c r="D297" s="2" t="n">
        <v>1</v>
      </c>
      <c r="E297" s="2"/>
      <c r="F297" s="2" t="n">
        <v>95.8</v>
      </c>
      <c r="G297" s="2" t="str">
        <f aca="false">IF(E297="","",F297-E297)</f>
        <v/>
      </c>
      <c r="H297" s="13" t="str">
        <f aca="false">IF(E297="","",(F297-E297)/E297)</f>
        <v/>
      </c>
      <c r="I297" s="2" t="n">
        <v>7.2</v>
      </c>
      <c r="J297" s="2" t="n">
        <v>13.8</v>
      </c>
      <c r="K297" s="2" t="n">
        <v>1.3</v>
      </c>
      <c r="L297" s="2" t="str">
        <f aca="false">IF(E297="","no published figure",IF(ABS(H297)&gt;0.25,"1 - check first",IF(ABS(H297)&gt;0.15,"2 - check","3 - close enough")))</f>
        <v>no published figure</v>
      </c>
      <c r="M297" s="2"/>
      <c r="N297" s="10"/>
      <c r="O297" s="10"/>
    </row>
  </sheetData>
  <autoFilter ref="A1:O2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10"/>
    <col collapsed="false" customWidth="true" hidden="false" outlineLevel="0" max="4" min="4" style="0" width="9"/>
    <col collapsed="false" customWidth="true" hidden="false" outlineLevel="0" max="5" min="5" style="0" width="8"/>
    <col collapsed="false" customWidth="true" hidden="false" outlineLevel="0" max="6" min="6" style="0" width="12"/>
    <col collapsed="false" customWidth="true" hidden="false" outlineLevel="0" max="7" min="7" style="0" width="17"/>
    <col collapsed="false" customWidth="true" hidden="false" outlineLevel="0" max="8" min="8" style="0" width="62"/>
    <col collapsed="false" customWidth="true" hidden="false" outlineLevel="0" max="9" min="9" style="0" width="26"/>
  </cols>
  <sheetData>
    <row r="1" customFormat="false" ht="15" hidden="false" customHeight="false" outlineLevel="0" collapsed="false">
      <c r="A1" s="14" t="s">
        <v>37</v>
      </c>
      <c r="B1" s="14" t="s">
        <v>3764</v>
      </c>
      <c r="C1" s="14" t="s">
        <v>1693</v>
      </c>
      <c r="D1" s="14" t="s">
        <v>3765</v>
      </c>
      <c r="E1" s="14" t="s">
        <v>1700</v>
      </c>
      <c r="F1" s="14" t="s">
        <v>3766</v>
      </c>
      <c r="G1" s="14" t="s">
        <v>3767</v>
      </c>
      <c r="H1" s="14" t="s">
        <v>3768</v>
      </c>
      <c r="I1" s="14" t="s">
        <v>3762</v>
      </c>
    </row>
    <row r="2" customFormat="false" ht="15" hidden="false" customHeight="false" outlineLevel="0" collapsed="false">
      <c r="A2" s="2" t="s">
        <v>97</v>
      </c>
      <c r="B2" s="2" t="s">
        <v>98</v>
      </c>
      <c r="C2" s="2" t="n">
        <v>20</v>
      </c>
      <c r="D2" s="2" t="n">
        <v>58</v>
      </c>
      <c r="E2" s="2" t="n">
        <v>14</v>
      </c>
      <c r="F2" s="2" t="n">
        <v>228</v>
      </c>
      <c r="G2" s="2" t="n">
        <f aca="false">4*C2+4*D2+9*E2</f>
        <v>438</v>
      </c>
      <c r="H2" s="2" t="s">
        <v>3769</v>
      </c>
      <c r="I2" s="10"/>
    </row>
    <row r="3" customFormat="false" ht="15" hidden="false" customHeight="false" outlineLevel="0" collapsed="false">
      <c r="A3" s="2" t="s">
        <v>129</v>
      </c>
      <c r="B3" s="2" t="s">
        <v>130</v>
      </c>
      <c r="C3" s="2" t="n">
        <v>0</v>
      </c>
      <c r="D3" s="2" t="n">
        <v>0</v>
      </c>
      <c r="E3" s="2" t="n">
        <v>91.6</v>
      </c>
      <c r="F3" s="8" t="n">
        <v>824</v>
      </c>
      <c r="G3" s="2" t="n">
        <f aca="false">4*C3+4*D3+9*E3</f>
        <v>824.4</v>
      </c>
      <c r="H3" s="2" t="s">
        <v>3770</v>
      </c>
      <c r="I3" s="10"/>
    </row>
    <row r="4" customFormat="false" ht="15" hidden="false" customHeight="false" outlineLevel="0" collapsed="false">
      <c r="A4" s="2" t="s">
        <v>206</v>
      </c>
      <c r="B4" s="2" t="s">
        <v>207</v>
      </c>
      <c r="C4" s="2" t="n">
        <v>12</v>
      </c>
      <c r="D4" s="2" t="n">
        <v>34</v>
      </c>
      <c r="E4" s="2" t="n">
        <v>40</v>
      </c>
      <c r="F4" s="2" t="n">
        <v>480</v>
      </c>
      <c r="G4" s="2" t="n">
        <f aca="false">4*C4+4*D4+9*E4</f>
        <v>544</v>
      </c>
      <c r="H4" s="2" t="s">
        <v>3771</v>
      </c>
      <c r="I4" s="10"/>
    </row>
    <row r="5" customFormat="false" ht="15" hidden="false" customHeight="false" outlineLevel="0" collapsed="false">
      <c r="A5" s="2" t="s">
        <v>266</v>
      </c>
      <c r="B5" s="2" t="s">
        <v>267</v>
      </c>
      <c r="C5" s="2" t="n">
        <v>6.43</v>
      </c>
      <c r="D5" s="2" t="n">
        <v>75</v>
      </c>
      <c r="E5" s="2" t="n">
        <v>20</v>
      </c>
      <c r="F5" s="8" t="n">
        <v>500</v>
      </c>
      <c r="G5" s="2" t="n">
        <f aca="false">4*C5+4*D5+9*E5</f>
        <v>505.72</v>
      </c>
      <c r="H5" s="2" t="s">
        <v>3772</v>
      </c>
      <c r="I5" s="10"/>
    </row>
    <row r="6" customFormat="false" ht="15" hidden="false" customHeight="false" outlineLevel="0" collapsed="false">
      <c r="A6" s="2" t="s">
        <v>299</v>
      </c>
      <c r="B6" s="2" t="s">
        <v>300</v>
      </c>
      <c r="C6" s="2" t="n">
        <v>0</v>
      </c>
      <c r="D6" s="2" t="n">
        <v>40</v>
      </c>
      <c r="E6" s="2" t="n">
        <v>0</v>
      </c>
      <c r="F6" s="2" t="n">
        <v>200</v>
      </c>
      <c r="G6" s="2" t="n">
        <f aca="false">4*C6+4*D6+9*E6</f>
        <v>160</v>
      </c>
      <c r="H6" s="2" t="s">
        <v>3773</v>
      </c>
      <c r="I6" s="10"/>
    </row>
    <row r="7" customFormat="false" ht="15" hidden="false" customHeight="false" outlineLevel="0" collapsed="false">
      <c r="A7" s="2" t="s">
        <v>312</v>
      </c>
      <c r="B7" s="2" t="s">
        <v>313</v>
      </c>
      <c r="C7" s="2" t="n">
        <v>6.67</v>
      </c>
      <c r="D7" s="2" t="n">
        <v>33.33</v>
      </c>
      <c r="E7" s="2" t="n">
        <v>0</v>
      </c>
      <c r="F7" s="2" t="n">
        <v>133.3</v>
      </c>
      <c r="G7" s="2" t="n">
        <f aca="false">4*C7+4*D7+9*E7</f>
        <v>160</v>
      </c>
      <c r="H7" s="2" t="s">
        <v>3774</v>
      </c>
      <c r="I7" s="10"/>
    </row>
    <row r="8" customFormat="false" ht="15" hidden="false" customHeight="false" outlineLevel="0" collapsed="false">
      <c r="A8" s="2" t="s">
        <v>390</v>
      </c>
      <c r="B8" s="2" t="s">
        <v>391</v>
      </c>
      <c r="C8" s="2" t="n">
        <v>0.2</v>
      </c>
      <c r="D8" s="2" t="n">
        <v>43</v>
      </c>
      <c r="E8" s="2" t="n">
        <v>0</v>
      </c>
      <c r="F8" s="2" t="n">
        <v>226</v>
      </c>
      <c r="G8" s="2" t="n">
        <f aca="false">4*C8+4*D8+9*E8</f>
        <v>172.8</v>
      </c>
      <c r="H8" s="2" t="s">
        <v>3775</v>
      </c>
      <c r="I8" s="10"/>
    </row>
    <row r="9" customFormat="false" ht="15" hidden="false" customHeight="false" outlineLevel="0" collapsed="false">
      <c r="A9" s="2" t="s">
        <v>460</v>
      </c>
      <c r="B9" s="2" t="s">
        <v>461</v>
      </c>
      <c r="C9" s="2" t="n">
        <v>0.1</v>
      </c>
      <c r="D9" s="2" t="n">
        <v>2.6</v>
      </c>
      <c r="E9" s="2" t="n">
        <v>0</v>
      </c>
      <c r="F9" s="2" t="n">
        <v>82</v>
      </c>
      <c r="G9" s="2" t="n">
        <f aca="false">4*C9+4*D9+9*E9</f>
        <v>10.8</v>
      </c>
      <c r="H9" s="2" t="s">
        <v>3776</v>
      </c>
      <c r="I9" s="10"/>
    </row>
    <row r="10" customFormat="false" ht="15" hidden="false" customHeight="false" outlineLevel="0" collapsed="false">
      <c r="A10" s="2" t="s">
        <v>474</v>
      </c>
      <c r="B10" s="2" t="s">
        <v>475</v>
      </c>
      <c r="C10" s="2" t="n">
        <v>0.5</v>
      </c>
      <c r="D10" s="2" t="n">
        <v>5</v>
      </c>
      <c r="E10" s="2" t="n">
        <v>0</v>
      </c>
      <c r="F10" s="2" t="n">
        <v>134</v>
      </c>
      <c r="G10" s="2" t="n">
        <f aca="false">4*C10+4*D10+9*E10</f>
        <v>22</v>
      </c>
      <c r="H10" s="2" t="s">
        <v>3777</v>
      </c>
      <c r="I10" s="10"/>
    </row>
    <row r="11" customFormat="false" ht="15" hidden="false" customHeight="false" outlineLevel="0" collapsed="false">
      <c r="A11" s="2" t="s">
        <v>508</v>
      </c>
      <c r="B11" s="2" t="s">
        <v>509</v>
      </c>
      <c r="C11" s="2" t="n">
        <v>5</v>
      </c>
      <c r="D11" s="2" t="n">
        <v>10</v>
      </c>
      <c r="E11" s="2" t="n">
        <v>3</v>
      </c>
      <c r="F11" s="2" t="n">
        <v>120</v>
      </c>
      <c r="G11" s="2" t="n">
        <f aca="false">4*C11+4*D11+9*E11</f>
        <v>87</v>
      </c>
      <c r="H11" s="2" t="s">
        <v>3778</v>
      </c>
      <c r="I11" s="10"/>
    </row>
    <row r="12" customFormat="false" ht="15" hidden="false" customHeight="false" outlineLevel="0" collapsed="false">
      <c r="A12" s="2" t="s">
        <v>571</v>
      </c>
      <c r="B12" s="2" t="s">
        <v>572</v>
      </c>
      <c r="C12" s="2" t="n">
        <v>4</v>
      </c>
      <c r="D12" s="2" t="n">
        <v>62.6</v>
      </c>
      <c r="E12" s="2" t="n">
        <v>0.5</v>
      </c>
      <c r="F12" s="2" t="n">
        <v>241</v>
      </c>
      <c r="G12" s="2" t="n">
        <f aca="false">4*C12+4*D12+9*E12</f>
        <v>270.9</v>
      </c>
      <c r="H12" s="2" t="s">
        <v>3779</v>
      </c>
      <c r="I12"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2026-09-13T09:36:03Z</dcterms:created>
  <dc:creator>openpyxl</dc:creator>
  <dc:description/>
  <dc:language>en-US</dc:language>
  <cp:lastModifiedBy/>
  <dcterms:modified xsi:type="dcterms:W3CDTF">2026-09-13T09:39:16Z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